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defaultThemeVersion="124226"/>
  <mc:AlternateContent xmlns:mc="http://schemas.openxmlformats.org/markup-compatibility/2006">
    <mc:Choice Requires="x15">
      <x15ac:absPath xmlns:x15ac="http://schemas.microsoft.com/office/spreadsheetml/2010/11/ac" url="C:\Vincent\Current Working Files\Trading Files - New\"/>
    </mc:Choice>
  </mc:AlternateContent>
  <xr:revisionPtr revIDLastSave="0" documentId="13_ncr:1_{21DBB98C-818D-4119-8EAE-112C8CCFAE38}" xr6:coauthVersionLast="47" xr6:coauthVersionMax="47" xr10:uidLastSave="{00000000-0000-0000-0000-000000000000}"/>
  <bookViews>
    <workbookView xWindow="-118" yWindow="-118" windowWidth="33749" windowHeight="20474" xr2:uid="{00000000-000D-0000-FFFF-FFFF00000000}"/>
  </bookViews>
  <sheets>
    <sheet name="Divergence" sheetId="1" r:id="rId1"/>
    <sheet name="Rules at Glance"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3" i="1" l="1"/>
  <c r="K33" i="1" s="1"/>
  <c r="L33" i="1" s="1"/>
  <c r="M33" i="1" s="1"/>
  <c r="N33" i="1" s="1"/>
  <c r="O33" i="1" s="1"/>
  <c r="P33" i="1" s="1"/>
  <c r="Q33" i="1" s="1"/>
  <c r="R33" i="1" s="1"/>
  <c r="S33" i="1" s="1"/>
  <c r="J32" i="1"/>
  <c r="K32" i="1" s="1"/>
  <c r="L32" i="1" s="1"/>
  <c r="M32" i="1" s="1"/>
  <c r="N32" i="1" s="1"/>
  <c r="O32" i="1" s="1"/>
  <c r="P32" i="1" s="1"/>
  <c r="Q32" i="1" s="1"/>
  <c r="R32" i="1" s="1"/>
  <c r="S32" i="1" s="1"/>
  <c r="J31" i="1"/>
  <c r="K31" i="1" s="1"/>
  <c r="L31" i="1" s="1"/>
  <c r="M31" i="1" s="1"/>
  <c r="N31" i="1" s="1"/>
  <c r="O31" i="1" s="1"/>
  <c r="P31" i="1" s="1"/>
  <c r="Q31" i="1" s="1"/>
  <c r="R31" i="1" s="1"/>
  <c r="S31" i="1" s="1"/>
  <c r="J30" i="1"/>
  <c r="K30" i="1" s="1"/>
  <c r="L30" i="1" s="1"/>
  <c r="M30" i="1" s="1"/>
  <c r="N30" i="1" s="1"/>
  <c r="O30" i="1" s="1"/>
  <c r="P30" i="1" s="1"/>
  <c r="Q30" i="1" s="1"/>
  <c r="R30" i="1" s="1"/>
  <c r="S30" i="1" s="1"/>
  <c r="J29" i="1"/>
  <c r="K29" i="1" s="1"/>
  <c r="L29" i="1" s="1"/>
  <c r="M29" i="1" s="1"/>
  <c r="N29" i="1" s="1"/>
  <c r="O29" i="1" s="1"/>
  <c r="P29" i="1" s="1"/>
  <c r="Q29" i="1" s="1"/>
  <c r="R29" i="1" s="1"/>
  <c r="S29" i="1" s="1"/>
  <c r="J28" i="1"/>
  <c r="K28" i="1" s="1"/>
  <c r="L28" i="1" s="1"/>
  <c r="M28" i="1" s="1"/>
  <c r="N28" i="1" s="1"/>
  <c r="O28" i="1" s="1"/>
  <c r="P28" i="1" s="1"/>
  <c r="Q28" i="1" s="1"/>
  <c r="R28" i="1" s="1"/>
  <c r="S28" i="1" s="1"/>
  <c r="J27" i="1"/>
  <c r="K27" i="1" s="1"/>
  <c r="L27" i="1" s="1"/>
  <c r="M27" i="1" s="1"/>
  <c r="N27" i="1" s="1"/>
  <c r="O27" i="1" s="1"/>
  <c r="P27" i="1" s="1"/>
  <c r="Q27" i="1" s="1"/>
  <c r="R27" i="1" s="1"/>
  <c r="S27" i="1" s="1"/>
  <c r="J26" i="1"/>
  <c r="K26" i="1" s="1"/>
  <c r="L26" i="1" s="1"/>
  <c r="M26" i="1" s="1"/>
  <c r="N26" i="1" s="1"/>
  <c r="O26" i="1" s="1"/>
  <c r="P26" i="1" s="1"/>
  <c r="Q26" i="1" s="1"/>
  <c r="R26" i="1" s="1"/>
  <c r="S26" i="1" s="1"/>
  <c r="J25" i="1"/>
  <c r="K25" i="1" s="1"/>
  <c r="L25" i="1" s="1"/>
  <c r="M25" i="1" s="1"/>
  <c r="N25" i="1" s="1"/>
  <c r="O25" i="1" s="1"/>
  <c r="P25" i="1" s="1"/>
  <c r="Q25" i="1" s="1"/>
  <c r="R25" i="1" s="1"/>
  <c r="S25" i="1" s="1"/>
  <c r="J24" i="1"/>
  <c r="K24" i="1" s="1"/>
  <c r="L24" i="1" s="1"/>
  <c r="M24" i="1" s="1"/>
  <c r="N24" i="1" s="1"/>
  <c r="O24" i="1" s="1"/>
  <c r="P24" i="1" s="1"/>
  <c r="Q24" i="1" s="1"/>
  <c r="R24" i="1" s="1"/>
  <c r="S24" i="1" s="1"/>
  <c r="J23" i="1"/>
  <c r="K23" i="1" s="1"/>
  <c r="L23" i="1" s="1"/>
  <c r="M23" i="1" s="1"/>
  <c r="N23" i="1" s="1"/>
  <c r="O23" i="1" s="1"/>
  <c r="P23" i="1" s="1"/>
  <c r="Q23" i="1" s="1"/>
  <c r="R23" i="1" s="1"/>
  <c r="S23" i="1" s="1"/>
  <c r="J22" i="1"/>
  <c r="K22" i="1" s="1"/>
  <c r="L22" i="1" s="1"/>
  <c r="M22" i="1" s="1"/>
  <c r="N22" i="1" s="1"/>
  <c r="O22" i="1" s="1"/>
  <c r="P22" i="1" s="1"/>
  <c r="Q22" i="1" s="1"/>
  <c r="R22" i="1" s="1"/>
  <c r="S22" i="1" s="1"/>
  <c r="J21" i="1"/>
  <c r="K21" i="1" s="1"/>
  <c r="L21" i="1" s="1"/>
  <c r="M21" i="1" s="1"/>
  <c r="N21" i="1" s="1"/>
  <c r="O21" i="1" s="1"/>
  <c r="P21" i="1" s="1"/>
  <c r="Q21" i="1" s="1"/>
  <c r="R21" i="1" s="1"/>
  <c r="S21" i="1" s="1"/>
  <c r="J20" i="1"/>
  <c r="K20" i="1" s="1"/>
  <c r="L20" i="1" s="1"/>
  <c r="M20" i="1" s="1"/>
  <c r="N20" i="1" s="1"/>
  <c r="O20" i="1" s="1"/>
  <c r="P20" i="1" s="1"/>
  <c r="Q20" i="1" s="1"/>
  <c r="R20" i="1" s="1"/>
  <c r="S20" i="1" s="1"/>
  <c r="H33" i="1"/>
  <c r="H32" i="1"/>
  <c r="H31" i="1"/>
  <c r="H30" i="1"/>
  <c r="H29" i="1"/>
  <c r="H28" i="1"/>
  <c r="H27" i="1"/>
  <c r="H26" i="1"/>
  <c r="H25" i="1"/>
  <c r="H24" i="1"/>
  <c r="H23" i="1"/>
  <c r="H22" i="1"/>
  <c r="H21" i="1"/>
  <c r="H20" i="1"/>
  <c r="D32" i="1"/>
  <c r="D31" i="1"/>
  <c r="D30" i="1"/>
  <c r="D29" i="1"/>
  <c r="D28" i="1"/>
  <c r="D27" i="1"/>
  <c r="D26" i="1"/>
  <c r="D25" i="1"/>
  <c r="D24" i="1"/>
  <c r="D23" i="1"/>
  <c r="D22" i="1"/>
  <c r="D21" i="1"/>
  <c r="D20" i="1"/>
  <c r="A39" i="1" l="1"/>
  <c r="A42" i="1" s="1"/>
  <c r="A43" i="1" s="1"/>
  <c r="A44" i="1" s="1"/>
  <c r="A248" i="1" l="1"/>
  <c r="A249" i="1" s="1"/>
  <c r="A250" i="1" s="1"/>
  <c r="A251" i="1" s="1"/>
  <c r="A252" i="1" s="1"/>
  <c r="A253" i="1" s="1"/>
  <c r="A254" i="1" s="1"/>
  <c r="A255" i="1" s="1"/>
  <c r="A256" i="1" s="1"/>
  <c r="A257" i="1" s="1"/>
  <c r="A258" i="1" s="1"/>
  <c r="A259" i="1" s="1"/>
  <c r="A260" i="1" s="1"/>
  <c r="A261" i="1" s="1"/>
  <c r="A262" i="1" s="1"/>
  <c r="A237" i="1"/>
  <c r="A238" i="1" s="1"/>
  <c r="A239" i="1" s="1"/>
  <c r="A240" i="1" s="1"/>
  <c r="A241" i="1" s="1"/>
  <c r="A242" i="1" s="1"/>
  <c r="A67" i="1" l="1"/>
  <c r="A87" i="1" s="1"/>
  <c r="A153" i="1" s="1"/>
  <c r="A49" i="1"/>
  <c r="A50" i="1" s="1"/>
  <c r="A51" i="1" s="1"/>
  <c r="A52" i="1" s="1"/>
  <c r="A57" i="1"/>
  <c r="A160" i="1" l="1"/>
  <c r="A167" i="1" l="1"/>
  <c r="A178" i="1" s="1"/>
  <c r="A193" i="1" s="1"/>
  <c r="A206" i="1" s="1"/>
  <c r="A222" i="1" s="1"/>
</calcChain>
</file>

<file path=xl/sharedStrings.xml><?xml version="1.0" encoding="utf-8"?>
<sst xmlns="http://schemas.openxmlformats.org/spreadsheetml/2006/main" count="385" uniqueCount="265">
  <si>
    <t>Divergence Pairs Trading Rules :</t>
  </si>
  <si>
    <t>(i)</t>
  </si>
  <si>
    <t>(ii)</t>
  </si>
  <si>
    <t>(iii)</t>
  </si>
  <si>
    <t>(iv)</t>
  </si>
  <si>
    <t>(v)</t>
  </si>
  <si>
    <t>a)</t>
  </si>
  <si>
    <t>b)</t>
  </si>
  <si>
    <t>(vi)</t>
  </si>
  <si>
    <t>A]</t>
  </si>
  <si>
    <t>Money Management Rules :</t>
  </si>
  <si>
    <t>Total Margin Available for Trading :</t>
  </si>
  <si>
    <t>c)</t>
  </si>
  <si>
    <t>Portfolio Size :</t>
  </si>
  <si>
    <t>d)</t>
  </si>
  <si>
    <t>% Reduction in Risk :</t>
  </si>
  <si>
    <t>DrawDown %</t>
  </si>
  <si>
    <t>90-100%</t>
  </si>
  <si>
    <t>80-90%</t>
  </si>
  <si>
    <t>70-80%</t>
  </si>
  <si>
    <t>60-70%</t>
  </si>
  <si>
    <t>50-60%</t>
  </si>
  <si>
    <t>40-50%</t>
  </si>
  <si>
    <t>30-40%</t>
  </si>
  <si>
    <t>20-30%</t>
  </si>
  <si>
    <t>10-20%</t>
  </si>
  <si>
    <t>0-10%</t>
  </si>
  <si>
    <t>B]</t>
  </si>
  <si>
    <t>Trading Time Frame :</t>
  </si>
  <si>
    <t>Calculate Beta Neutrality of Pair :</t>
  </si>
  <si>
    <r>
      <rPr>
        <b/>
        <sz val="10"/>
        <color theme="1"/>
        <rFont val="Garamond"/>
        <family val="1"/>
      </rPr>
      <t>Trailing Stop Loss :</t>
    </r>
    <r>
      <rPr>
        <sz val="10"/>
        <color theme="1"/>
        <rFont val="Garamond"/>
        <family val="1"/>
      </rPr>
      <t xml:space="preserve">
(a) When the Net Profit of the Pair goes up by 2%, the initial Stop Loss that had been set at 10% of the Net Loss, should be raised by 2% to 8% of Net Loss.
(b) Thereafter, everytime the Net Profit of the Pair goes up by another 1%, the Stop Loss (which has now been raised to 8% of Net Loss) should be raised by 1% to 7% of Net Loss and so on.
</t>
    </r>
    <r>
      <rPr>
        <sz val="10"/>
        <color rgb="FFFF0000"/>
        <rFont val="Garamond"/>
        <family val="1"/>
      </rPr>
      <t>[Note that as the Net Profit is rising, the Pair is being pyramided on one side and at the same time, the Stop Loss is being raised.]</t>
    </r>
    <r>
      <rPr>
        <sz val="10"/>
        <color theme="1"/>
        <rFont val="Garamond"/>
        <family val="1"/>
      </rPr>
      <t xml:space="preserve">
(c) This Stop Loss will now be applicable to all the positions entered for that Pair. Hence, if the Pair moves from Profit to Loss (before hitting the Profit Target) and then hits the newly raised Stop Loss, all the positions entered so far for that Pair will have to be exited immediately.</t>
    </r>
  </si>
  <si>
    <r>
      <rPr>
        <b/>
        <sz val="10"/>
        <color theme="1"/>
        <rFont val="Garamond"/>
        <family val="1"/>
      </rPr>
      <t>Stop Loss Exit :</t>
    </r>
    <r>
      <rPr>
        <sz val="10"/>
        <color theme="1"/>
        <rFont val="Garamond"/>
        <family val="1"/>
      </rPr>
      <t xml:space="preserve">
The Trades should be exited if any one of the following conditions are triggered,
(a) if the Net Loss touches the Stop Loss of 10%, the position entered should be exited immediately; </t>
    </r>
    <r>
      <rPr>
        <b/>
        <sz val="10"/>
        <color rgb="FFFF0000"/>
        <rFont val="Garamond"/>
        <family val="1"/>
      </rPr>
      <t>OR</t>
    </r>
    <r>
      <rPr>
        <sz val="10"/>
        <color theme="1"/>
        <rFont val="Garamond"/>
        <family val="1"/>
      </rPr>
      <t xml:space="preserve">
(b) if the Net Loss touches the </t>
    </r>
    <r>
      <rPr>
        <b/>
        <sz val="10"/>
        <color theme="1"/>
        <rFont val="Garamond"/>
        <family val="1"/>
      </rPr>
      <t>Trailed Stop Loss</t>
    </r>
    <r>
      <rPr>
        <sz val="10"/>
        <color theme="1"/>
        <rFont val="Garamond"/>
        <family val="1"/>
      </rPr>
      <t xml:space="preserve">, all the positions entered should be exited immediately; </t>
    </r>
    <r>
      <rPr>
        <b/>
        <sz val="10"/>
        <color rgb="FFFF0000"/>
        <rFont val="Garamond"/>
        <family val="1"/>
      </rPr>
      <t>OR</t>
    </r>
    <r>
      <rPr>
        <sz val="10"/>
        <color theme="1"/>
        <rFont val="Garamond"/>
        <family val="1"/>
      </rPr>
      <t xml:space="preserve">
(c) if the Trade is in a Net Loss </t>
    </r>
    <r>
      <rPr>
        <b/>
        <sz val="10"/>
        <color rgb="FFFF0000"/>
        <rFont val="Garamond"/>
        <family val="1"/>
      </rPr>
      <t>AND</t>
    </r>
    <r>
      <rPr>
        <sz val="10"/>
        <color theme="1"/>
        <rFont val="Garamond"/>
        <family val="1"/>
      </rPr>
      <t xml:space="preserve"> the Trend Reverses [i.e., the RSI goes below 45 (in case of a Long trade) </t>
    </r>
    <r>
      <rPr>
        <b/>
        <sz val="10"/>
        <color rgb="FFFF0000"/>
        <rFont val="Garamond"/>
        <family val="1"/>
      </rPr>
      <t>OR</t>
    </r>
    <r>
      <rPr>
        <sz val="10"/>
        <color theme="1"/>
        <rFont val="Garamond"/>
        <family val="1"/>
      </rPr>
      <t xml:space="preserve"> the RSI goes above 55 (in case of a Short trade)]. </t>
    </r>
  </si>
  <si>
    <t>Entry, Pyramiding, Profit Target, Trailing Stop Loss &amp; Stop Loss :</t>
  </si>
  <si>
    <r>
      <rPr>
        <b/>
        <sz val="10"/>
        <color theme="1"/>
        <rFont val="Garamond"/>
        <family val="1"/>
      </rPr>
      <t>Find the Un-Hedged Factor of the pair :</t>
    </r>
    <r>
      <rPr>
        <b/>
        <sz val="10"/>
        <color rgb="FF0000CC"/>
        <rFont val="Garamond"/>
        <family val="1"/>
      </rPr>
      <t xml:space="preserve">
Un-Hedged Factor = 1 - (Transaction Value of Scrip 1 / Transaction Value of Scrip 2)</t>
    </r>
    <r>
      <rPr>
        <sz val="10"/>
        <color theme="1"/>
        <rFont val="Garamond"/>
        <family val="1"/>
      </rPr>
      <t xml:space="preserve">
</t>
    </r>
    <r>
      <rPr>
        <sz val="10"/>
        <color rgb="FFFF0000"/>
        <rFont val="Garamond"/>
        <family val="1"/>
      </rPr>
      <t>[The No. of Lots of each pair will be balanced in such a way the the Un-Hedged Factor is between 5% &amp; -5%.]</t>
    </r>
  </si>
  <si>
    <r>
      <rPr>
        <b/>
        <sz val="10"/>
        <color theme="1"/>
        <rFont val="Garamond"/>
        <family val="1"/>
      </rPr>
      <t>Calculate the Transaction Value of each Scrip of the Pair by Multiplying the (a) Last Traded Price, (b) No. of Lots, (c) Lot Size (Quantity per Lot) and (d) Beta of the Scrip vis-a-vis Nifty :</t>
    </r>
    <r>
      <rPr>
        <sz val="10"/>
        <color theme="1"/>
        <rFont val="Garamond"/>
        <family val="1"/>
      </rPr>
      <t xml:space="preserve">
</t>
    </r>
    <r>
      <rPr>
        <b/>
        <sz val="10"/>
        <color rgb="FF0000CC"/>
        <rFont val="Garamond"/>
        <family val="1"/>
      </rPr>
      <t>Transaction Value of Scrip = (Last Traded Price x No. of Lots x Lot Size x Beta)</t>
    </r>
    <r>
      <rPr>
        <sz val="10"/>
        <color theme="1"/>
        <rFont val="Garamond"/>
        <family val="1"/>
      </rPr>
      <t xml:space="preserve">
</t>
    </r>
    <r>
      <rPr>
        <sz val="10"/>
        <color rgb="FFFF0000"/>
        <rFont val="Garamond"/>
        <family val="1"/>
      </rPr>
      <t>[The 'No. of Lots' of each scrip will have to be balanced in such a way that the Transaction Value of each Scrip is almost equal to each other.]</t>
    </r>
  </si>
  <si>
    <r>
      <rPr>
        <b/>
        <sz val="10"/>
        <color theme="1"/>
        <rFont val="Garamond"/>
        <family val="1"/>
      </rPr>
      <t xml:space="preserve">Entry &amp; Exit Signals : </t>
    </r>
    <r>
      <rPr>
        <sz val="10"/>
        <color theme="1"/>
        <rFont val="Garamond"/>
        <family val="1"/>
      </rPr>
      <t>Real Time Streaming Data</t>
    </r>
  </si>
  <si>
    <r>
      <rPr>
        <b/>
        <sz val="10"/>
        <color theme="1"/>
        <rFont val="Garamond"/>
        <family val="1"/>
      </rPr>
      <t>Trend Confirmation &amp; Filters :</t>
    </r>
    <r>
      <rPr>
        <sz val="10"/>
        <color theme="1"/>
        <rFont val="Garamond"/>
        <family val="1"/>
      </rPr>
      <t xml:space="preserve"> Daily Time Frame</t>
    </r>
  </si>
  <si>
    <t xml:space="preserve">General Rules : </t>
  </si>
  <si>
    <t>All the calculations for the Previous Day should be done basis the EOD Closing Prices, while the calculations for the Current Day should be done basis the Real Time Streaming Prices.</t>
  </si>
  <si>
    <t>Variables :</t>
  </si>
  <si>
    <t>Minimum Individual Scrip Volatility</t>
  </si>
  <si>
    <t>Trade Initiation Standard Deviation</t>
  </si>
  <si>
    <t>Minimum Stop Loss %</t>
  </si>
  <si>
    <t>Risky Trades</t>
  </si>
  <si>
    <t>Risky Trades (Y / N)</t>
  </si>
  <si>
    <t>Risky Trade Factor</t>
  </si>
  <si>
    <t>Minimum Correlation</t>
  </si>
  <si>
    <t>MACD Histogram Bars (2 / 3)</t>
  </si>
  <si>
    <t>Capital Employed</t>
  </si>
  <si>
    <t>Maximum Capital Utilisation</t>
  </si>
  <si>
    <t>Slippage %</t>
  </si>
  <si>
    <t>Maximum Risk per Trade %</t>
  </si>
  <si>
    <t>% Reduction in Risk</t>
  </si>
  <si>
    <t>Risk Free Return</t>
  </si>
  <si>
    <r>
      <rPr>
        <b/>
        <i/>
        <sz val="10"/>
        <color theme="1"/>
        <rFont val="Garamond"/>
        <family val="1"/>
      </rPr>
      <t xml:space="preserve">First Filter : </t>
    </r>
    <r>
      <rPr>
        <i/>
        <sz val="10"/>
        <color theme="1"/>
        <rFont val="Garamond"/>
        <family val="1"/>
      </rPr>
      <t>Conditions to generate Basic Buy Signals</t>
    </r>
  </si>
  <si>
    <r>
      <rPr>
        <b/>
        <i/>
        <sz val="10"/>
        <color theme="1"/>
        <rFont val="Garamond"/>
        <family val="1"/>
      </rPr>
      <t xml:space="preserve">Second Filter : </t>
    </r>
    <r>
      <rPr>
        <i/>
        <sz val="10"/>
        <color theme="1"/>
        <rFont val="Garamond"/>
        <family val="1"/>
      </rPr>
      <t>Conditions to Filter the Trades after the Basic Buy signals are generated</t>
    </r>
  </si>
  <si>
    <r>
      <rPr>
        <b/>
        <i/>
        <sz val="10"/>
        <color theme="1"/>
        <rFont val="Garamond"/>
        <family val="1"/>
      </rPr>
      <t xml:space="preserve">Third Filter : </t>
    </r>
    <r>
      <rPr>
        <i/>
        <sz val="10"/>
        <color theme="1"/>
        <rFont val="Garamond"/>
        <family val="1"/>
      </rPr>
      <t>Conditions to further Filter the Trades inorder to generate High Probablity Buy signals</t>
    </r>
  </si>
  <si>
    <r>
      <rPr>
        <b/>
        <i/>
        <sz val="10"/>
        <color theme="1"/>
        <rFont val="Garamond"/>
        <family val="1"/>
      </rPr>
      <t xml:space="preserve">First Filter : </t>
    </r>
    <r>
      <rPr>
        <i/>
        <sz val="10"/>
        <color theme="1"/>
        <rFont val="Garamond"/>
        <family val="1"/>
      </rPr>
      <t>Conditions to generate Basic Sell Signals</t>
    </r>
  </si>
  <si>
    <r>
      <rPr>
        <b/>
        <i/>
        <sz val="10"/>
        <color theme="1"/>
        <rFont val="Garamond"/>
        <family val="1"/>
      </rPr>
      <t xml:space="preserve">Second Filter : </t>
    </r>
    <r>
      <rPr>
        <i/>
        <sz val="10"/>
        <color theme="1"/>
        <rFont val="Garamond"/>
        <family val="1"/>
      </rPr>
      <t>Conditions to Filter the Trades after the Basic Sell signals are generated</t>
    </r>
  </si>
  <si>
    <r>
      <rPr>
        <b/>
        <i/>
        <sz val="10"/>
        <color theme="1"/>
        <rFont val="Garamond"/>
        <family val="1"/>
      </rPr>
      <t xml:space="preserve">Third Filter : </t>
    </r>
    <r>
      <rPr>
        <i/>
        <sz val="10"/>
        <color theme="1"/>
        <rFont val="Garamond"/>
        <family val="1"/>
      </rPr>
      <t>Conditions to further Filter the Trades inorder to generate High Probablity Sell signals</t>
    </r>
  </si>
  <si>
    <t>:</t>
  </si>
  <si>
    <t>Intraday Annual Volatility (I) / Historical Annual Volatility (P)</t>
  </si>
  <si>
    <t>N</t>
  </si>
  <si>
    <t>I</t>
  </si>
  <si>
    <t>Current Expiry Month</t>
  </si>
  <si>
    <t>Next Expiry Month</t>
  </si>
  <si>
    <t>Brokerage</t>
  </si>
  <si>
    <t>Turnover Charges</t>
  </si>
  <si>
    <t>Service Tax (including Cess)</t>
  </si>
  <si>
    <t>SEBI Charges</t>
  </si>
  <si>
    <t>Stamp Duty Charges</t>
  </si>
  <si>
    <t>STT</t>
  </si>
  <si>
    <t>Slippage</t>
  </si>
  <si>
    <t>Total Charges to be Deducted :</t>
  </si>
  <si>
    <t>(vii)</t>
  </si>
  <si>
    <t>Three Filters for Entry Signals for Pairs that are Up Trending :</t>
  </si>
  <si>
    <t>Three Filters for Entry Signals for Pairs that are Down Trending :</t>
  </si>
  <si>
    <t>Variables required for the system along with their default values are listed below. The same can be changed as required.</t>
  </si>
  <si>
    <r>
      <rPr>
        <b/>
        <sz val="10"/>
        <color theme="1"/>
        <rFont val="Garamond"/>
        <family val="1"/>
      </rPr>
      <t>Profit Target :</t>
    </r>
    <r>
      <rPr>
        <sz val="10"/>
        <color theme="1"/>
        <rFont val="Garamond"/>
        <family val="1"/>
      </rPr>
      <t xml:space="preserve">
The Trades should be exited if any one of the following conditions are triggered,
(a) if the Net Profit touches 10%, the first position should be exited, while the balance trades should be trailed by 2%; </t>
    </r>
    <r>
      <rPr>
        <b/>
        <sz val="10"/>
        <color rgb="FFFF0000"/>
        <rFont val="Garamond"/>
        <family val="1"/>
      </rPr>
      <t>OR</t>
    </r>
    <r>
      <rPr>
        <sz val="10"/>
        <color theme="1"/>
        <rFont val="Garamond"/>
        <family val="1"/>
      </rPr>
      <t xml:space="preserve">
(b) if the Net Profit is Greater Than Zero </t>
    </r>
    <r>
      <rPr>
        <b/>
        <sz val="10"/>
        <color rgb="FFFF0000"/>
        <rFont val="Garamond"/>
        <family val="1"/>
      </rPr>
      <t>AND</t>
    </r>
    <r>
      <rPr>
        <sz val="10"/>
        <color theme="1"/>
        <rFont val="Garamond"/>
        <family val="1"/>
      </rPr>
      <t xml:space="preserve"> the Current Spread/PR/Ratio crosses the Mean Spread/PR/Ratio on the opposite side of the trade; </t>
    </r>
    <r>
      <rPr>
        <b/>
        <sz val="10"/>
        <color rgb="FFFF0000"/>
        <rFont val="Garamond"/>
        <family val="1"/>
      </rPr>
      <t>OR</t>
    </r>
    <r>
      <rPr>
        <sz val="10"/>
        <color theme="1"/>
        <rFont val="Garamond"/>
        <family val="1"/>
      </rPr>
      <t xml:space="preserve">
(c) if the Net Profit is Greater Than Zero </t>
    </r>
    <r>
      <rPr>
        <b/>
        <sz val="10"/>
        <color rgb="FFFF0000"/>
        <rFont val="Garamond"/>
        <family val="1"/>
      </rPr>
      <t>AND</t>
    </r>
    <r>
      <rPr>
        <sz val="10"/>
        <color theme="1"/>
        <rFont val="Garamond"/>
        <family val="1"/>
      </rPr>
      <t xml:space="preserve"> the Trend Reverses [i.e., the RAVI Decreases </t>
    </r>
    <r>
      <rPr>
        <b/>
        <sz val="10"/>
        <color rgb="FFFF0000"/>
        <rFont val="Garamond"/>
        <family val="1"/>
      </rPr>
      <t>AND</t>
    </r>
    <r>
      <rPr>
        <sz val="10"/>
        <color theme="1"/>
        <rFont val="Garamond"/>
        <family val="1"/>
      </rPr>
      <t xml:space="preserve"> RSI Reverses </t>
    </r>
    <r>
      <rPr>
        <b/>
        <sz val="10"/>
        <color rgb="FFFF0000"/>
        <rFont val="Garamond"/>
        <family val="1"/>
      </rPr>
      <t>AND</t>
    </r>
    <r>
      <rPr>
        <sz val="10"/>
        <color theme="1"/>
        <rFont val="Garamond"/>
        <family val="1"/>
      </rPr>
      <t xml:space="preserve"> MACD Histogram changes Trend </t>
    </r>
    <r>
      <rPr>
        <b/>
        <sz val="10"/>
        <color rgb="FFFF0000"/>
        <rFont val="Garamond"/>
        <family val="1"/>
      </rPr>
      <t>AND</t>
    </r>
    <r>
      <rPr>
        <sz val="10"/>
        <color theme="1"/>
        <rFont val="Garamond"/>
        <family val="1"/>
      </rPr>
      <t xml:space="preserve"> the Difference between the % Difference of (Current Spread - Current Mean Spread) &amp; the % Difference of (Previous Spread - Previous Mean Spread) Contracts].
(d) if the Net Profit is Greater Than Zero </t>
    </r>
    <r>
      <rPr>
        <b/>
        <sz val="10"/>
        <color rgb="FFFF0000"/>
        <rFont val="Garamond"/>
        <family val="1"/>
      </rPr>
      <t>AND</t>
    </r>
    <r>
      <rPr>
        <sz val="10"/>
        <color theme="1"/>
        <rFont val="Garamond"/>
        <family val="1"/>
      </rPr>
      <t xml:space="preserve"> the Trend Reverses [i.e., the RSI goes below 45 (in case of a Long trade) </t>
    </r>
    <r>
      <rPr>
        <b/>
        <sz val="10"/>
        <color rgb="FFFF0000"/>
        <rFont val="Garamond"/>
        <family val="1"/>
      </rPr>
      <t>OR</t>
    </r>
    <r>
      <rPr>
        <sz val="10"/>
        <color theme="1"/>
        <rFont val="Garamond"/>
        <family val="1"/>
      </rPr>
      <t xml:space="preserve"> the RSI goes above 55 (in case of a Short trade)]. </t>
    </r>
  </si>
  <si>
    <t>e)</t>
  </si>
  <si>
    <r>
      <rPr>
        <b/>
        <sz val="10"/>
        <color theme="1"/>
        <rFont val="Garamond"/>
        <family val="1"/>
      </rPr>
      <t xml:space="preserve">Difference between the Current Day's RAVI(3,21) &amp; the Previous Day's RAVI(3,21) </t>
    </r>
    <r>
      <rPr>
        <b/>
        <sz val="10"/>
        <color rgb="FFFF0000"/>
        <rFont val="Garamond"/>
        <family val="1"/>
      </rPr>
      <t>OR</t>
    </r>
    <r>
      <rPr>
        <b/>
        <sz val="10"/>
        <color theme="1"/>
        <rFont val="Garamond"/>
        <family val="1"/>
      </rPr>
      <t xml:space="preserve"> Difference between the Current Day's RAVI(3,21) &amp; the Current Day's RAVI(3,21) calculated prior to 5 Minutes : </t>
    </r>
    <r>
      <rPr>
        <sz val="10"/>
        <color theme="1"/>
        <rFont val="Garamond"/>
        <family val="1"/>
      </rPr>
      <t xml:space="preserve">This is used in </t>
    </r>
    <r>
      <rPr>
        <b/>
        <sz val="10"/>
        <color theme="1"/>
        <rFont val="Garamond"/>
        <family val="1"/>
      </rPr>
      <t>Trend Reversal Exit Signal</t>
    </r>
    <r>
      <rPr>
        <sz val="10"/>
        <color theme="1"/>
        <rFont val="Garamond"/>
        <family val="1"/>
      </rPr>
      <t xml:space="preserve">. It helps to check if the RAVI is Declining vis-a-vis the previous figure, which also means that the Trend strength is weakening.
</t>
    </r>
    <r>
      <rPr>
        <b/>
        <sz val="10"/>
        <color rgb="FF0000CC"/>
        <rFont val="Garamond"/>
        <family val="1"/>
      </rPr>
      <t>If [Previous RAVI &gt;=0 AND (Current RAVI - Previous RAVI) &lt; 0], Then "Declining", Else "Rising"
If [Previous RAVI &lt;0 AND (Current RAVI - Previous RAVI) &gt; 0], Then "Rising", Else "Declining"</t>
    </r>
  </si>
  <si>
    <t>f)</t>
  </si>
  <si>
    <t>g)</t>
  </si>
  <si>
    <t>h)</t>
  </si>
  <si>
    <r>
      <rPr>
        <b/>
        <sz val="10"/>
        <color theme="1"/>
        <rFont val="Garamond"/>
        <family val="1"/>
      </rPr>
      <t xml:space="preserve">Difference between the Current Day's RSI(8) &amp; the Previous Day's RSI(8) </t>
    </r>
    <r>
      <rPr>
        <b/>
        <sz val="10"/>
        <color rgb="FFFF0000"/>
        <rFont val="Garamond"/>
        <family val="1"/>
      </rPr>
      <t>OR</t>
    </r>
    <r>
      <rPr>
        <b/>
        <sz val="10"/>
        <color theme="1"/>
        <rFont val="Garamond"/>
        <family val="1"/>
      </rPr>
      <t xml:space="preserve"> Difference between the Current Day's RSI(8) &amp; the Current Day's RSI(8) calculated prior to 5 Minutes : </t>
    </r>
    <r>
      <rPr>
        <sz val="10"/>
        <color theme="1"/>
        <rFont val="Garamond"/>
        <family val="1"/>
      </rPr>
      <t xml:space="preserve">This is used in </t>
    </r>
    <r>
      <rPr>
        <b/>
        <sz val="10"/>
        <color theme="1"/>
        <rFont val="Garamond"/>
        <family val="1"/>
      </rPr>
      <t>Trend Reversal Exit Signal</t>
    </r>
    <r>
      <rPr>
        <sz val="10"/>
        <color theme="1"/>
        <rFont val="Garamond"/>
        <family val="1"/>
      </rPr>
      <t xml:space="preserve">. It helps to check if the RSI is Reversing vis-a-vis the previous figure, which also means that the Trend strength is weakening.
</t>
    </r>
    <r>
      <rPr>
        <b/>
        <sz val="10"/>
        <color rgb="FF0000CC"/>
        <rFont val="Garamond"/>
        <family val="1"/>
      </rPr>
      <t>If [Current RSI &gt;= 55 AND Previous RSI &gt;= 55 AND Current RSI &gt; Previous RSI], Then "Trending"
Else If [Current RSI &gt;= 55 AND Previous RSI &gt;= 55 AND Current RSI &lt; Previous RSI], Then "Reversing"
Else "Flat".
If [Current RSI &lt;= 45 AND Previous RSI &lt;= 45 AND Current RSI &lt; Previous RSI], Then "Trending"
Else If [Current RSI &lt;= 45 AND Previous RSI &lt;= 45 AND Current RSI &gt; Previous RSI], Then "Reversing"
Else "Flat".
If [Current RSI &gt;= 55 AND Previous RSI &lt; 55 AND Current RSI &gt; Previous RSI], Then "Trending".
If [Current RSI &lt;= 45 AND Previous RSI &gt; 45 AND Current RSI &lt; Previous RSI], Then "Trending".</t>
    </r>
  </si>
  <si>
    <r>
      <rPr>
        <b/>
        <sz val="10"/>
        <color theme="1"/>
        <rFont val="Garamond"/>
        <family val="1"/>
      </rPr>
      <t xml:space="preserve">RSI(8) : </t>
    </r>
    <r>
      <rPr>
        <sz val="10"/>
        <color theme="1"/>
        <rFont val="Garamond"/>
        <family val="1"/>
      </rPr>
      <t xml:space="preserve">This is used in </t>
    </r>
    <r>
      <rPr>
        <b/>
        <sz val="10"/>
        <color theme="1"/>
        <rFont val="Garamond"/>
        <family val="1"/>
      </rPr>
      <t>Mean Cross Exit Signal</t>
    </r>
    <r>
      <rPr>
        <sz val="10"/>
        <color theme="1"/>
        <rFont val="Garamond"/>
        <family val="1"/>
      </rPr>
      <t xml:space="preserve"> to check if the RSI(8) is "</t>
    </r>
    <r>
      <rPr>
        <b/>
        <sz val="10"/>
        <color theme="1"/>
        <rFont val="Garamond"/>
        <family val="1"/>
      </rPr>
      <t>Less Than or Equal To</t>
    </r>
    <r>
      <rPr>
        <sz val="10"/>
        <color theme="1"/>
        <rFont val="Garamond"/>
        <family val="1"/>
      </rPr>
      <t xml:space="preserve">" </t>
    </r>
    <r>
      <rPr>
        <b/>
        <sz val="10"/>
        <color theme="1"/>
        <rFont val="Garamond"/>
        <family val="1"/>
      </rPr>
      <t>45</t>
    </r>
    <r>
      <rPr>
        <sz val="10"/>
        <color theme="1"/>
        <rFont val="Garamond"/>
        <family val="1"/>
      </rPr>
      <t xml:space="preserve">, which means that the Current Spread has moved from being Bullish to Bearish.
</t>
    </r>
    <r>
      <rPr>
        <b/>
        <sz val="10"/>
        <color rgb="FF0000CC"/>
        <rFont val="Garamond"/>
        <family val="1"/>
      </rPr>
      <t>RSI(8) &lt;= 45</t>
    </r>
  </si>
  <si>
    <r>
      <rPr>
        <b/>
        <sz val="10"/>
        <color theme="1"/>
        <rFont val="Garamond"/>
        <family val="1"/>
      </rPr>
      <t xml:space="preserve">% Returns : </t>
    </r>
    <r>
      <rPr>
        <sz val="10"/>
        <color theme="1"/>
        <rFont val="Garamond"/>
        <family val="1"/>
      </rPr>
      <t xml:space="preserve">This is also used for </t>
    </r>
    <r>
      <rPr>
        <b/>
        <sz val="10"/>
        <color theme="1"/>
        <rFont val="Garamond"/>
        <family val="1"/>
      </rPr>
      <t>Exits</t>
    </r>
    <r>
      <rPr>
        <sz val="10"/>
        <color theme="1"/>
        <rFont val="Garamond"/>
        <family val="1"/>
      </rPr>
      <t xml:space="preserve"> which depend on the Profit Target &amp; Stop Loss.
</t>
    </r>
    <r>
      <rPr>
        <b/>
        <sz val="10"/>
        <color rgb="FF0000CC"/>
        <rFont val="Garamond"/>
        <family val="1"/>
      </rPr>
      <t>% Returns = Net Profit (or Loss) / Approx. Total Margin</t>
    </r>
    <r>
      <rPr>
        <sz val="10"/>
        <color theme="1"/>
        <rFont val="Garamond"/>
        <family val="1"/>
      </rPr>
      <t xml:space="preserve">
</t>
    </r>
    <r>
      <rPr>
        <sz val="10"/>
        <color rgb="FFFF0000"/>
        <rFont val="Garamond"/>
        <family val="1"/>
      </rPr>
      <t>[Refer the section "B] Entry, Pyramiding, Profit Target, Trailing Stop Loss &amp; Stop Loss", points 3, 4 &amp; 5.]</t>
    </r>
  </si>
  <si>
    <r>
      <rPr>
        <b/>
        <sz val="10"/>
        <color theme="1"/>
        <rFont val="Garamond"/>
        <family val="1"/>
      </rPr>
      <t xml:space="preserve">Net Profit : </t>
    </r>
    <r>
      <rPr>
        <sz val="10"/>
        <color theme="1"/>
        <rFont val="Garamond"/>
        <family val="1"/>
      </rPr>
      <t xml:space="preserve">This is used for </t>
    </r>
    <r>
      <rPr>
        <b/>
        <sz val="10"/>
        <color theme="1"/>
        <rFont val="Garamond"/>
        <family val="1"/>
      </rPr>
      <t>Exits</t>
    </r>
    <r>
      <rPr>
        <sz val="10"/>
        <color theme="1"/>
        <rFont val="Garamond"/>
        <family val="1"/>
      </rPr>
      <t xml:space="preserve"> which depend on the Profit Target &amp; Stop Loss. If this figure is Greater Than 0, then there is Net Profit but if it is Less Than or Equal to 0, then there is Net Loss.
</t>
    </r>
    <r>
      <rPr>
        <b/>
        <sz val="10"/>
        <color rgb="FF0000CC"/>
        <rFont val="Garamond"/>
        <family val="1"/>
      </rPr>
      <t>Net Profit = Gross Profit - Charges</t>
    </r>
    <r>
      <rPr>
        <sz val="10"/>
        <color theme="1"/>
        <rFont val="Garamond"/>
        <family val="1"/>
      </rPr>
      <t xml:space="preserve">
</t>
    </r>
    <r>
      <rPr>
        <sz val="10"/>
        <color rgb="FFFF0000"/>
        <rFont val="Garamond"/>
        <family val="1"/>
      </rPr>
      <t>[Refer the section "B] Entry, Pyramiding, Profit Target, Trailing Stop Loss &amp; Stop Loss", points 3, 4 &amp; 5.]</t>
    </r>
  </si>
  <si>
    <r>
      <rPr>
        <b/>
        <sz val="10"/>
        <color theme="1"/>
        <rFont val="Garamond"/>
        <family val="1"/>
      </rPr>
      <t xml:space="preserve">% Difference of (Current Spread - Current Mean Spread) : </t>
    </r>
    <r>
      <rPr>
        <sz val="10"/>
        <color theme="1"/>
        <rFont val="Garamond"/>
        <family val="1"/>
      </rPr>
      <t xml:space="preserve">This is used in </t>
    </r>
    <r>
      <rPr>
        <b/>
        <sz val="10"/>
        <color theme="1"/>
        <rFont val="Garamond"/>
        <family val="1"/>
      </rPr>
      <t xml:space="preserve">Mean Cross Exit Signal </t>
    </r>
    <r>
      <rPr>
        <sz val="10"/>
        <color theme="1"/>
        <rFont val="Garamond"/>
        <family val="1"/>
      </rPr>
      <t xml:space="preserve">to check if the Current Spread has crossed </t>
    </r>
    <r>
      <rPr>
        <b/>
        <sz val="10"/>
        <color theme="1"/>
        <rFont val="Garamond"/>
        <family val="1"/>
      </rPr>
      <t>Above</t>
    </r>
    <r>
      <rPr>
        <sz val="10"/>
        <color theme="1"/>
        <rFont val="Garamond"/>
        <family val="1"/>
      </rPr>
      <t xml:space="preserve"> the Mean Spread. 
</t>
    </r>
    <r>
      <rPr>
        <b/>
        <sz val="10"/>
        <color rgb="FF0000CC"/>
        <rFont val="Garamond"/>
        <family val="1"/>
      </rPr>
      <t>% Difference = (Current Spread - Current Mean Spread) / Current Mean Spread x 100</t>
    </r>
    <r>
      <rPr>
        <sz val="10"/>
        <color theme="1"/>
        <rFont val="Garamond"/>
        <family val="1"/>
      </rPr>
      <t xml:space="preserve">
</t>
    </r>
    <r>
      <rPr>
        <sz val="10"/>
        <color rgb="FFFF0000"/>
        <rFont val="Garamond"/>
        <family val="1"/>
      </rPr>
      <t>[This is also used to find the distance between the Current Spread &amp; the Mean Spread. It helps us to understand the position of the Current Spread vis-a-vis the Current Mean Spread.
Further, in a Short trade, if the current day's % Difference decreases vis-a-vis the previous day's % Difference, it means that the Current Spread is moving downwards, away from the Mean Spread (i.e., the Spread is Diverging &amp; it is thus Trending).
Similarly, in a Short trade, if the current day's % Difference increases vis-a-vis the previous day's % Difference, it means that the Current Spread is moving upwards towards the Mean Spread (i.e., the Spread is Converging &amp; the Trend of the Spread is thus weakening).
Furthermore, if this % Difference becomes Zero and goes from Negative to Positive, it means that the Spread has crossed the Mean and that it is now Trending Up.]</t>
    </r>
  </si>
  <si>
    <r>
      <rPr>
        <b/>
        <sz val="10"/>
        <color theme="1"/>
        <rFont val="Garamond"/>
        <family val="1"/>
      </rPr>
      <t xml:space="preserve">% Difference of (Current Spread - Current Mean Spread) : </t>
    </r>
    <r>
      <rPr>
        <sz val="10"/>
        <color theme="1"/>
        <rFont val="Garamond"/>
        <family val="1"/>
      </rPr>
      <t xml:space="preserve">This is used in </t>
    </r>
    <r>
      <rPr>
        <b/>
        <sz val="10"/>
        <color theme="1"/>
        <rFont val="Garamond"/>
        <family val="1"/>
      </rPr>
      <t xml:space="preserve">Mean Cross Exit Signal </t>
    </r>
    <r>
      <rPr>
        <sz val="10"/>
        <color theme="1"/>
        <rFont val="Garamond"/>
        <family val="1"/>
      </rPr>
      <t xml:space="preserve">to check if the Current Spread has crossed </t>
    </r>
    <r>
      <rPr>
        <b/>
        <sz val="10"/>
        <color theme="1"/>
        <rFont val="Garamond"/>
        <family val="1"/>
      </rPr>
      <t>Below</t>
    </r>
    <r>
      <rPr>
        <sz val="10"/>
        <color theme="1"/>
        <rFont val="Garamond"/>
        <family val="1"/>
      </rPr>
      <t xml:space="preserve"> the Mean Spread. 
</t>
    </r>
    <r>
      <rPr>
        <b/>
        <sz val="10"/>
        <color rgb="FF0000CC"/>
        <rFont val="Garamond"/>
        <family val="1"/>
      </rPr>
      <t>% Difference = (Current Spread - Current Mean Spread) / Current Mean Spread x 100</t>
    </r>
    <r>
      <rPr>
        <sz val="10"/>
        <color theme="1"/>
        <rFont val="Garamond"/>
        <family val="1"/>
      </rPr>
      <t xml:space="preserve">
</t>
    </r>
    <r>
      <rPr>
        <sz val="10"/>
        <color rgb="FFFF0000"/>
        <rFont val="Garamond"/>
        <family val="1"/>
      </rPr>
      <t>[This is also used to find the distance between the Current Spread &amp; the Mean Spread. It helps us to understand the position of the Current Spread vis-a-vis the Current Mean Spread.
Further, in a Long trade, if the current day's % Difference increases vis-a-vis the previous day's % Difference, it means that the Current Spread is moving upwards, away from the Mean Spread (i.e., the Spread is Diverging &amp; it is thus Trending).
Similarly, in a Long trade, if the current day's % Difference decreases vis-a-vis the previous day's % Difference, it means that the Current Spread is moving downwards towards the Mean Spread (i.e., the Spread is Converging &amp; the Trend of the Spread is thus weakening).
Furthermore, if this % Difference becomes Zero and goes from Positive to Negative, it means that the Spread has crossed the Mean and that it is now Trending Down.]</t>
    </r>
  </si>
  <si>
    <r>
      <rPr>
        <b/>
        <sz val="10"/>
        <color theme="1"/>
        <rFont val="Garamond"/>
        <family val="1"/>
      </rPr>
      <t xml:space="preserve">Difference between the % Difference of (Current Spread - Current Mean Spread) &amp; the % Difference of (Previous Spread - Previous Mean Spread) : </t>
    </r>
    <r>
      <rPr>
        <sz val="10"/>
        <color theme="1"/>
        <rFont val="Garamond"/>
        <family val="1"/>
      </rPr>
      <t xml:space="preserve">This is used in </t>
    </r>
    <r>
      <rPr>
        <b/>
        <sz val="10"/>
        <color theme="1"/>
        <rFont val="Garamond"/>
        <family val="1"/>
      </rPr>
      <t>Trend Reversal Exit Signal</t>
    </r>
    <r>
      <rPr>
        <sz val="10"/>
        <color theme="1"/>
        <rFont val="Garamond"/>
        <family val="1"/>
      </rPr>
      <t xml:space="preserve">. It helps to check if the Current Spread has </t>
    </r>
    <r>
      <rPr>
        <b/>
        <sz val="10"/>
        <color theme="1"/>
        <rFont val="Garamond"/>
        <family val="1"/>
      </rPr>
      <t>converged</t>
    </r>
    <r>
      <rPr>
        <sz val="10"/>
        <color theme="1"/>
        <rFont val="Garamond"/>
        <family val="1"/>
      </rPr>
      <t xml:space="preserve"> towards the Current Mean Spread.
</t>
    </r>
    <r>
      <rPr>
        <b/>
        <sz val="10"/>
        <color rgb="FF0000CC"/>
        <rFont val="Garamond"/>
        <family val="1"/>
      </rPr>
      <t>If [Previous % Difference &gt;=0 AND (Current % Difference - Previous % Difference) &lt; 0], Then "Convergence", Else "Divergence"
If [Previous % Difference &lt;0 AND (Current % Difference - Previous % Difference) &gt; 0], Then "Convergence", Else "Divergence"</t>
    </r>
    <r>
      <rPr>
        <sz val="10"/>
        <color theme="1"/>
        <rFont val="Garamond"/>
        <family val="1"/>
      </rPr>
      <t xml:space="preserve">
</t>
    </r>
    <r>
      <rPr>
        <sz val="10"/>
        <color rgb="FFFF0000"/>
        <rFont val="Garamond"/>
        <family val="1"/>
      </rPr>
      <t>[This is also used to check if the distance / gap between the Current Spread &amp; Current Mean Spread vis-a-vis the Previous Spread &amp; Previous Mean Spread has increased or decreased. If this gap has increased, it means that the Current Spread has not only moved away from the Mean, but it has also moved upwards as compared to the previous day.]</t>
    </r>
  </si>
  <si>
    <r>
      <rPr>
        <b/>
        <sz val="10"/>
        <color theme="1"/>
        <rFont val="Garamond"/>
        <family val="1"/>
      </rPr>
      <t xml:space="preserve">RSI(8) : </t>
    </r>
    <r>
      <rPr>
        <sz val="10"/>
        <color theme="1"/>
        <rFont val="Garamond"/>
        <family val="1"/>
      </rPr>
      <t xml:space="preserve">This is used in </t>
    </r>
    <r>
      <rPr>
        <b/>
        <sz val="10"/>
        <color theme="1"/>
        <rFont val="Garamond"/>
        <family val="1"/>
      </rPr>
      <t>Mean Cross Exit Signal</t>
    </r>
    <r>
      <rPr>
        <sz val="10"/>
        <color theme="1"/>
        <rFont val="Garamond"/>
        <family val="1"/>
      </rPr>
      <t xml:space="preserve"> to check if the RSI(8) is "</t>
    </r>
    <r>
      <rPr>
        <b/>
        <sz val="10"/>
        <color theme="1"/>
        <rFont val="Garamond"/>
        <family val="1"/>
      </rPr>
      <t>Greater Than or Equal To</t>
    </r>
    <r>
      <rPr>
        <sz val="10"/>
        <color theme="1"/>
        <rFont val="Garamond"/>
        <family val="1"/>
      </rPr>
      <t>" 5</t>
    </r>
    <r>
      <rPr>
        <b/>
        <sz val="10"/>
        <color theme="1"/>
        <rFont val="Garamond"/>
        <family val="1"/>
      </rPr>
      <t>5</t>
    </r>
    <r>
      <rPr>
        <sz val="10"/>
        <color theme="1"/>
        <rFont val="Garamond"/>
        <family val="1"/>
      </rPr>
      <t xml:space="preserve">, which means that the Current Spread has moved from being Bearish to Bullish.
</t>
    </r>
    <r>
      <rPr>
        <b/>
        <sz val="10"/>
        <color rgb="FF0000CC"/>
        <rFont val="Garamond"/>
        <family val="1"/>
      </rPr>
      <t>RSI(8) &gt;= 55</t>
    </r>
  </si>
  <si>
    <r>
      <rPr>
        <b/>
        <sz val="10"/>
        <color theme="1"/>
        <rFont val="Garamond"/>
        <family val="1"/>
      </rPr>
      <t xml:space="preserve">% Returns : </t>
    </r>
    <r>
      <rPr>
        <sz val="10"/>
        <color theme="1"/>
        <rFont val="Garamond"/>
        <family val="1"/>
      </rPr>
      <t xml:space="preserve">This is also used in </t>
    </r>
    <r>
      <rPr>
        <b/>
        <sz val="10"/>
        <color theme="1"/>
        <rFont val="Garamond"/>
        <family val="1"/>
      </rPr>
      <t>Warning Signal</t>
    </r>
    <r>
      <rPr>
        <sz val="10"/>
        <color theme="1"/>
        <rFont val="Garamond"/>
        <family val="1"/>
      </rPr>
      <t xml:space="preserve"> to indicate how close the Net Loss is to the -10% Stop Loss.
</t>
    </r>
    <r>
      <rPr>
        <b/>
        <sz val="10"/>
        <color rgb="FF0000CC"/>
        <rFont val="Garamond"/>
        <family val="1"/>
      </rPr>
      <t>If [% Returns &gt;= 7% of Net Loss AND % Returns &lt; 10% of Net Loss], Then "Watch Out - Near 10% Stop Loss Level"</t>
    </r>
  </si>
  <si>
    <r>
      <rPr>
        <b/>
        <sz val="10"/>
        <color theme="1"/>
        <rFont val="Garamond"/>
        <family val="1"/>
      </rPr>
      <t xml:space="preserve">% Difference of (Current Spread - Current Mean Spread) : </t>
    </r>
    <r>
      <rPr>
        <sz val="10"/>
        <color theme="1"/>
        <rFont val="Garamond"/>
        <family val="1"/>
      </rPr>
      <t xml:space="preserve">It is also used in </t>
    </r>
    <r>
      <rPr>
        <b/>
        <sz val="10"/>
        <color theme="1"/>
        <rFont val="Garamond"/>
        <family val="1"/>
      </rPr>
      <t xml:space="preserve">Warning Signal </t>
    </r>
    <r>
      <rPr>
        <sz val="10"/>
        <color theme="1"/>
        <rFont val="Garamond"/>
        <family val="1"/>
      </rPr>
      <t xml:space="preserve">to check how far is the Current Spread from the Mean Spread and also if the Current Spread has </t>
    </r>
    <r>
      <rPr>
        <b/>
        <sz val="10"/>
        <color theme="1"/>
        <rFont val="Garamond"/>
        <family val="1"/>
      </rPr>
      <t>Crossed Below</t>
    </r>
    <r>
      <rPr>
        <sz val="10"/>
        <color theme="1"/>
        <rFont val="Garamond"/>
        <family val="1"/>
      </rPr>
      <t xml:space="preserve"> the Mean. 
</t>
    </r>
    <r>
      <rPr>
        <b/>
        <sz val="10"/>
        <color rgb="FF0000CC"/>
        <rFont val="Garamond"/>
        <family val="1"/>
      </rPr>
      <t>If [% Difference &lt;= 2.5% AND % Difference &gt; 0%], Then "Watch Out - Near Mean".
If [% Difference &lt;= 0% AND Net Profit &lt;= 0], Then "Watch Out - Mean Crossed".</t>
    </r>
  </si>
  <si>
    <r>
      <rPr>
        <b/>
        <sz val="10"/>
        <color theme="1"/>
        <rFont val="Garamond"/>
        <family val="1"/>
      </rPr>
      <t xml:space="preserve">% Difference of (Current Spread - Current Mean Spread) : </t>
    </r>
    <r>
      <rPr>
        <sz val="10"/>
        <color theme="1"/>
        <rFont val="Garamond"/>
        <family val="1"/>
      </rPr>
      <t xml:space="preserve">It is also used in </t>
    </r>
    <r>
      <rPr>
        <b/>
        <sz val="10"/>
        <color theme="1"/>
        <rFont val="Garamond"/>
        <family val="1"/>
      </rPr>
      <t xml:space="preserve">Warning Signal </t>
    </r>
    <r>
      <rPr>
        <sz val="10"/>
        <color theme="1"/>
        <rFont val="Garamond"/>
        <family val="1"/>
      </rPr>
      <t xml:space="preserve">to check how far is the Current Spread from the Mean Spread and also if the Current Spread has </t>
    </r>
    <r>
      <rPr>
        <b/>
        <sz val="10"/>
        <color theme="1"/>
        <rFont val="Garamond"/>
        <family val="1"/>
      </rPr>
      <t>Crossed Above</t>
    </r>
    <r>
      <rPr>
        <sz val="10"/>
        <color theme="1"/>
        <rFont val="Garamond"/>
        <family val="1"/>
      </rPr>
      <t xml:space="preserve"> the Mean. 
</t>
    </r>
    <r>
      <rPr>
        <b/>
        <sz val="10"/>
        <color rgb="FF0000CC"/>
        <rFont val="Garamond"/>
        <family val="1"/>
      </rPr>
      <t>If [% Difference &gt;= -2.5% AND % Difference &lt; 0%], Then "Watch Out - Near Mean".
If [% Difference &gt;= 0% AND Net Profit &lt;= 0], Then "Watch Out - Mean Crossed".</t>
    </r>
  </si>
  <si>
    <r>
      <rPr>
        <b/>
        <sz val="10"/>
        <color theme="1"/>
        <rFont val="Garamond"/>
        <family val="1"/>
      </rPr>
      <t xml:space="preserve">Volatility Criteria : </t>
    </r>
    <r>
      <rPr>
        <sz val="10"/>
        <color theme="1"/>
        <rFont val="Garamond"/>
        <family val="1"/>
      </rPr>
      <t>The Daily Intraday Annual Volatility (using Natural Log of Current Day's High &amp; Low) of the individual scrips should be '</t>
    </r>
    <r>
      <rPr>
        <b/>
        <sz val="10"/>
        <color theme="1"/>
        <rFont val="Garamond"/>
        <family val="1"/>
      </rPr>
      <t>Greater Than or Equal To' 20%</t>
    </r>
    <r>
      <rPr>
        <sz val="10"/>
        <color theme="1"/>
        <rFont val="Garamond"/>
        <family val="1"/>
      </rPr>
      <t xml:space="preserve">.
</t>
    </r>
    <r>
      <rPr>
        <b/>
        <sz val="10"/>
        <color rgb="FF0000CC"/>
        <rFont val="Garamond"/>
        <family val="1"/>
      </rPr>
      <t>Intraday Annual Volatility of Scrip 1 &gt;= 20% AND Intraday Annual Volatility of Scrip 2 &gt;= 20%</t>
    </r>
  </si>
  <si>
    <r>
      <rPr>
        <b/>
        <sz val="10"/>
        <color theme="1"/>
        <rFont val="Garamond"/>
        <family val="1"/>
      </rPr>
      <t xml:space="preserve">Volatility Criteria : </t>
    </r>
    <r>
      <rPr>
        <sz val="10"/>
        <color theme="1"/>
        <rFont val="Garamond"/>
        <family val="1"/>
      </rPr>
      <t>The Daily Intraday Annual Volatility (using Natural Log of Current Day's High &amp; Low) of the individual scrips should be '</t>
    </r>
    <r>
      <rPr>
        <b/>
        <sz val="10"/>
        <color theme="1"/>
        <rFont val="Garamond"/>
        <family val="1"/>
      </rPr>
      <t>Greater Than or Equal To' 20%</t>
    </r>
    <r>
      <rPr>
        <sz val="10"/>
        <color theme="1"/>
        <rFont val="Garamond"/>
        <family val="1"/>
      </rPr>
      <t xml:space="preserve">.
</t>
    </r>
    <r>
      <rPr>
        <b/>
        <sz val="10"/>
        <color rgb="FF0000CC"/>
        <rFont val="Garamond"/>
        <family val="1"/>
      </rPr>
      <t xml:space="preserve">Intraday Annual Volatility of Scrip 1 &gt;= 20% </t>
    </r>
    <r>
      <rPr>
        <b/>
        <sz val="10"/>
        <color rgb="FFFF0000"/>
        <rFont val="Garamond"/>
        <family val="1"/>
      </rPr>
      <t>AND</t>
    </r>
    <r>
      <rPr>
        <b/>
        <sz val="10"/>
        <color rgb="FF0000CC"/>
        <rFont val="Garamond"/>
        <family val="1"/>
      </rPr>
      <t xml:space="preserve"> Intraday Annual Volatility of Scrip 2 &gt;= 20%</t>
    </r>
  </si>
  <si>
    <r>
      <rPr>
        <b/>
        <sz val="10"/>
        <color theme="1"/>
        <rFont val="Garamond"/>
        <family val="1"/>
      </rPr>
      <t xml:space="preserve">Trend Confirmation Criteria 2 : </t>
    </r>
    <r>
      <rPr>
        <sz val="10"/>
        <color theme="1"/>
        <rFont val="Garamond"/>
        <family val="1"/>
      </rPr>
      <t xml:space="preserve">The Current Day MACD Histogram (12,26,9) should be </t>
    </r>
    <r>
      <rPr>
        <b/>
        <sz val="10"/>
        <color theme="1"/>
        <rFont val="Garamond"/>
        <family val="1"/>
      </rPr>
      <t>Above 0</t>
    </r>
    <r>
      <rPr>
        <sz val="10"/>
        <color theme="1"/>
        <rFont val="Garamond"/>
        <family val="1"/>
      </rPr>
      <t xml:space="preserve">, in case of a Long Trade.
</t>
    </r>
    <r>
      <rPr>
        <b/>
        <sz val="10"/>
        <color rgb="FF0000CC"/>
        <rFont val="Garamond"/>
        <family val="1"/>
      </rPr>
      <t>Current Day MACD Hist. &gt; 0</t>
    </r>
    <r>
      <rPr>
        <sz val="10"/>
        <color theme="1"/>
        <rFont val="Garamond"/>
        <family val="1"/>
      </rPr>
      <t xml:space="preserve">
</t>
    </r>
    <r>
      <rPr>
        <sz val="10"/>
        <color rgb="FFFF0000"/>
        <rFont val="Garamond"/>
        <family val="1"/>
      </rPr>
      <t>[Note that this criteria makes the trade a High Probability one as the MACD Line &amp; Signal Line crossover validates the Bullishness of the Trend.]</t>
    </r>
  </si>
  <si>
    <r>
      <rPr>
        <b/>
        <sz val="10"/>
        <color theme="1"/>
        <rFont val="Garamond"/>
        <family val="1"/>
      </rPr>
      <t xml:space="preserve">Trend Confirmation Criteria 1 : </t>
    </r>
    <r>
      <rPr>
        <sz val="10"/>
        <color theme="1"/>
        <rFont val="Garamond"/>
        <family val="1"/>
      </rPr>
      <t xml:space="preserve">The MACD Histogram (12,26,9) of the Spread/Price Ratio/Ratio should be </t>
    </r>
    <r>
      <rPr>
        <b/>
        <sz val="10"/>
        <color theme="1"/>
        <rFont val="Garamond"/>
        <family val="1"/>
      </rPr>
      <t xml:space="preserve">Rising </t>
    </r>
    <r>
      <rPr>
        <sz val="10"/>
        <color theme="1"/>
        <rFont val="Garamond"/>
        <family val="1"/>
      </rPr>
      <t xml:space="preserve">over the last </t>
    </r>
    <r>
      <rPr>
        <b/>
        <sz val="10"/>
        <color theme="1"/>
        <rFont val="Garamond"/>
        <family val="1"/>
      </rPr>
      <t>3 Days.</t>
    </r>
    <r>
      <rPr>
        <sz val="10"/>
        <color theme="1"/>
        <rFont val="Garamond"/>
        <family val="1"/>
      </rPr>
      <t xml:space="preserve">
</t>
    </r>
    <r>
      <rPr>
        <b/>
        <sz val="10"/>
        <color rgb="FF0000CC"/>
        <rFont val="Garamond"/>
        <family val="1"/>
      </rPr>
      <t>Current Day's MACD Hist. &gt; Previous Day's MACD Hist. &gt; Previous Day-1 MACD Hist.</t>
    </r>
  </si>
  <si>
    <r>
      <rPr>
        <b/>
        <sz val="10"/>
        <color theme="1"/>
        <rFont val="Garamond"/>
        <family val="1"/>
      </rPr>
      <t xml:space="preserve">Trend Confirmation Criteria 3 : </t>
    </r>
    <r>
      <rPr>
        <sz val="10"/>
        <color theme="1"/>
        <rFont val="Garamond"/>
        <family val="1"/>
      </rPr>
      <t>The RSI(8) of the Spread/Price Ratio/Ratio should be  '</t>
    </r>
    <r>
      <rPr>
        <b/>
        <sz val="10"/>
        <color theme="1"/>
        <rFont val="Garamond"/>
        <family val="1"/>
      </rPr>
      <t>Greater Than or Equal To</t>
    </r>
    <r>
      <rPr>
        <sz val="10"/>
        <color theme="1"/>
        <rFont val="Garamond"/>
        <family val="1"/>
      </rPr>
      <t xml:space="preserve">' </t>
    </r>
    <r>
      <rPr>
        <b/>
        <sz val="10"/>
        <color theme="1"/>
        <rFont val="Garamond"/>
        <family val="1"/>
      </rPr>
      <t>55</t>
    </r>
    <r>
      <rPr>
        <sz val="10"/>
        <color theme="1"/>
        <rFont val="Garamond"/>
        <family val="1"/>
      </rPr>
      <t xml:space="preserve">.
</t>
    </r>
    <r>
      <rPr>
        <b/>
        <sz val="10"/>
        <color rgb="FF0000CC"/>
        <rFont val="Garamond"/>
        <family val="1"/>
      </rPr>
      <t>RSI(8) &gt;= 55</t>
    </r>
  </si>
  <si>
    <r>
      <rPr>
        <b/>
        <sz val="10"/>
        <color theme="1"/>
        <rFont val="Garamond"/>
        <family val="1"/>
      </rPr>
      <t xml:space="preserve">Trend Confirmation Criteria 4 : </t>
    </r>
    <r>
      <rPr>
        <sz val="10"/>
        <color theme="1"/>
        <rFont val="Garamond"/>
        <family val="1"/>
      </rPr>
      <t xml:space="preserve">The Current Spread/Price Ratio/Ratio is </t>
    </r>
    <r>
      <rPr>
        <b/>
        <sz val="10"/>
        <color theme="1"/>
        <rFont val="Garamond"/>
        <family val="1"/>
      </rPr>
      <t xml:space="preserve">Above </t>
    </r>
    <r>
      <rPr>
        <sz val="10"/>
        <color theme="1"/>
        <rFont val="Garamond"/>
        <family val="1"/>
      </rPr>
      <t xml:space="preserve">the Mean Spread/Price Ratio/Ratio (13 Day SMA of Spread/Price Ratio/Ratio).
</t>
    </r>
    <r>
      <rPr>
        <b/>
        <sz val="10"/>
        <color rgb="FF0000CC"/>
        <rFont val="Garamond"/>
        <family val="1"/>
      </rPr>
      <t>Current Spread &gt; Mean Spread</t>
    </r>
  </si>
  <si>
    <r>
      <rPr>
        <b/>
        <sz val="10"/>
        <color theme="1"/>
        <rFont val="Garamond"/>
        <family val="1"/>
      </rPr>
      <t xml:space="preserve">Trend Confirmation Criteria 5 : </t>
    </r>
    <r>
      <rPr>
        <sz val="10"/>
        <color theme="1"/>
        <rFont val="Garamond"/>
        <family val="1"/>
      </rPr>
      <t>The Current Spread/Price Ratio/Ratio is '</t>
    </r>
    <r>
      <rPr>
        <b/>
        <sz val="10"/>
        <color theme="1"/>
        <rFont val="Garamond"/>
        <family val="1"/>
      </rPr>
      <t>Greater Than or Equal To</t>
    </r>
    <r>
      <rPr>
        <sz val="10"/>
        <color theme="1"/>
        <rFont val="Garamond"/>
        <family val="1"/>
      </rPr>
      <t xml:space="preserve">' the Previous Spread/Price Ratio/Ratio.
</t>
    </r>
    <r>
      <rPr>
        <b/>
        <sz val="10"/>
        <color rgb="FF0000CC"/>
        <rFont val="Garamond"/>
        <family val="1"/>
      </rPr>
      <t>Current Spread &gt;= Previous Spread</t>
    </r>
  </si>
  <si>
    <r>
      <rPr>
        <b/>
        <sz val="10"/>
        <color theme="1"/>
        <rFont val="Garamond"/>
        <family val="1"/>
      </rPr>
      <t xml:space="preserve">Trend Confirmation Criteria 1 : </t>
    </r>
    <r>
      <rPr>
        <sz val="10"/>
        <color theme="1"/>
        <rFont val="Garamond"/>
        <family val="1"/>
      </rPr>
      <t xml:space="preserve">The MACD Histogram (12,26,9) of the Spread/Price Ratio/Ratio should be </t>
    </r>
    <r>
      <rPr>
        <b/>
        <sz val="10"/>
        <color theme="1"/>
        <rFont val="Garamond"/>
        <family val="1"/>
      </rPr>
      <t xml:space="preserve">Declining </t>
    </r>
    <r>
      <rPr>
        <sz val="10"/>
        <color theme="1"/>
        <rFont val="Garamond"/>
        <family val="1"/>
      </rPr>
      <t xml:space="preserve">over the last </t>
    </r>
    <r>
      <rPr>
        <b/>
        <sz val="10"/>
        <color theme="1"/>
        <rFont val="Garamond"/>
        <family val="1"/>
      </rPr>
      <t>3 Days</t>
    </r>
    <r>
      <rPr>
        <sz val="10"/>
        <color theme="1"/>
        <rFont val="Garamond"/>
        <family val="1"/>
      </rPr>
      <t xml:space="preserve">.
</t>
    </r>
    <r>
      <rPr>
        <b/>
        <sz val="10"/>
        <color rgb="FF0000CC"/>
        <rFont val="Garamond"/>
        <family val="1"/>
      </rPr>
      <t>Current Days MACD Hist. &lt; Previous Days MACD Hist. &lt; Previous Day-1 MACD Hist.</t>
    </r>
  </si>
  <si>
    <r>
      <rPr>
        <b/>
        <sz val="10"/>
        <color theme="1"/>
        <rFont val="Garamond"/>
        <family val="1"/>
      </rPr>
      <t xml:space="preserve">Trend Confirmation Criteria 3 : </t>
    </r>
    <r>
      <rPr>
        <sz val="10"/>
        <color theme="1"/>
        <rFont val="Garamond"/>
        <family val="1"/>
      </rPr>
      <t>The RSI(8) of the Spread/Price Ratio/Ratio should be  '</t>
    </r>
    <r>
      <rPr>
        <b/>
        <sz val="10"/>
        <color theme="1"/>
        <rFont val="Garamond"/>
        <family val="1"/>
      </rPr>
      <t>Less Than or Equal To</t>
    </r>
    <r>
      <rPr>
        <sz val="10"/>
        <color theme="1"/>
        <rFont val="Garamond"/>
        <family val="1"/>
      </rPr>
      <t>' 4</t>
    </r>
    <r>
      <rPr>
        <b/>
        <sz val="10"/>
        <color theme="1"/>
        <rFont val="Garamond"/>
        <family val="1"/>
      </rPr>
      <t>5</t>
    </r>
    <r>
      <rPr>
        <sz val="10"/>
        <color theme="1"/>
        <rFont val="Garamond"/>
        <family val="1"/>
      </rPr>
      <t xml:space="preserve">.
</t>
    </r>
    <r>
      <rPr>
        <b/>
        <sz val="10"/>
        <color rgb="FF0000CC"/>
        <rFont val="Garamond"/>
        <family val="1"/>
      </rPr>
      <t>RSI(8) &lt;= 45</t>
    </r>
  </si>
  <si>
    <r>
      <rPr>
        <b/>
        <sz val="10"/>
        <color theme="1"/>
        <rFont val="Garamond"/>
        <family val="1"/>
      </rPr>
      <t xml:space="preserve">Trend Confirmation Criteria 2 : </t>
    </r>
    <r>
      <rPr>
        <sz val="10"/>
        <color theme="1"/>
        <rFont val="Garamond"/>
        <family val="1"/>
      </rPr>
      <t xml:space="preserve">The Current Day MACD Histogram (12,26,9) should be </t>
    </r>
    <r>
      <rPr>
        <b/>
        <sz val="10"/>
        <color theme="1"/>
        <rFont val="Garamond"/>
        <family val="1"/>
      </rPr>
      <t>Below 0</t>
    </r>
    <r>
      <rPr>
        <sz val="10"/>
        <color theme="1"/>
        <rFont val="Garamond"/>
        <family val="1"/>
      </rPr>
      <t xml:space="preserve">, in case of a Short Trade.
</t>
    </r>
    <r>
      <rPr>
        <b/>
        <sz val="10"/>
        <color rgb="FF0000CC"/>
        <rFont val="Garamond"/>
        <family val="1"/>
      </rPr>
      <t>Current Days MACD Hist. &lt; 0</t>
    </r>
    <r>
      <rPr>
        <sz val="10"/>
        <color theme="1"/>
        <rFont val="Garamond"/>
        <family val="1"/>
      </rPr>
      <t xml:space="preserve">
</t>
    </r>
    <r>
      <rPr>
        <sz val="10"/>
        <color rgb="FFFF0000"/>
        <rFont val="Garamond"/>
        <family val="1"/>
      </rPr>
      <t>[Note that this criteria makes the trade a High Probability one as the MACD Line &amp; Signal Line crossover validates the Bearishness of the Trend.]</t>
    </r>
  </si>
  <si>
    <r>
      <rPr>
        <b/>
        <sz val="10"/>
        <color theme="1"/>
        <rFont val="Garamond"/>
        <family val="1"/>
      </rPr>
      <t xml:space="preserve">Trend Confirmation Criteria 4 : </t>
    </r>
    <r>
      <rPr>
        <sz val="10"/>
        <color theme="1"/>
        <rFont val="Garamond"/>
        <family val="1"/>
      </rPr>
      <t xml:space="preserve">The Current Spread/Price Ratio/Ratio is </t>
    </r>
    <r>
      <rPr>
        <b/>
        <sz val="10"/>
        <color theme="1"/>
        <rFont val="Garamond"/>
        <family val="1"/>
      </rPr>
      <t xml:space="preserve">Below </t>
    </r>
    <r>
      <rPr>
        <sz val="10"/>
        <color theme="1"/>
        <rFont val="Garamond"/>
        <family val="1"/>
      </rPr>
      <t xml:space="preserve">the Mean Spread/Price Ratio/Ratio (13 Day SMA of Spread/Price Ratio/Ratio).
</t>
    </r>
    <r>
      <rPr>
        <b/>
        <sz val="10"/>
        <color rgb="FF0000CC"/>
        <rFont val="Garamond"/>
        <family val="1"/>
      </rPr>
      <t>Current Spread &lt; Mean Spread</t>
    </r>
  </si>
  <si>
    <r>
      <rPr>
        <b/>
        <sz val="10"/>
        <color theme="1"/>
        <rFont val="Garamond"/>
        <family val="1"/>
      </rPr>
      <t xml:space="preserve">Trend Confirmation Criteria 5 : </t>
    </r>
    <r>
      <rPr>
        <sz val="10"/>
        <color theme="1"/>
        <rFont val="Garamond"/>
        <family val="1"/>
      </rPr>
      <t>The Current Spread/Price Ratio/Ratio is '</t>
    </r>
    <r>
      <rPr>
        <b/>
        <sz val="10"/>
        <color theme="1"/>
        <rFont val="Garamond"/>
        <family val="1"/>
      </rPr>
      <t>Less Than or Equal To</t>
    </r>
    <r>
      <rPr>
        <sz val="10"/>
        <color theme="1"/>
        <rFont val="Garamond"/>
        <family val="1"/>
      </rPr>
      <t xml:space="preserve">' the Previous Spread/Price Ratio/Ratio.
</t>
    </r>
    <r>
      <rPr>
        <b/>
        <sz val="10"/>
        <color rgb="FF0000CC"/>
        <rFont val="Garamond"/>
        <family val="1"/>
      </rPr>
      <t>Current Spread &lt;= Previous Spread</t>
    </r>
  </si>
  <si>
    <r>
      <t xml:space="preserve">The System should generate Buy Signal as per the First Filter continuously for 2 Days, i.e., the Previous Day (basis the EOD Closing Prices) as well as the Current Day (basis the Real Time Streaming Prices).
</t>
    </r>
    <r>
      <rPr>
        <b/>
        <sz val="10"/>
        <color rgb="FF0000CC"/>
        <rFont val="Garamond"/>
        <family val="1"/>
      </rPr>
      <t>Buy Signal on Previous Day AND Buy Signal on Current Day</t>
    </r>
  </si>
  <si>
    <r>
      <t xml:space="preserve">The signal generated on the Previous Day should be the same as that generated on the Current Day.
</t>
    </r>
    <r>
      <rPr>
        <b/>
        <sz val="10"/>
        <color rgb="FF0000CC"/>
        <rFont val="Garamond"/>
        <family val="1"/>
      </rPr>
      <t>Signal on Previous Day = Signal on Current Day = Buy Signal</t>
    </r>
    <r>
      <rPr>
        <sz val="10"/>
        <color theme="1"/>
        <rFont val="Garamond"/>
        <family val="1"/>
      </rPr>
      <t xml:space="preserve">
</t>
    </r>
    <r>
      <rPr>
        <sz val="10"/>
        <color rgb="FFFF0000"/>
        <rFont val="Garamond"/>
        <family val="1"/>
      </rPr>
      <t>[If the signal generated on the Previous Day is opposite to that generated on the Current Day, then the Trade should be ignored. Hence, if the Previous Day has given a Buy Signal, the Current Day should also give a Buy Signal in order to pass the filter. But if the Current Day gives a Sell signal, then the trade should not pass this filter.]</t>
    </r>
  </si>
  <si>
    <r>
      <t xml:space="preserve">The System should generate Sell Signal as per the First Filter continuously for 2 Days, i.e., the Previous Day (basis the EOD Closing Prices) as well as the Current Day (basis the Real Time Streaming Prices).
</t>
    </r>
    <r>
      <rPr>
        <b/>
        <sz val="10"/>
        <color rgb="FF0000CC"/>
        <rFont val="Garamond"/>
        <family val="1"/>
      </rPr>
      <t>Sell Signal on Previous Day AND Sell Signal on Current Day</t>
    </r>
  </si>
  <si>
    <r>
      <t xml:space="preserve">The signal generated on the Previous Day should be the same as that generated on the Current Day.
</t>
    </r>
    <r>
      <rPr>
        <b/>
        <sz val="10"/>
        <color rgb="FF0000CC"/>
        <rFont val="Garamond"/>
        <family val="1"/>
      </rPr>
      <t>Signal on Previous Day = Signal on Current Day = Sell Signal</t>
    </r>
    <r>
      <rPr>
        <sz val="10"/>
        <color theme="1"/>
        <rFont val="Garamond"/>
        <family val="1"/>
      </rPr>
      <t xml:space="preserve">
</t>
    </r>
    <r>
      <rPr>
        <sz val="10"/>
        <color rgb="FFFF0000"/>
        <rFont val="Garamond"/>
        <family val="1"/>
      </rPr>
      <t>[If the signal generated on the Previous Day is opposite to that generated on the Current Day, then the Trade should be ignored. Hence, if the Previous Day has given a Sell Signal, the Current Day should also give a Sell Signal in order to pass the filter. But if the Current Day gives a Buy signal, then the trade should not pass this filter.]</t>
    </r>
  </si>
  <si>
    <r>
      <rPr>
        <b/>
        <sz val="10"/>
        <color theme="1"/>
        <rFont val="Garamond"/>
        <family val="1"/>
      </rPr>
      <t xml:space="preserve">Trend Strength Criteria 2 : </t>
    </r>
    <r>
      <rPr>
        <sz val="10"/>
        <color theme="1"/>
        <rFont val="Garamond"/>
        <family val="1"/>
      </rPr>
      <t>The Current Day RAVI(3,21) should be '</t>
    </r>
    <r>
      <rPr>
        <b/>
        <sz val="10"/>
        <color theme="1"/>
        <rFont val="Garamond"/>
        <family val="1"/>
      </rPr>
      <t>Greater Than or Equal To</t>
    </r>
    <r>
      <rPr>
        <sz val="10"/>
        <color theme="1"/>
        <rFont val="Garamond"/>
        <family val="1"/>
      </rPr>
      <t xml:space="preserve">' the Previous Day RAVI(3,21) </t>
    </r>
    <r>
      <rPr>
        <sz val="10"/>
        <color rgb="FFFF0000"/>
        <rFont val="Garamond"/>
        <family val="1"/>
      </rPr>
      <t>[if the trade is being taken before 9:45 AM]</t>
    </r>
    <r>
      <rPr>
        <sz val="10"/>
        <color theme="1"/>
        <rFont val="Garamond"/>
        <family val="1"/>
      </rPr>
      <t xml:space="preserve"> </t>
    </r>
    <r>
      <rPr>
        <b/>
        <sz val="10"/>
        <color rgb="FFFF0000"/>
        <rFont val="Garamond"/>
        <family val="1"/>
      </rPr>
      <t xml:space="preserve">OR
</t>
    </r>
    <r>
      <rPr>
        <sz val="10"/>
        <color theme="1"/>
        <rFont val="Garamond"/>
        <family val="1"/>
      </rPr>
      <t>The Current Day RAVI(3,21) should be '</t>
    </r>
    <r>
      <rPr>
        <b/>
        <sz val="10"/>
        <color theme="1"/>
        <rFont val="Garamond"/>
        <family val="1"/>
      </rPr>
      <t>Greater Than or Equal To</t>
    </r>
    <r>
      <rPr>
        <sz val="10"/>
        <color theme="1"/>
        <rFont val="Garamond"/>
        <family val="1"/>
      </rPr>
      <t xml:space="preserve">' the Current Day RAVI(3,21) calculated prior to 5 Minutes </t>
    </r>
    <r>
      <rPr>
        <sz val="10"/>
        <color rgb="FFFF0000"/>
        <rFont val="Garamond"/>
        <family val="1"/>
      </rPr>
      <t>[if the trade is being taken after 9:45 AM]</t>
    </r>
    <r>
      <rPr>
        <sz val="10"/>
        <color theme="1"/>
        <rFont val="Garamond"/>
        <family val="1"/>
      </rPr>
      <t xml:space="preserve">.
</t>
    </r>
    <r>
      <rPr>
        <b/>
        <sz val="10"/>
        <color rgb="FF0000CC"/>
        <rFont val="Garamond"/>
        <family val="1"/>
      </rPr>
      <t xml:space="preserve">Current Day RAVI(3,21) &gt;= Previous Day RAVI(3,21) </t>
    </r>
    <r>
      <rPr>
        <b/>
        <sz val="10"/>
        <color rgb="FFFF0000"/>
        <rFont val="Garamond"/>
        <family val="1"/>
      </rPr>
      <t>OR</t>
    </r>
    <r>
      <rPr>
        <b/>
        <sz val="10"/>
        <color rgb="FF0000CC"/>
        <rFont val="Garamond"/>
        <family val="1"/>
      </rPr>
      <t xml:space="preserve">
Current Day RAVI(3,21) &gt;= Current Day (-5 Minute) RAVI(3,21)</t>
    </r>
    <r>
      <rPr>
        <sz val="10"/>
        <color theme="1"/>
        <rFont val="Garamond"/>
        <family val="1"/>
      </rPr>
      <t xml:space="preserve">
</t>
    </r>
    <r>
      <rPr>
        <sz val="10"/>
        <color rgb="FFFF0000"/>
        <rFont val="Garamond"/>
        <family val="1"/>
      </rPr>
      <t xml:space="preserve">[In short, the Current Day RAVI(3,21) should be </t>
    </r>
    <r>
      <rPr>
        <b/>
        <sz val="10"/>
        <color rgb="FFFF0000"/>
        <rFont val="Garamond"/>
        <family val="1"/>
      </rPr>
      <t>Rising / Strengthening</t>
    </r>
    <r>
      <rPr>
        <sz val="10"/>
        <color rgb="FFFF0000"/>
        <rFont val="Garamond"/>
        <family val="1"/>
      </rPr>
      <t>. (If RAVI(3,21) is Declining, it means that the strength of the trend is Weakening).]</t>
    </r>
  </si>
  <si>
    <r>
      <t>Trend Strength Criteria 3 :</t>
    </r>
    <r>
      <rPr>
        <sz val="10"/>
        <color theme="1"/>
        <rFont val="Garamond"/>
        <family val="1"/>
      </rPr>
      <t xml:space="preserve"> In case of a Long trade, the Current Day RSI(8) should be '</t>
    </r>
    <r>
      <rPr>
        <b/>
        <sz val="10"/>
        <color theme="1"/>
        <rFont val="Garamond"/>
        <family val="1"/>
      </rPr>
      <t>Greater Than or Equal To</t>
    </r>
    <r>
      <rPr>
        <sz val="10"/>
        <color theme="1"/>
        <rFont val="Garamond"/>
        <family val="1"/>
      </rPr>
      <t xml:space="preserve">' the Previous Day RSI(8) </t>
    </r>
    <r>
      <rPr>
        <sz val="10"/>
        <color rgb="FFFF0000"/>
        <rFont val="Garamond"/>
        <family val="1"/>
      </rPr>
      <t>[if the trade is being taken before 9:45 AM]</t>
    </r>
    <r>
      <rPr>
        <sz val="10"/>
        <color theme="1"/>
        <rFont val="Garamond"/>
        <family val="1"/>
      </rPr>
      <t xml:space="preserve"> </t>
    </r>
    <r>
      <rPr>
        <b/>
        <sz val="10"/>
        <color rgb="FFFF0000"/>
        <rFont val="Garamond"/>
        <family val="1"/>
      </rPr>
      <t>OR</t>
    </r>
    <r>
      <rPr>
        <sz val="10"/>
        <color theme="1"/>
        <rFont val="Garamond"/>
        <family val="1"/>
      </rPr>
      <t xml:space="preserve">
In case of a Long trade, the Current Day RSI(8) should be '</t>
    </r>
    <r>
      <rPr>
        <b/>
        <sz val="10"/>
        <color theme="1"/>
        <rFont val="Garamond"/>
        <family val="1"/>
      </rPr>
      <t>Greater Than or Equal To</t>
    </r>
    <r>
      <rPr>
        <sz val="10"/>
        <color theme="1"/>
        <rFont val="Garamond"/>
        <family val="1"/>
      </rPr>
      <t xml:space="preserve">' the Current Day RSI(8) calculated prior to 5 Minutes </t>
    </r>
    <r>
      <rPr>
        <sz val="10"/>
        <color rgb="FFFF0000"/>
        <rFont val="Garamond"/>
        <family val="1"/>
      </rPr>
      <t>[if the trade is being taken after 9:45 AM]</t>
    </r>
    <r>
      <rPr>
        <sz val="10"/>
        <color theme="1"/>
        <rFont val="Garamond"/>
        <family val="1"/>
      </rPr>
      <t xml:space="preserve">.
</t>
    </r>
    <r>
      <rPr>
        <b/>
        <sz val="10"/>
        <color rgb="FF0000CC"/>
        <rFont val="Garamond"/>
        <family val="1"/>
      </rPr>
      <t xml:space="preserve">Current Day RSI(8) &gt;= Previous Day RSI(8) </t>
    </r>
    <r>
      <rPr>
        <b/>
        <sz val="10"/>
        <color rgb="FFFF0000"/>
        <rFont val="Garamond"/>
        <family val="1"/>
      </rPr>
      <t>OR</t>
    </r>
    <r>
      <rPr>
        <b/>
        <sz val="10"/>
        <color rgb="FF0000CC"/>
        <rFont val="Garamond"/>
        <family val="1"/>
      </rPr>
      <t xml:space="preserve">
Current Day RSI(8) &gt;= Current Day (-5 Minute) RSI(8)</t>
    </r>
    <r>
      <rPr>
        <sz val="10"/>
        <color theme="1"/>
        <rFont val="Garamond"/>
        <family val="1"/>
      </rPr>
      <t xml:space="preserve">
</t>
    </r>
    <r>
      <rPr>
        <sz val="10"/>
        <color rgb="FFFF0000"/>
        <rFont val="Garamond"/>
        <family val="1"/>
      </rPr>
      <t xml:space="preserve">[In short, the Current Day RSI(8) should be </t>
    </r>
    <r>
      <rPr>
        <b/>
        <sz val="10"/>
        <color rgb="FFFF0000"/>
        <rFont val="Garamond"/>
        <family val="1"/>
      </rPr>
      <t>Trending</t>
    </r>
    <r>
      <rPr>
        <sz val="10"/>
        <color rgb="FFFF0000"/>
        <rFont val="Garamond"/>
        <family val="1"/>
      </rPr>
      <t xml:space="preserve"> (</t>
    </r>
    <r>
      <rPr>
        <b/>
        <sz val="10"/>
        <color rgb="FFFF0000"/>
        <rFont val="Garamond"/>
        <family val="1"/>
      </rPr>
      <t>Rising</t>
    </r>
    <r>
      <rPr>
        <sz val="10"/>
        <color rgb="FFFF0000"/>
        <rFont val="Garamond"/>
        <family val="1"/>
      </rPr>
      <t xml:space="preserve"> in case of Long trade).
(If RSI(8) is going in the opposite direction, i.e., Declining in case of a Long trade, then it means that the Trend is Reversing. Further, if the RSI(8) goes below 45 in case of a Long Trend, then it means that the Trend has Reversed.)]</t>
    </r>
  </si>
  <si>
    <r>
      <rPr>
        <b/>
        <sz val="10"/>
        <color theme="1"/>
        <rFont val="Garamond"/>
        <family val="1"/>
      </rPr>
      <t xml:space="preserve">Trend Strength Criteria 1 : </t>
    </r>
    <r>
      <rPr>
        <sz val="10"/>
        <color theme="1"/>
        <rFont val="Garamond"/>
        <family val="1"/>
      </rPr>
      <t>Current Day RAVI(3,21) of the Spread/Price Ratio/Ratio (basis the RealTime Prices) as well as the Previous Day RAVI(3,21) of the Spread/Price Ratio/Ratio (basis the EOD Closing Prices) should both be '</t>
    </r>
    <r>
      <rPr>
        <b/>
        <sz val="10"/>
        <color theme="1"/>
        <rFont val="Garamond"/>
        <family val="1"/>
      </rPr>
      <t>Greater Than or Equal To</t>
    </r>
    <r>
      <rPr>
        <sz val="10"/>
        <color theme="1"/>
        <rFont val="Garamond"/>
        <family val="1"/>
      </rPr>
      <t xml:space="preserve">' </t>
    </r>
    <r>
      <rPr>
        <b/>
        <sz val="10"/>
        <color theme="1"/>
        <rFont val="Garamond"/>
        <family val="1"/>
      </rPr>
      <t>3.1</t>
    </r>
    <r>
      <rPr>
        <sz val="10"/>
        <color theme="1"/>
        <rFont val="Garamond"/>
        <family val="1"/>
      </rPr>
      <t>.</t>
    </r>
    <r>
      <rPr>
        <b/>
        <sz val="10"/>
        <color theme="1"/>
        <rFont val="Garamond"/>
        <family val="1"/>
      </rPr>
      <t xml:space="preserve">
</t>
    </r>
    <r>
      <rPr>
        <b/>
        <sz val="10"/>
        <color rgb="FF0000CC"/>
        <rFont val="Garamond"/>
        <family val="1"/>
      </rPr>
      <t>Previous Day RAVI(3,21) &gt;= 3.1 AND Current Day RAVI(3,21) &gt;= 3.1</t>
    </r>
  </si>
  <si>
    <r>
      <rPr>
        <b/>
        <sz val="10"/>
        <color theme="1"/>
        <rFont val="Garamond"/>
        <family val="1"/>
      </rPr>
      <t xml:space="preserve">Trend Strength Criteria 1 : </t>
    </r>
    <r>
      <rPr>
        <sz val="10"/>
        <color theme="1"/>
        <rFont val="Garamond"/>
        <family val="1"/>
      </rPr>
      <t>Current Day RAVI(3,21) of the Spread/Price Ratio/Ratio (basis the RealTime Prices) as well as the Previous Day RAVI(3,21) of the Spread/Price Ratio/Ratio (basis the EOD Closing Prices) should both be '</t>
    </r>
    <r>
      <rPr>
        <b/>
        <sz val="10"/>
        <color theme="1"/>
        <rFont val="Garamond"/>
        <family val="1"/>
      </rPr>
      <t>Greater Than or Equal To</t>
    </r>
    <r>
      <rPr>
        <sz val="10"/>
        <color theme="1"/>
        <rFont val="Garamond"/>
        <family val="1"/>
      </rPr>
      <t xml:space="preserve">' </t>
    </r>
    <r>
      <rPr>
        <b/>
        <sz val="10"/>
        <color theme="1"/>
        <rFont val="Garamond"/>
        <family val="1"/>
      </rPr>
      <t>3.1</t>
    </r>
    <r>
      <rPr>
        <sz val="10"/>
        <color theme="1"/>
        <rFont val="Garamond"/>
        <family val="1"/>
      </rPr>
      <t>.</t>
    </r>
    <r>
      <rPr>
        <b/>
        <sz val="10"/>
        <color theme="1"/>
        <rFont val="Garamond"/>
        <family val="1"/>
      </rPr>
      <t xml:space="preserve">
</t>
    </r>
    <r>
      <rPr>
        <b/>
        <sz val="10"/>
        <color rgb="FF0000CC"/>
        <rFont val="Garamond"/>
        <family val="1"/>
      </rPr>
      <t xml:space="preserve">Previous Day RAVI(3,21) &gt;= 3.1 </t>
    </r>
    <r>
      <rPr>
        <b/>
        <sz val="10"/>
        <color rgb="FFFF0000"/>
        <rFont val="Garamond"/>
        <family val="1"/>
      </rPr>
      <t>AND</t>
    </r>
    <r>
      <rPr>
        <b/>
        <sz val="10"/>
        <color rgb="FF0000CC"/>
        <rFont val="Garamond"/>
        <family val="1"/>
      </rPr>
      <t xml:space="preserve"> Current Day RAVI(3,21) &gt;= 3.1</t>
    </r>
  </si>
  <si>
    <r>
      <t>Trend Strength Criteria 3 :</t>
    </r>
    <r>
      <rPr>
        <sz val="10"/>
        <color theme="1"/>
        <rFont val="Garamond"/>
        <family val="1"/>
      </rPr>
      <t xml:space="preserve"> In case of a Short trade, the Current Day RSI(8) should be '</t>
    </r>
    <r>
      <rPr>
        <b/>
        <sz val="10"/>
        <color theme="1"/>
        <rFont val="Garamond"/>
        <family val="1"/>
      </rPr>
      <t>Less Than or Equal To</t>
    </r>
    <r>
      <rPr>
        <sz val="10"/>
        <color theme="1"/>
        <rFont val="Garamond"/>
        <family val="1"/>
      </rPr>
      <t xml:space="preserve">' the Previous Day RSI(8) </t>
    </r>
    <r>
      <rPr>
        <sz val="10"/>
        <color rgb="FFFF0000"/>
        <rFont val="Garamond"/>
        <family val="1"/>
      </rPr>
      <t>[if the trade is being taken before 9:45 AM]</t>
    </r>
    <r>
      <rPr>
        <sz val="10"/>
        <color theme="1"/>
        <rFont val="Garamond"/>
        <family val="1"/>
      </rPr>
      <t xml:space="preserve"> </t>
    </r>
    <r>
      <rPr>
        <b/>
        <sz val="10"/>
        <color rgb="FFFF0000"/>
        <rFont val="Garamond"/>
        <family val="1"/>
      </rPr>
      <t>OR</t>
    </r>
    <r>
      <rPr>
        <sz val="10"/>
        <color theme="1"/>
        <rFont val="Garamond"/>
        <family val="1"/>
      </rPr>
      <t xml:space="preserve">
In case of a Short trade, the Current Day RSI(8) should be '</t>
    </r>
    <r>
      <rPr>
        <b/>
        <sz val="10"/>
        <color theme="1"/>
        <rFont val="Garamond"/>
        <family val="1"/>
      </rPr>
      <t>Less Than or Equal To</t>
    </r>
    <r>
      <rPr>
        <sz val="10"/>
        <color theme="1"/>
        <rFont val="Garamond"/>
        <family val="1"/>
      </rPr>
      <t xml:space="preserve">' the Current Day RSI(8) calculated prior to 5 Minutes </t>
    </r>
    <r>
      <rPr>
        <sz val="10"/>
        <color rgb="FFFF0000"/>
        <rFont val="Garamond"/>
        <family val="1"/>
      </rPr>
      <t>[if the trade is being taken after 9:45 AM]</t>
    </r>
    <r>
      <rPr>
        <sz val="10"/>
        <color theme="1"/>
        <rFont val="Garamond"/>
        <family val="1"/>
      </rPr>
      <t xml:space="preserve">.
</t>
    </r>
    <r>
      <rPr>
        <b/>
        <sz val="10"/>
        <color rgb="FF0000CC"/>
        <rFont val="Garamond"/>
        <family val="1"/>
      </rPr>
      <t xml:space="preserve">Current Day RSI(8) &lt;= Previous Day RSI(8) </t>
    </r>
    <r>
      <rPr>
        <b/>
        <sz val="10"/>
        <color rgb="FFFF0000"/>
        <rFont val="Garamond"/>
        <family val="1"/>
      </rPr>
      <t>OR</t>
    </r>
    <r>
      <rPr>
        <b/>
        <sz val="10"/>
        <color rgb="FF0000CC"/>
        <rFont val="Garamond"/>
        <family val="1"/>
      </rPr>
      <t xml:space="preserve">
Current Day RSI(8) &lt;= Current Day (-5 Minute) RSI(8)</t>
    </r>
    <r>
      <rPr>
        <sz val="10"/>
        <color theme="1"/>
        <rFont val="Garamond"/>
        <family val="1"/>
      </rPr>
      <t xml:space="preserve">
</t>
    </r>
    <r>
      <rPr>
        <sz val="10"/>
        <color rgb="FFFF0000"/>
        <rFont val="Garamond"/>
        <family val="1"/>
      </rPr>
      <t xml:space="preserve">[In short, the Current Day RSI(8) should be </t>
    </r>
    <r>
      <rPr>
        <b/>
        <sz val="10"/>
        <color rgb="FFFF0000"/>
        <rFont val="Garamond"/>
        <family val="1"/>
      </rPr>
      <t>Trending</t>
    </r>
    <r>
      <rPr>
        <sz val="10"/>
        <color rgb="FFFF0000"/>
        <rFont val="Garamond"/>
        <family val="1"/>
      </rPr>
      <t xml:space="preserve"> (</t>
    </r>
    <r>
      <rPr>
        <b/>
        <sz val="10"/>
        <color rgb="FFFF0000"/>
        <rFont val="Garamond"/>
        <family val="1"/>
      </rPr>
      <t>Declining</t>
    </r>
    <r>
      <rPr>
        <sz val="10"/>
        <color rgb="FFFF0000"/>
        <rFont val="Garamond"/>
        <family val="1"/>
      </rPr>
      <t xml:space="preserve"> in case of Short trade).
(If RSI(8) is going in the opposite direction, i.e., Rising in case of a Short trade, then it means that the Trend is Reversing. Further, if the RSI(8) goes above 55 in case of a Short Trade, then it means that the Trend has Reversed.)]</t>
    </r>
  </si>
  <si>
    <r>
      <rPr>
        <b/>
        <sz val="10"/>
        <color theme="1"/>
        <rFont val="Garamond"/>
        <family val="1"/>
      </rPr>
      <t xml:space="preserve">Correlation Criteria : </t>
    </r>
    <r>
      <rPr>
        <sz val="10"/>
        <color theme="1"/>
        <rFont val="Garamond"/>
        <family val="1"/>
      </rPr>
      <t>The 5 Day, 13 Day &amp; 21 Day Returns Correlation of the Pair should all be '</t>
    </r>
    <r>
      <rPr>
        <b/>
        <sz val="10"/>
        <color theme="1"/>
        <rFont val="Garamond"/>
        <family val="1"/>
      </rPr>
      <t>Greater Than or Equal To</t>
    </r>
    <r>
      <rPr>
        <sz val="10"/>
        <color theme="1"/>
        <rFont val="Garamond"/>
        <family val="1"/>
      </rPr>
      <t>' 0.</t>
    </r>
    <r>
      <rPr>
        <b/>
        <sz val="10"/>
        <color theme="1"/>
        <rFont val="Garamond"/>
        <family val="1"/>
      </rPr>
      <t>6018</t>
    </r>
    <r>
      <rPr>
        <sz val="10"/>
        <color theme="1"/>
        <rFont val="Garamond"/>
        <family val="1"/>
      </rPr>
      <t xml:space="preserve">.
</t>
    </r>
    <r>
      <rPr>
        <b/>
        <sz val="10"/>
        <color rgb="FF0000CC"/>
        <rFont val="Garamond"/>
        <family val="1"/>
      </rPr>
      <t xml:space="preserve">5 Day Returns Correlation &gt;= 0.6018 </t>
    </r>
    <r>
      <rPr>
        <b/>
        <sz val="10"/>
        <color rgb="FFFF0000"/>
        <rFont val="Garamond"/>
        <family val="1"/>
      </rPr>
      <t>AND</t>
    </r>
    <r>
      <rPr>
        <b/>
        <sz val="10"/>
        <color rgb="FF0000CC"/>
        <rFont val="Garamond"/>
        <family val="1"/>
      </rPr>
      <t xml:space="preserve"> 13 Day Returns Correlation &gt;= 0.6018 </t>
    </r>
    <r>
      <rPr>
        <b/>
        <sz val="10"/>
        <color rgb="FFFF0000"/>
        <rFont val="Garamond"/>
        <family val="1"/>
      </rPr>
      <t>AND</t>
    </r>
    <r>
      <rPr>
        <b/>
        <sz val="10"/>
        <color rgb="FF0000CC"/>
        <rFont val="Garamond"/>
        <family val="1"/>
      </rPr>
      <t xml:space="preserve"> 21 Day Returns Correlation &gt;= 0.6018 </t>
    </r>
    <r>
      <rPr>
        <sz val="10"/>
        <color theme="1"/>
        <rFont val="Garamond"/>
        <family val="1"/>
      </rPr>
      <t xml:space="preserve">
</t>
    </r>
    <r>
      <rPr>
        <sz val="10"/>
        <color rgb="FFFF0000"/>
        <rFont val="Garamond"/>
        <family val="1"/>
      </rPr>
      <t>[Note that these three Returns Correlation should all be Positive. Further, if any of these Returns Correlation is less than 0.6018 or is Negative, the Correlation criteria will again not pass.]</t>
    </r>
  </si>
  <si>
    <r>
      <t xml:space="preserve">Only those Pairs that are Positively Correlated will be traded with this strategy, while the Pairs with Negative Correlation will be ignored.
</t>
    </r>
    <r>
      <rPr>
        <b/>
        <sz val="10"/>
        <color rgb="FF0000CC"/>
        <rFont val="Garamond"/>
        <family val="1"/>
      </rPr>
      <t xml:space="preserve">5 Day Returns Correlation &gt;= 0 </t>
    </r>
    <r>
      <rPr>
        <b/>
        <sz val="10"/>
        <color rgb="FFFF0000"/>
        <rFont val="Garamond"/>
        <family val="1"/>
      </rPr>
      <t>AND</t>
    </r>
    <r>
      <rPr>
        <b/>
        <sz val="10"/>
        <color rgb="FF0000CC"/>
        <rFont val="Garamond"/>
        <family val="1"/>
      </rPr>
      <t xml:space="preserve"> 13 Day Returns Correlation &gt;= 0 </t>
    </r>
    <r>
      <rPr>
        <b/>
        <sz val="10"/>
        <color rgb="FFFF0000"/>
        <rFont val="Garamond"/>
        <family val="1"/>
      </rPr>
      <t>AND</t>
    </r>
    <r>
      <rPr>
        <b/>
        <sz val="10"/>
        <color rgb="FF0000CC"/>
        <rFont val="Garamond"/>
        <family val="1"/>
      </rPr>
      <t xml:space="preserve"> 21 Day Returns Correlation &gt;= 0
</t>
    </r>
    <r>
      <rPr>
        <sz val="10"/>
        <color rgb="FFFF0000"/>
        <rFont val="Garamond"/>
        <family val="1"/>
      </rPr>
      <t xml:space="preserve">If any or all the three correlations are Negative, this criteria will not pass. </t>
    </r>
  </si>
  <si>
    <r>
      <rPr>
        <b/>
        <sz val="10"/>
        <color theme="1"/>
        <rFont val="Garamond"/>
        <family val="1"/>
      </rPr>
      <t xml:space="preserve">Correlation Criteria : </t>
    </r>
    <r>
      <rPr>
        <sz val="10"/>
        <color theme="1"/>
        <rFont val="Garamond"/>
        <family val="1"/>
      </rPr>
      <t>The 5 Day, 13 Day &amp; 21 Day Returns Correlation of the Pair should all be '</t>
    </r>
    <r>
      <rPr>
        <b/>
        <sz val="10"/>
        <color theme="1"/>
        <rFont val="Garamond"/>
        <family val="1"/>
      </rPr>
      <t>Greater Than or Equal To</t>
    </r>
    <r>
      <rPr>
        <sz val="10"/>
        <color theme="1"/>
        <rFont val="Garamond"/>
        <family val="1"/>
      </rPr>
      <t>' 0.</t>
    </r>
    <r>
      <rPr>
        <b/>
        <sz val="10"/>
        <color theme="1"/>
        <rFont val="Garamond"/>
        <family val="1"/>
      </rPr>
      <t>6018</t>
    </r>
    <r>
      <rPr>
        <sz val="10"/>
        <color theme="1"/>
        <rFont val="Garamond"/>
        <family val="1"/>
      </rPr>
      <t xml:space="preserve">.
</t>
    </r>
    <r>
      <rPr>
        <b/>
        <sz val="10"/>
        <color rgb="FF0000CC"/>
        <rFont val="Garamond"/>
        <family val="1"/>
      </rPr>
      <t xml:space="preserve">5 Day Returns Correlation &gt;= 0.6018 AND 13 Day Returns Correlation &gt;= 0.6018 AND 21 Day Returns Correlation &gt;= 0.6018 </t>
    </r>
    <r>
      <rPr>
        <sz val="10"/>
        <color rgb="FFFF0000"/>
        <rFont val="Garamond"/>
        <family val="1"/>
      </rPr>
      <t xml:space="preserve">
[Note that these three Returns Correlation should all be Positive. Further, if any of these Returns Correlation is less than 0.6018 or is Negative, the Correlation criteria will again not pass.]</t>
    </r>
  </si>
  <si>
    <r>
      <t xml:space="preserve">When the Correlation is Positive and the Trend of the Spread/Price Ratio/Ratio is Up, then Buy the First Scrip and Sell the Second Scrip, but if the Trend is Down, then Sell the First Scrip and Buy the Second Scrip.
</t>
    </r>
    <r>
      <rPr>
        <b/>
        <sz val="10"/>
        <color rgb="FF0000CC"/>
        <rFont val="Garamond"/>
        <family val="1"/>
      </rPr>
      <t>If [Returns Correlation &gt;= 0 AND Current Spread &gt; Mean Spread AND Current Spread &gt;= Previous Spread], Then "Buy the Pair"</t>
    </r>
    <r>
      <rPr>
        <sz val="10"/>
        <color rgb="FF0000CC"/>
        <rFont val="Garamond"/>
        <family val="1"/>
      </rPr>
      <t xml:space="preserve"> </t>
    </r>
    <r>
      <rPr>
        <sz val="10"/>
        <color rgb="FFFF0000"/>
        <rFont val="Garamond"/>
        <family val="1"/>
      </rPr>
      <t>(Trend is Up &amp; Rising)</t>
    </r>
    <r>
      <rPr>
        <b/>
        <sz val="10"/>
        <color rgb="FF0000CC"/>
        <rFont val="Garamond"/>
        <family val="1"/>
      </rPr>
      <t xml:space="preserve">
If [Returns Correlation &gt;= 0 AND Current Spread &lt; Mean Spread AND Current Spread &lt;= Previous Spread], Then "Sell the Pair"</t>
    </r>
    <r>
      <rPr>
        <sz val="10"/>
        <color rgb="FF0000CC"/>
        <rFont val="Garamond"/>
        <family val="1"/>
      </rPr>
      <t xml:space="preserve"> </t>
    </r>
    <r>
      <rPr>
        <sz val="10"/>
        <color rgb="FFFF0000"/>
        <rFont val="Garamond"/>
        <family val="1"/>
      </rPr>
      <t>(Trend is Down &amp; Declining)</t>
    </r>
    <r>
      <rPr>
        <sz val="10"/>
        <color rgb="FF0000CC"/>
        <rFont val="Garamond"/>
        <family val="1"/>
      </rPr>
      <t xml:space="preserve">
</t>
    </r>
    <r>
      <rPr>
        <sz val="10"/>
        <color rgb="FFFF0000"/>
        <rFont val="Garamond"/>
        <family val="1"/>
      </rPr>
      <t>[This is irrespective of whether the Spread is Positive/Negative or the Ratio is Greater Than or Equal To / Less Than 1.]</t>
    </r>
  </si>
  <si>
    <t>Fields in Exit Signals for Pairs that are Up Trending :</t>
  </si>
  <si>
    <t>Fields in Exit Signals for Pairs that are Down Trending :</t>
  </si>
  <si>
    <t>Exit Conditions for Pairs that are Up Trending :</t>
  </si>
  <si>
    <t>Exit Conditions for Pairs that are Down Trending :</t>
  </si>
  <si>
    <t>Strong &amp; Weak Entry Signals</t>
  </si>
  <si>
    <r>
      <rPr>
        <b/>
        <sz val="10"/>
        <color theme="1"/>
        <rFont val="Garamond"/>
        <family val="1"/>
      </rPr>
      <t xml:space="preserve">MACD Histogram : </t>
    </r>
    <r>
      <rPr>
        <sz val="10"/>
        <color theme="1"/>
        <rFont val="Garamond"/>
        <family val="1"/>
      </rPr>
      <t xml:space="preserve">This is used in </t>
    </r>
    <r>
      <rPr>
        <b/>
        <sz val="10"/>
        <color theme="1"/>
        <rFont val="Garamond"/>
        <family val="1"/>
      </rPr>
      <t xml:space="preserve">Trend Reversal Exit Signal </t>
    </r>
    <r>
      <rPr>
        <sz val="10"/>
        <color theme="1"/>
        <rFont val="Garamond"/>
        <family val="1"/>
      </rPr>
      <t xml:space="preserve">to check if the Trend has moved from Up to Down.
</t>
    </r>
    <r>
      <rPr>
        <b/>
        <sz val="10"/>
        <color rgb="FF0000CC"/>
        <rFont val="Garamond"/>
        <family val="1"/>
      </rPr>
      <t xml:space="preserve">Current Days MACD Hist. &lt; Previous Days MACD Hist. &lt; Previous Day-1 MACD Hist </t>
    </r>
    <r>
      <rPr>
        <b/>
        <sz val="10"/>
        <color rgb="FFFF0000"/>
        <rFont val="Garamond"/>
        <family val="1"/>
      </rPr>
      <t>OR</t>
    </r>
    <r>
      <rPr>
        <b/>
        <sz val="10"/>
        <color rgb="FF0000CC"/>
        <rFont val="Garamond"/>
        <family val="1"/>
      </rPr>
      <t xml:space="preserve"> MACD Hist. = "Down"</t>
    </r>
  </si>
  <si>
    <r>
      <rPr>
        <b/>
        <sz val="10"/>
        <color theme="1"/>
        <rFont val="Garamond"/>
        <family val="1"/>
      </rPr>
      <t xml:space="preserve">MACD Histogram : </t>
    </r>
    <r>
      <rPr>
        <sz val="10"/>
        <color theme="1"/>
        <rFont val="Garamond"/>
        <family val="1"/>
      </rPr>
      <t xml:space="preserve">This is used in </t>
    </r>
    <r>
      <rPr>
        <b/>
        <sz val="10"/>
        <color theme="1"/>
        <rFont val="Garamond"/>
        <family val="1"/>
      </rPr>
      <t xml:space="preserve">Trend Reversal Exit Signal </t>
    </r>
    <r>
      <rPr>
        <sz val="10"/>
        <color theme="1"/>
        <rFont val="Garamond"/>
        <family val="1"/>
      </rPr>
      <t xml:space="preserve">to check if the Trend has moved from Down to Up.
</t>
    </r>
    <r>
      <rPr>
        <b/>
        <sz val="10"/>
        <color rgb="FF0000CC"/>
        <rFont val="Garamond"/>
        <family val="1"/>
      </rPr>
      <t xml:space="preserve">Current Days MACD Hist. &gt; Previous Days MACD Hist. &gt; Previous Day-1 MACD Hist </t>
    </r>
    <r>
      <rPr>
        <b/>
        <sz val="10"/>
        <color rgb="FFFF0000"/>
        <rFont val="Garamond"/>
        <family val="1"/>
      </rPr>
      <t>OR</t>
    </r>
    <r>
      <rPr>
        <b/>
        <sz val="10"/>
        <color rgb="FF0000CC"/>
        <rFont val="Garamond"/>
        <family val="1"/>
      </rPr>
      <t xml:space="preserve"> MACD Hist. = "Up"</t>
    </r>
  </si>
  <si>
    <r>
      <rPr>
        <b/>
        <sz val="10"/>
        <color theme="1"/>
        <rFont val="Garamond"/>
        <family val="1"/>
      </rPr>
      <t>Take Profit - Exit 2 (Reverse Trend) :</t>
    </r>
    <r>
      <rPr>
        <sz val="10"/>
        <color theme="1"/>
        <rFont val="Garamond"/>
        <family val="1"/>
      </rPr>
      <t xml:space="preserve">
</t>
    </r>
    <r>
      <rPr>
        <b/>
        <sz val="10"/>
        <color rgb="FF0000CC"/>
        <rFont val="Garamond"/>
        <family val="1"/>
      </rPr>
      <t>[Pair Trade = "Buy" AND Net Profit &gt; 0 AND RAVI(3,21) = "Declining" AND RSI(8) = "Reversing" AND MACD Hist. = "Down" AND Difference of % Difference = "Convergence"]</t>
    </r>
  </si>
  <si>
    <r>
      <rPr>
        <b/>
        <sz val="10"/>
        <color theme="1"/>
        <rFont val="Garamond"/>
        <family val="1"/>
      </rPr>
      <t>Take Profit / Trail Stop Loss - Exit 4 (Crossed 10% Target) :</t>
    </r>
    <r>
      <rPr>
        <sz val="10"/>
        <color theme="1"/>
        <rFont val="Garamond"/>
        <family val="1"/>
      </rPr>
      <t xml:space="preserve">
</t>
    </r>
    <r>
      <rPr>
        <b/>
        <sz val="10"/>
        <color rgb="FF0000CC"/>
        <rFont val="Garamond"/>
        <family val="1"/>
      </rPr>
      <t>[Pair Trade = "Buy" AND % Returns &gt;= 10% of Total Approx. Margin]</t>
    </r>
  </si>
  <si>
    <r>
      <rPr>
        <b/>
        <sz val="10"/>
        <color theme="1"/>
        <rFont val="Garamond"/>
        <family val="1"/>
      </rPr>
      <t>Stop Loss - Exit 1 (Crossed 10% SL) :</t>
    </r>
    <r>
      <rPr>
        <sz val="10"/>
        <color theme="1"/>
        <rFont val="Garamond"/>
        <family val="1"/>
      </rPr>
      <t xml:space="preserve">
</t>
    </r>
    <r>
      <rPr>
        <b/>
        <sz val="10"/>
        <color rgb="FF0000CC"/>
        <rFont val="Garamond"/>
        <family val="1"/>
      </rPr>
      <t>[Pair Trade = "Buy" AND % Returns &lt;= -10% of Total Approx. Margin]</t>
    </r>
  </si>
  <si>
    <t>i)</t>
  </si>
  <si>
    <r>
      <t xml:space="preserve">Watch Out 1 (Near 10% SL) :
</t>
    </r>
    <r>
      <rPr>
        <b/>
        <sz val="10"/>
        <color rgb="FF0000CC"/>
        <rFont val="Garamond"/>
        <family val="1"/>
      </rPr>
      <t>[Pair Trade = "Buy" AND % Returns &lt;= -7% of Total Appro. Margin AND % Returns &gt; -10% of Total Appro. Margin]</t>
    </r>
  </si>
  <si>
    <r>
      <rPr>
        <b/>
        <sz val="10"/>
        <color theme="1"/>
        <rFont val="Garamond"/>
        <family val="1"/>
      </rPr>
      <t xml:space="preserve">Watch Out 3 (Mean Cross) :
</t>
    </r>
    <r>
      <rPr>
        <b/>
        <sz val="10"/>
        <color rgb="FF0000CC"/>
        <rFont val="Garamond"/>
        <family val="1"/>
      </rPr>
      <t>[Pair Trade = "Buy" AND Net Profit &lt;= 0 AND % Difference &lt;= 0%]</t>
    </r>
  </si>
  <si>
    <t>j)</t>
  </si>
  <si>
    <r>
      <t xml:space="preserve">Watch Out 2 (Near Mean) :
</t>
    </r>
    <r>
      <rPr>
        <b/>
        <sz val="10"/>
        <color rgb="FF0000CC"/>
        <rFont val="Garamond"/>
        <family val="1"/>
      </rPr>
      <t>[Pair Trade = "Buy" AND % Difference &lt;= 2.5% AND % Difference &gt; 0%]</t>
    </r>
  </si>
  <si>
    <t>k)</t>
  </si>
  <si>
    <t>l)</t>
  </si>
  <si>
    <r>
      <t xml:space="preserve">Hold :
</t>
    </r>
    <r>
      <rPr>
        <b/>
        <sz val="10"/>
        <color rgb="FF0000CC"/>
        <rFont val="Garamond"/>
        <family val="1"/>
      </rPr>
      <t>[Pair Trade = "Buy" AND % Difference &gt; 2.5%]</t>
    </r>
  </si>
  <si>
    <r>
      <t xml:space="preserve">Risky Hold :
</t>
    </r>
    <r>
      <rPr>
        <b/>
        <sz val="10"/>
        <color rgb="FF0000CC"/>
        <rFont val="Garamond"/>
        <family val="1"/>
      </rPr>
      <t>[Pair Trade = "Buy" AND % Difference &gt; 2.5% AND Trade = "Risky Trade"]</t>
    </r>
  </si>
  <si>
    <r>
      <t xml:space="preserve">Square Off by EOD :
</t>
    </r>
    <r>
      <rPr>
        <b/>
        <sz val="10"/>
        <color rgb="FF0000CC"/>
        <rFont val="Garamond"/>
        <family val="1"/>
      </rPr>
      <t>[Pair Trade = "Buy" AND % Difference &gt; 0% AND RSI(8) &gt; (Max. RSI(8) - 2)]</t>
    </r>
  </si>
  <si>
    <r>
      <t xml:space="preserve">Take Profit - Exit 2 (Reverse Trend) :
</t>
    </r>
    <r>
      <rPr>
        <b/>
        <sz val="10"/>
        <color rgb="FF0000CC"/>
        <rFont val="Garamond"/>
        <family val="1"/>
      </rPr>
      <t>[Pair Trade = "Sell" AND Net Profit &gt; 0 AND RAVI(3,21) = "Declining" AND RSI(8) = "Reversing" AND MACD Hist. = "Up" AND Difference of % Difference = "Convergence"]</t>
    </r>
  </si>
  <si>
    <r>
      <t xml:space="preserve">Take Profit - Exit 3 (Reverse Trend) :
</t>
    </r>
    <r>
      <rPr>
        <b/>
        <sz val="10"/>
        <color rgb="FF0000CC"/>
        <rFont val="Garamond"/>
        <family val="1"/>
      </rPr>
      <t>[Pair Trade = "Sell" AND Net Profit &gt; 0 AND Current RSI(8) &gt;= 55]</t>
    </r>
  </si>
  <si>
    <r>
      <rPr>
        <b/>
        <sz val="10"/>
        <color theme="1"/>
        <rFont val="Garamond"/>
        <family val="1"/>
      </rPr>
      <t>Stop Loss - Exit 2 (Mean Cross) :</t>
    </r>
    <r>
      <rPr>
        <sz val="10"/>
        <color theme="1"/>
        <rFont val="Garamond"/>
        <family val="1"/>
      </rPr>
      <t xml:space="preserve">
</t>
    </r>
    <r>
      <rPr>
        <b/>
        <sz val="10"/>
        <color rgb="FF0000CC"/>
        <rFont val="Garamond"/>
        <family val="1"/>
      </rPr>
      <t>[Pair Trade = "Buy" AND Net Profit &lt;= 0 AND % Difference &lt; 0% AND Current RSI(8) &lt;= 45]</t>
    </r>
  </si>
  <si>
    <r>
      <rPr>
        <b/>
        <sz val="10"/>
        <color theme="1"/>
        <rFont val="Garamond"/>
        <family val="1"/>
      </rPr>
      <t>Take Profit - Exit 3 (Reverse Trend) :</t>
    </r>
    <r>
      <rPr>
        <sz val="10"/>
        <color theme="1"/>
        <rFont val="Garamond"/>
        <family val="1"/>
      </rPr>
      <t xml:space="preserve">
</t>
    </r>
    <r>
      <rPr>
        <b/>
        <sz val="10"/>
        <color rgb="FF0000CC"/>
        <rFont val="Garamond"/>
        <family val="1"/>
      </rPr>
      <t>[Pair Trade = "Buy" AND Net Profit &gt; 0 AND Current RSI(8) &lt;= 45]</t>
    </r>
  </si>
  <si>
    <r>
      <t xml:space="preserve">Take Profit / Trail Stop Loss - Exit 4 (Crossed 10% Target) :
</t>
    </r>
    <r>
      <rPr>
        <b/>
        <sz val="10"/>
        <color rgb="FF0000CC"/>
        <rFont val="Garamond"/>
        <family val="1"/>
      </rPr>
      <t>[Pair Trade = "Sell" AND % Returns &gt;= 10% of Total Approx. Margin]</t>
    </r>
  </si>
  <si>
    <r>
      <t xml:space="preserve">Stop Loss - Exit 1 (Crossed 10% SL) :
</t>
    </r>
    <r>
      <rPr>
        <b/>
        <sz val="10"/>
        <color rgb="FF0000CC"/>
        <rFont val="Garamond"/>
        <family val="1"/>
      </rPr>
      <t>[Pair Trade = "Sell" AND % Returns &lt;= -10% of Total Approx. Margin]</t>
    </r>
  </si>
  <si>
    <r>
      <t xml:space="preserve">Stop Loss - Exit 2 (Mean Cross) :
</t>
    </r>
    <r>
      <rPr>
        <b/>
        <sz val="10"/>
        <color rgb="FF0000CC"/>
        <rFont val="Garamond"/>
        <family val="1"/>
      </rPr>
      <t>[Pair Trade = "Sell" AND Net Profit &lt;= 0 AND % Difference &gt; 0% AND Current RSI(8) &gt;= 55]</t>
    </r>
  </si>
  <si>
    <r>
      <t xml:space="preserve">Watch Out 1 (Near 10% SL) :
</t>
    </r>
    <r>
      <rPr>
        <b/>
        <sz val="10"/>
        <color rgb="FF0000CC"/>
        <rFont val="Garamond"/>
        <family val="1"/>
      </rPr>
      <t>[Pair Trade = "Sell" AND % Returns &lt;= -7% of Total Appro. Margin AND % Returns &gt; -10% of Total Appro. Margin]</t>
    </r>
  </si>
  <si>
    <r>
      <t xml:space="preserve">Watch Out 2 (Near Mean) :
</t>
    </r>
    <r>
      <rPr>
        <b/>
        <sz val="10"/>
        <color rgb="FF0000CC"/>
        <rFont val="Garamond"/>
        <family val="1"/>
      </rPr>
      <t>[Pair Trade = "Sell" AND % Difference &gt;= -2.5% AND % Difference &lt; 0%]</t>
    </r>
  </si>
  <si>
    <r>
      <t xml:space="preserve">Watch Out 3 (Mean Cross) :
</t>
    </r>
    <r>
      <rPr>
        <b/>
        <sz val="10"/>
        <color rgb="FF0000CC"/>
        <rFont val="Garamond"/>
        <family val="1"/>
      </rPr>
      <t>[Pair Trade = "Sell" AND Net Profit &lt;= 0 AND % Difference &gt;= 0%]</t>
    </r>
  </si>
  <si>
    <r>
      <t xml:space="preserve">Square Off by EOD :
</t>
    </r>
    <r>
      <rPr>
        <b/>
        <sz val="10"/>
        <color rgb="FF0000CC"/>
        <rFont val="Garamond"/>
        <family val="1"/>
      </rPr>
      <t>[Pair Trade = "Sell" AND % Difference &lt; 0% AND RSI(8) &lt; (Max. RSI(8) + 2)]</t>
    </r>
  </si>
  <si>
    <r>
      <t xml:space="preserve">Risky Hold :
</t>
    </r>
    <r>
      <rPr>
        <b/>
        <sz val="10"/>
        <color rgb="FF0000CC"/>
        <rFont val="Garamond"/>
        <family val="1"/>
      </rPr>
      <t>[Pair Trade = "Sell" AND % Difference &lt; -2.5% AND Trade = "Risky Trade"]</t>
    </r>
  </si>
  <si>
    <r>
      <t xml:space="preserve">Hold :
</t>
    </r>
    <r>
      <rPr>
        <b/>
        <sz val="10"/>
        <color rgb="FF0000CC"/>
        <rFont val="Garamond"/>
        <family val="1"/>
      </rPr>
      <t>[Pair Trade = "Sell" AND % Difference &lt; -2.5%]</t>
    </r>
  </si>
  <si>
    <t>Divergence Pairs Trading System</t>
  </si>
  <si>
    <t>Note : Each of the methods, (i) Spread, (ii) Price Ratio and (iii) Ratio will be treated as three separate Strategies.</t>
  </si>
  <si>
    <t>Position Sizing :</t>
  </si>
  <si>
    <t>I]</t>
  </si>
  <si>
    <t>II]</t>
  </si>
  <si>
    <t>III]</t>
  </si>
  <si>
    <t>IV]</t>
  </si>
  <si>
    <t>V]</t>
  </si>
  <si>
    <r>
      <rPr>
        <b/>
        <sz val="10"/>
        <color theme="1"/>
        <rFont val="Garamond"/>
        <family val="1"/>
      </rPr>
      <t>Entry :</t>
    </r>
    <r>
      <rPr>
        <sz val="10"/>
        <color theme="1"/>
        <rFont val="Garamond"/>
        <family val="1"/>
      </rPr>
      <t xml:space="preserve">
(a) Enter the Trades as and when the Entry signals are triggered by the system.
(b) Though all the calculations for Signal generation are done using the Last Traded Price, the trades should be executed at Market Order. Thus, the Scrip being bought would be executed at the Ask Price, while the Scrip being sold would be executed at the Bid Price.
[Using Market Order will ensure that the trades are executed immediately. But if the pair trade is executed using Limit Order, one of the legs would get filled immediately, while the other leg could remain open, which would drastically increase the risk as the executed trade would remain Un-Hedged till the time the second leg is filled.]</t>
    </r>
  </si>
  <si>
    <t>Risk per Trade</t>
  </si>
  <si>
    <t>% Risk</t>
  </si>
  <si>
    <t>Approx. No. of Trades</t>
  </si>
  <si>
    <t>(viii)</t>
  </si>
  <si>
    <t>(ix)</t>
  </si>
  <si>
    <t>(x)</t>
  </si>
  <si>
    <t>(xi)</t>
  </si>
  <si>
    <t>(xii)</t>
  </si>
  <si>
    <t>(xiii)</t>
  </si>
  <si>
    <t>(xiv)</t>
  </si>
  <si>
    <t>Portfolio Size Range</t>
  </si>
  <si>
    <r>
      <t xml:space="preserve">Risk per Trade : </t>
    </r>
    <r>
      <rPr>
        <sz val="10"/>
        <color theme="1"/>
        <rFont val="Garamond"/>
        <family val="1"/>
      </rPr>
      <t>(as a % of the Portfolio Size)</t>
    </r>
  </si>
  <si>
    <t>Ranking of Entry Signals</t>
  </si>
  <si>
    <t>[10% of the Trading Capital is set aside for MTM.]</t>
  </si>
  <si>
    <t>Sr. No.</t>
  </si>
  <si>
    <r>
      <rPr>
        <b/>
        <sz val="10"/>
        <color theme="1"/>
        <rFont val="Garamond"/>
        <family val="1"/>
      </rPr>
      <t>Calculate the Approx. Total Margin required per Pair after the pairs are made Beta Neutral (with Un-Hedged Factor of between 5% &amp; -5%) :</t>
    </r>
    <r>
      <rPr>
        <sz val="10"/>
        <color theme="1"/>
        <rFont val="Garamond"/>
        <family val="1"/>
      </rPr>
      <t xml:space="preserve">
</t>
    </r>
    <r>
      <rPr>
        <b/>
        <sz val="10"/>
        <color rgb="FF0000CC"/>
        <rFont val="Garamond"/>
        <family val="1"/>
      </rPr>
      <t xml:space="preserve">Total Margin per Pair = (Margin of Scrip 1 x No. of Lots of Scrip 1) + (Margin of Scrip 2 x No. of Lots of Scrip 2)
</t>
    </r>
    <r>
      <rPr>
        <b/>
        <sz val="10"/>
        <color rgb="FFFF0000"/>
        <rFont val="Garamond"/>
        <family val="1"/>
      </rPr>
      <t>[</t>
    </r>
    <r>
      <rPr>
        <sz val="10"/>
        <color rgb="FFFF0000"/>
        <rFont val="Garamond"/>
        <family val="1"/>
      </rPr>
      <t xml:space="preserve">The % Returns of a Pair Trade is based on this Total Margin.] </t>
    </r>
  </si>
  <si>
    <r>
      <rPr>
        <b/>
        <sz val="10"/>
        <color theme="1"/>
        <rFont val="Garamond"/>
        <family val="1"/>
      </rPr>
      <t>Calculate the Risk per Trade Multiple :</t>
    </r>
    <r>
      <rPr>
        <sz val="10"/>
        <color theme="1"/>
        <rFont val="Garamond"/>
        <family val="1"/>
      </rPr>
      <t xml:space="preserve">
</t>
    </r>
    <r>
      <rPr>
        <b/>
        <sz val="10"/>
        <color rgb="FF0000CC"/>
        <rFont val="Garamond"/>
        <family val="1"/>
      </rPr>
      <t xml:space="preserve">Risk per Trade Multiple = 
If [(Un-Hedged Factor &lt; 5% </t>
    </r>
    <r>
      <rPr>
        <b/>
        <sz val="10"/>
        <color rgb="FFFF0000"/>
        <rFont val="Garamond"/>
        <family val="1"/>
      </rPr>
      <t>AND</t>
    </r>
    <r>
      <rPr>
        <b/>
        <sz val="10"/>
        <color rgb="FF0000CC"/>
        <rFont val="Garamond"/>
        <family val="1"/>
      </rPr>
      <t xml:space="preserve"> Un-Hedged Factor &gt; -5%), If [Risk per Trade &lt; Total Margin per Pair, "Beyond Risk", INT (Risk per Trade / Total Margin per Pair)], "Un-Hedged"]</t>
    </r>
    <r>
      <rPr>
        <sz val="10"/>
        <color theme="1"/>
        <rFont val="Garamond"/>
        <family val="1"/>
      </rPr>
      <t xml:space="preserve">
</t>
    </r>
    <r>
      <rPr>
        <sz val="10"/>
        <color rgb="FFFF0000"/>
        <rFont val="Garamond"/>
        <family val="1"/>
      </rPr>
      <t>[Note that if the Risk per Trade is less than the Approx. Total Margin, it means that the Trade is 'Beyond the Accepted Risk per Trade' and that Pair Trade should hence be ignored.
This Multiple ensures that all the Pairs have almost the same amount of Risk per Trade, i.e., the Risk per Pair Trade is Less Than Or Equal to 2% (or the respective % Risk as per the Table above) of the Portfolio Size.
This is required so that the Diversification is done properly and the Risk is shared equally among all the pairs. This is necessary also becos, if a particular pair has risk of 2%, while another pair has a risk of, say, only 0.4% and the one with the higher risk males a Loss, while the one with the lesser risk makes a Profit, the Net of both the trades will be a Loss. Hence, the losses will overtake the profits even if the system has given correct calls.]</t>
    </r>
  </si>
  <si>
    <t>Total Margin = [90% of Trading Capital + Net Profit (or Loss) - Margin Utilised for Open Trades]</t>
  </si>
  <si>
    <t>Portfolio Size = [Trading Capital + Net Profit (or Loss)]</t>
  </si>
  <si>
    <r>
      <rPr>
        <b/>
        <sz val="10"/>
        <color theme="1"/>
        <rFont val="Garamond"/>
        <family val="1"/>
      </rPr>
      <t>Calculate the Account Risk (Risk per Trade) based on the % of the Portfolio Size (i.e., Trading Capital + Net Profit/Loss) :</t>
    </r>
    <r>
      <rPr>
        <sz val="10"/>
        <color theme="1"/>
        <rFont val="Garamond"/>
        <family val="1"/>
      </rPr>
      <t xml:space="preserve">
</t>
    </r>
    <r>
      <rPr>
        <b/>
        <sz val="10"/>
        <color rgb="FF0000CC"/>
        <rFont val="Garamond"/>
        <family val="1"/>
      </rPr>
      <t>Risk per Trade =  [(Trading Capital + Net Profit) x % Risk]</t>
    </r>
    <r>
      <rPr>
        <sz val="10"/>
        <color theme="1"/>
        <rFont val="Garamond"/>
        <family val="1"/>
      </rPr>
      <t xml:space="preserve">
</t>
    </r>
    <r>
      <rPr>
        <sz val="10"/>
        <color rgb="FFFF0000"/>
        <rFont val="Garamond"/>
        <family val="1"/>
      </rPr>
      <t xml:space="preserve">[The percentages mentioned in the '% Risk" column in the Table below are used for the Risk per Trade as long as the System is in Profit or in Loss of upto 10%. But if the Portfolio Size starts falling below 90% of its initial size, the % Risk will be reduced by 20% everytime the Portfolio Size decreases by another 10%.
For example, if the Portfolio Size (in the range of Rs. 3 Cr to 3.5 Cr.) decreases to 65% of the initial size, a 2% Risk per Trade Multiple will reduce to </t>
    </r>
    <r>
      <rPr>
        <b/>
        <sz val="10"/>
        <color rgb="FFFF0000"/>
        <rFont val="Garamond"/>
        <family val="1"/>
      </rPr>
      <t>1.024%</t>
    </r>
    <r>
      <rPr>
        <sz val="10"/>
        <color rgb="FFFF0000"/>
        <rFont val="Garamond"/>
        <family val="1"/>
      </rPr>
      <t>. Thus, whenever there is DrawDown, the appropriate % Risk (as mentioned in the Table below) will be Multiplied with the Portfolio Size.
This takes care of the 'Risk of Ruin'.]</t>
    </r>
  </si>
  <si>
    <r>
      <rPr>
        <b/>
        <sz val="10"/>
        <color theme="1"/>
        <rFont val="Garamond"/>
        <family val="1"/>
      </rPr>
      <t xml:space="preserve">Calculate the the No. of Lots to be Bought / Sold per Scrip for the Pair Trade :
</t>
    </r>
    <r>
      <rPr>
        <b/>
        <sz val="10"/>
        <color rgb="FF0000CC"/>
        <rFont val="Garamond"/>
        <family val="1"/>
      </rPr>
      <t xml:space="preserve">No. of Lots per Scrip = No. of Lots calculated per Scrip after making it Beta Neutral x Risk per Trade Multiple
</t>
    </r>
    <r>
      <rPr>
        <sz val="10"/>
        <color rgb="FFFF0000"/>
        <rFont val="Garamond"/>
        <family val="1"/>
      </rPr>
      <t xml:space="preserve">[Here the No. of Lots per Scrip identified while making the pair Beta Neutral when Multiplied with the Risk per Trade Multiple, will give the Actual No. of Lots that are required per Scrip for the Pairs Trade.
For Example, in the Pair Trade "Buy SBIN &amp; Sell PNB", if the No. of Lots, after making the Pair Beta Neutral, are 2 &amp; 3 respectively and if the Risk per Trade Multiple is more than 1, say, 4; then we will have to Buy 8 Lots (i.e., 2 Lots x 4) of SBIN and Sell 12 Lots (i.e., 3 Lots x 4) of PNB. By doing so, the SBIN-PNB Pair will have the % Risk of approximately 2% of the Portfolio Size. But, if this % Risk is going to be more than 2% of the Portfolio Size, then this Pair Trade will have to be ignored and not entered.
Further, it should be noted that all the No. of Lots identified, will not be Bought or Sold at the same time. This will be done step-by-step so that the Slippage does not increase.
Taking the above example, initially, i.e., after the Entry Signal appears, only 2 Lots of SBIN will be Bought &amp; 3 Lots of PNB will be Sold. Then, after half a minute of executing this trade, the second batch of 2 Lots of SBIN &amp; 3 Lots of PNB will be Bought &amp; Sold respectively. The third batch will be executed after the completion of another half minute and finally the fourth batch will be executed after one &amp; half minutes.
Thus, if the Risk per Trade Multiple is 4, the pair trades  will be executed in 4 batches with 30 seconds interval between them.
Furthermore, this execution of batches with 30 seconds intervals will continue </t>
    </r>
    <r>
      <rPr>
        <b/>
        <sz val="10"/>
        <color rgb="FFFF0000"/>
        <rFont val="Garamond"/>
        <family val="1"/>
      </rPr>
      <t>even if the Entry Signal disappears</t>
    </r>
    <r>
      <rPr>
        <sz val="10"/>
        <color rgb="FFFF0000"/>
        <rFont val="Garamond"/>
        <family val="1"/>
      </rPr>
      <t xml:space="preserve"> before all the batches are executed.]</t>
    </r>
  </si>
  <si>
    <t>Filter I :-</t>
  </si>
  <si>
    <t>Previous Day (Wednesday, 15/07/2015) [EOD Data] :</t>
  </si>
  <si>
    <r>
      <t>1) Intraday Volatility (</t>
    </r>
    <r>
      <rPr>
        <b/>
        <sz val="9"/>
        <color theme="1"/>
        <rFont val="Garamond"/>
        <family val="1"/>
      </rPr>
      <t>Wed</t>
    </r>
    <r>
      <rPr>
        <sz val="9"/>
        <color theme="1"/>
        <rFont val="Garamond"/>
        <family val="1"/>
      </rPr>
      <t xml:space="preserve">. EOD Data) of Scrip 1 &amp; Scrip 2 should be </t>
    </r>
    <r>
      <rPr>
        <b/>
        <sz val="9"/>
        <color theme="1"/>
        <rFont val="Garamond"/>
        <family val="1"/>
      </rPr>
      <t>Greater than / Equal to 20%</t>
    </r>
  </si>
  <si>
    <r>
      <t>2) Correlation (</t>
    </r>
    <r>
      <rPr>
        <b/>
        <sz val="9"/>
        <color theme="1"/>
        <rFont val="Garamond"/>
        <family val="1"/>
      </rPr>
      <t>Wed</t>
    </r>
    <r>
      <rPr>
        <sz val="9"/>
        <color theme="1"/>
        <rFont val="Garamond"/>
        <family val="1"/>
      </rPr>
      <t xml:space="preserve">. EOD Data) of 5 Day, 13 Day &amp; 21 Day should be </t>
    </r>
    <r>
      <rPr>
        <b/>
        <sz val="9"/>
        <color theme="1"/>
        <rFont val="Garamond"/>
        <family val="1"/>
      </rPr>
      <t>Greater than / Equal to 0.6018</t>
    </r>
  </si>
  <si>
    <t>Current Day (Thursday, 16/07/2015) [Real Time Data] :</t>
  </si>
  <si>
    <r>
      <t>1) Intraday Volatility (</t>
    </r>
    <r>
      <rPr>
        <b/>
        <sz val="9"/>
        <color theme="1"/>
        <rFont val="Garamond"/>
        <family val="1"/>
      </rPr>
      <t>Thur</t>
    </r>
    <r>
      <rPr>
        <sz val="9"/>
        <color theme="1"/>
        <rFont val="Garamond"/>
        <family val="1"/>
      </rPr>
      <t xml:space="preserve">. RT Data) of Scrip 1 &amp; Scrip 2 should be </t>
    </r>
    <r>
      <rPr>
        <b/>
        <sz val="9"/>
        <color theme="1"/>
        <rFont val="Garamond"/>
        <family val="1"/>
      </rPr>
      <t>Greater than / Equal to 20%</t>
    </r>
  </si>
  <si>
    <r>
      <t>2) Correlation (</t>
    </r>
    <r>
      <rPr>
        <b/>
        <sz val="9"/>
        <color theme="1"/>
        <rFont val="Garamond"/>
        <family val="1"/>
      </rPr>
      <t>Thur</t>
    </r>
    <r>
      <rPr>
        <sz val="9"/>
        <color theme="1"/>
        <rFont val="Garamond"/>
        <family val="1"/>
      </rPr>
      <t xml:space="preserve">. RT Data) of 5 Day, 13 Day &amp; 21 Day should be </t>
    </r>
    <r>
      <rPr>
        <b/>
        <sz val="9"/>
        <color theme="1"/>
        <rFont val="Garamond"/>
        <family val="1"/>
      </rPr>
      <t>Greater than / Equal to 0.6018</t>
    </r>
  </si>
  <si>
    <t>Filter II :-</t>
  </si>
  <si>
    <r>
      <t>1) Spread (</t>
    </r>
    <r>
      <rPr>
        <b/>
        <sz val="9"/>
        <color theme="1"/>
        <rFont val="Garamond"/>
        <family val="1"/>
      </rPr>
      <t>Wed</t>
    </r>
    <r>
      <rPr>
        <sz val="9"/>
        <color theme="1"/>
        <rFont val="Garamond"/>
        <family val="1"/>
      </rPr>
      <t>. EOD Data) &gt; Mean Spread (</t>
    </r>
    <r>
      <rPr>
        <b/>
        <sz val="9"/>
        <color theme="1"/>
        <rFont val="Garamond"/>
        <family val="1"/>
      </rPr>
      <t>Wed</t>
    </r>
    <r>
      <rPr>
        <sz val="9"/>
        <color theme="1"/>
        <rFont val="Garamond"/>
        <family val="1"/>
      </rPr>
      <t>. EOD Data)</t>
    </r>
  </si>
  <si>
    <r>
      <t>2) Spread (</t>
    </r>
    <r>
      <rPr>
        <b/>
        <sz val="9"/>
        <color theme="1"/>
        <rFont val="Garamond"/>
        <family val="1"/>
      </rPr>
      <t>Wed</t>
    </r>
    <r>
      <rPr>
        <sz val="9"/>
        <color theme="1"/>
        <rFont val="Garamond"/>
        <family val="1"/>
      </rPr>
      <t>. EOD Data) &gt;= Prev. Spread (</t>
    </r>
    <r>
      <rPr>
        <b/>
        <sz val="9"/>
        <color theme="1"/>
        <rFont val="Garamond"/>
        <family val="1"/>
      </rPr>
      <t>Tue</t>
    </r>
    <r>
      <rPr>
        <sz val="9"/>
        <color theme="1"/>
        <rFont val="Garamond"/>
        <family val="1"/>
      </rPr>
      <t>. EOD Data)</t>
    </r>
  </si>
  <si>
    <r>
      <t>1) Spread (</t>
    </r>
    <r>
      <rPr>
        <b/>
        <sz val="9"/>
        <color theme="1"/>
        <rFont val="Garamond"/>
        <family val="1"/>
      </rPr>
      <t>Thur</t>
    </r>
    <r>
      <rPr>
        <sz val="9"/>
        <color theme="1"/>
        <rFont val="Garamond"/>
        <family val="1"/>
      </rPr>
      <t>. RT Data) &gt; Mean Spread (</t>
    </r>
    <r>
      <rPr>
        <b/>
        <sz val="9"/>
        <color theme="1"/>
        <rFont val="Garamond"/>
        <family val="1"/>
      </rPr>
      <t>Thur</t>
    </r>
    <r>
      <rPr>
        <sz val="9"/>
        <color theme="1"/>
        <rFont val="Garamond"/>
        <family val="1"/>
      </rPr>
      <t>. RT Data)</t>
    </r>
  </si>
  <si>
    <r>
      <t>2) Spread (</t>
    </r>
    <r>
      <rPr>
        <b/>
        <sz val="9"/>
        <color theme="1"/>
        <rFont val="Garamond"/>
        <family val="1"/>
      </rPr>
      <t>Thur</t>
    </r>
    <r>
      <rPr>
        <sz val="9"/>
        <color theme="1"/>
        <rFont val="Garamond"/>
        <family val="1"/>
      </rPr>
      <t>. RT Data) &gt;= Prev. Spread (</t>
    </r>
    <r>
      <rPr>
        <b/>
        <sz val="9"/>
        <color theme="1"/>
        <rFont val="Garamond"/>
        <family val="1"/>
      </rPr>
      <t>Wed</t>
    </r>
    <r>
      <rPr>
        <sz val="9"/>
        <color theme="1"/>
        <rFont val="Garamond"/>
        <family val="1"/>
      </rPr>
      <t>. EOD Data)</t>
    </r>
  </si>
  <si>
    <t>Filter III :-</t>
  </si>
  <si>
    <r>
      <t>1) MACD Histogram (</t>
    </r>
    <r>
      <rPr>
        <b/>
        <sz val="9"/>
        <color theme="1"/>
        <rFont val="Garamond"/>
        <family val="1"/>
      </rPr>
      <t>Wed</t>
    </r>
    <r>
      <rPr>
        <sz val="9"/>
        <color theme="1"/>
        <rFont val="Garamond"/>
        <family val="1"/>
      </rPr>
      <t>. EOD Data) &gt; MACD Histogram (</t>
    </r>
    <r>
      <rPr>
        <b/>
        <sz val="9"/>
        <color theme="1"/>
        <rFont val="Garamond"/>
        <family val="1"/>
      </rPr>
      <t>Tue</t>
    </r>
    <r>
      <rPr>
        <sz val="9"/>
        <color theme="1"/>
        <rFont val="Garamond"/>
        <family val="1"/>
      </rPr>
      <t>. EOD Data) &gt; MACD Histogram (</t>
    </r>
    <r>
      <rPr>
        <b/>
        <sz val="9"/>
        <color theme="1"/>
        <rFont val="Garamond"/>
        <family val="1"/>
      </rPr>
      <t>Mon</t>
    </r>
    <r>
      <rPr>
        <sz val="9"/>
        <color theme="1"/>
        <rFont val="Garamond"/>
        <family val="1"/>
      </rPr>
      <t>. EOD Data)</t>
    </r>
  </si>
  <si>
    <r>
      <t>2) RSI (</t>
    </r>
    <r>
      <rPr>
        <b/>
        <sz val="9"/>
        <color theme="1"/>
        <rFont val="Garamond"/>
        <family val="1"/>
      </rPr>
      <t>Wed</t>
    </r>
    <r>
      <rPr>
        <sz val="9"/>
        <color theme="1"/>
        <rFont val="Garamond"/>
        <family val="1"/>
      </rPr>
      <t>. EOD Data) &gt;= 55</t>
    </r>
  </si>
  <si>
    <t>=&gt; If YES, Buy Pair Signal</t>
  </si>
  <si>
    <r>
      <t>1) MACD Histogram (</t>
    </r>
    <r>
      <rPr>
        <b/>
        <sz val="9"/>
        <color theme="1"/>
        <rFont val="Garamond"/>
        <family val="1"/>
      </rPr>
      <t>Thur</t>
    </r>
    <r>
      <rPr>
        <sz val="9"/>
        <color theme="1"/>
        <rFont val="Garamond"/>
        <family val="1"/>
      </rPr>
      <t>. RT Data) &gt; MACD Histogram (</t>
    </r>
    <r>
      <rPr>
        <b/>
        <sz val="9"/>
        <color theme="1"/>
        <rFont val="Garamond"/>
        <family val="1"/>
      </rPr>
      <t>Wed</t>
    </r>
    <r>
      <rPr>
        <sz val="9"/>
        <color theme="1"/>
        <rFont val="Garamond"/>
        <family val="1"/>
      </rPr>
      <t>. EOD Data) &gt; MACD Histogram (</t>
    </r>
    <r>
      <rPr>
        <b/>
        <sz val="9"/>
        <color theme="1"/>
        <rFont val="Garamond"/>
        <family val="1"/>
      </rPr>
      <t>Tue</t>
    </r>
    <r>
      <rPr>
        <sz val="9"/>
        <color theme="1"/>
        <rFont val="Garamond"/>
        <family val="1"/>
      </rPr>
      <t>. EOD Data)</t>
    </r>
  </si>
  <si>
    <r>
      <t>2) MACD Histogram (</t>
    </r>
    <r>
      <rPr>
        <b/>
        <sz val="9"/>
        <color rgb="FF0000FF"/>
        <rFont val="Garamond"/>
        <family val="1"/>
      </rPr>
      <t>Thur</t>
    </r>
    <r>
      <rPr>
        <sz val="9"/>
        <color rgb="FF0000FF"/>
        <rFont val="Garamond"/>
        <family val="1"/>
      </rPr>
      <t>. RT Data) &gt; 0</t>
    </r>
  </si>
  <si>
    <r>
      <t>3) RSI (</t>
    </r>
    <r>
      <rPr>
        <b/>
        <sz val="9"/>
        <color theme="1"/>
        <rFont val="Garamond"/>
        <family val="1"/>
      </rPr>
      <t>Thur</t>
    </r>
    <r>
      <rPr>
        <sz val="9"/>
        <color theme="1"/>
        <rFont val="Garamond"/>
        <family val="1"/>
      </rPr>
      <t>. RT Data) &gt;= 55</t>
    </r>
  </si>
  <si>
    <t>=&gt;If YES, Buy Pair Signal</t>
  </si>
  <si>
    <t>Filter IV :-</t>
  </si>
  <si>
    <r>
      <t>1) Previous Day (</t>
    </r>
    <r>
      <rPr>
        <b/>
        <sz val="9"/>
        <color theme="1"/>
        <rFont val="Garamond"/>
        <family val="1"/>
      </rPr>
      <t>Wed</t>
    </r>
    <r>
      <rPr>
        <sz val="9"/>
        <color theme="1"/>
        <rFont val="Garamond"/>
        <family val="1"/>
      </rPr>
      <t>. EOD Data) Signal = Current Day (</t>
    </r>
    <r>
      <rPr>
        <b/>
        <sz val="9"/>
        <color theme="1"/>
        <rFont val="Garamond"/>
        <family val="1"/>
      </rPr>
      <t>Thur</t>
    </r>
    <r>
      <rPr>
        <sz val="9"/>
        <color theme="1"/>
        <rFont val="Garamond"/>
        <family val="1"/>
      </rPr>
      <t xml:space="preserve">. RT Data) = </t>
    </r>
    <r>
      <rPr>
        <b/>
        <sz val="9"/>
        <color theme="1"/>
        <rFont val="Garamond"/>
        <family val="1"/>
      </rPr>
      <t>Buy Pair</t>
    </r>
  </si>
  <si>
    <r>
      <t>2) Current Day RAVI (</t>
    </r>
    <r>
      <rPr>
        <b/>
        <sz val="9"/>
        <color theme="1"/>
        <rFont val="Garamond"/>
        <family val="1"/>
      </rPr>
      <t>Thur</t>
    </r>
    <r>
      <rPr>
        <sz val="9"/>
        <color theme="1"/>
        <rFont val="Garamond"/>
        <family val="1"/>
      </rPr>
      <t>. RT Data) &gt;= 3.1</t>
    </r>
  </si>
  <si>
    <r>
      <t>3) Previous Day RAVI (</t>
    </r>
    <r>
      <rPr>
        <b/>
        <sz val="9"/>
        <color theme="1"/>
        <rFont val="Garamond"/>
        <family val="1"/>
      </rPr>
      <t>Wed</t>
    </r>
    <r>
      <rPr>
        <sz val="9"/>
        <color theme="1"/>
        <rFont val="Garamond"/>
        <family val="1"/>
      </rPr>
      <t>. EOD Data) &gt;= 3.1</t>
    </r>
  </si>
  <si>
    <r>
      <t xml:space="preserve">4) Up to 9:20 AM on </t>
    </r>
    <r>
      <rPr>
        <b/>
        <sz val="9"/>
        <color theme="1"/>
        <rFont val="Garamond"/>
        <family val="1"/>
      </rPr>
      <t>Thur</t>
    </r>
    <r>
      <rPr>
        <sz val="9"/>
        <color theme="1"/>
        <rFont val="Garamond"/>
        <family val="1"/>
      </rPr>
      <t>. : Current Day RAVI (</t>
    </r>
    <r>
      <rPr>
        <b/>
        <sz val="9"/>
        <color theme="1"/>
        <rFont val="Garamond"/>
        <family val="1"/>
      </rPr>
      <t>Thur</t>
    </r>
    <r>
      <rPr>
        <sz val="9"/>
        <color theme="1"/>
        <rFont val="Garamond"/>
        <family val="1"/>
      </rPr>
      <t>. RT Data) &gt; Previous Day RAVI (</t>
    </r>
    <r>
      <rPr>
        <b/>
        <sz val="9"/>
        <color theme="1"/>
        <rFont val="Garamond"/>
        <family val="1"/>
      </rPr>
      <t>Wed</t>
    </r>
    <r>
      <rPr>
        <sz val="9"/>
        <color theme="1"/>
        <rFont val="Garamond"/>
        <family val="1"/>
      </rPr>
      <t>. EOD Data)</t>
    </r>
  </si>
  <si>
    <t>OR</t>
  </si>
  <si>
    <r>
      <t xml:space="preserve">4) At &amp; After 9:20 AM on </t>
    </r>
    <r>
      <rPr>
        <b/>
        <sz val="9"/>
        <color theme="1"/>
        <rFont val="Garamond"/>
        <family val="1"/>
      </rPr>
      <t>Thur</t>
    </r>
    <r>
      <rPr>
        <sz val="9"/>
        <color theme="1"/>
        <rFont val="Garamond"/>
        <family val="1"/>
      </rPr>
      <t>. : Current Day RAVI (</t>
    </r>
    <r>
      <rPr>
        <b/>
        <sz val="9"/>
        <color theme="1"/>
        <rFont val="Garamond"/>
        <family val="1"/>
      </rPr>
      <t>Thur</t>
    </r>
    <r>
      <rPr>
        <sz val="9"/>
        <color theme="1"/>
        <rFont val="Garamond"/>
        <family val="1"/>
      </rPr>
      <t>. RT Data) &gt; Current Day RAVI (</t>
    </r>
    <r>
      <rPr>
        <b/>
        <sz val="9"/>
        <color theme="1"/>
        <rFont val="Garamond"/>
        <family val="1"/>
      </rPr>
      <t>Thur</t>
    </r>
    <r>
      <rPr>
        <sz val="9"/>
        <color theme="1"/>
        <rFont val="Garamond"/>
        <family val="1"/>
      </rPr>
      <t>. Prev. 5 Minute Running RAVI Value)</t>
    </r>
  </si>
  <si>
    <r>
      <t xml:space="preserve">5) Up to 9:20 AM on </t>
    </r>
    <r>
      <rPr>
        <b/>
        <sz val="9"/>
        <color theme="1"/>
        <rFont val="Garamond"/>
        <family val="1"/>
      </rPr>
      <t>Thur</t>
    </r>
    <r>
      <rPr>
        <sz val="9"/>
        <color theme="1"/>
        <rFont val="Garamond"/>
        <family val="1"/>
      </rPr>
      <t>. : Current Day RSI (</t>
    </r>
    <r>
      <rPr>
        <b/>
        <sz val="9"/>
        <color theme="1"/>
        <rFont val="Garamond"/>
        <family val="1"/>
      </rPr>
      <t>Thur</t>
    </r>
    <r>
      <rPr>
        <sz val="9"/>
        <color theme="1"/>
        <rFont val="Garamond"/>
        <family val="1"/>
      </rPr>
      <t>. RT Data) &gt; Previous Day RSI (</t>
    </r>
    <r>
      <rPr>
        <b/>
        <sz val="9"/>
        <color theme="1"/>
        <rFont val="Garamond"/>
        <family val="1"/>
      </rPr>
      <t>Wed</t>
    </r>
    <r>
      <rPr>
        <sz val="9"/>
        <color theme="1"/>
        <rFont val="Garamond"/>
        <family val="1"/>
      </rPr>
      <t>. EOD Data)</t>
    </r>
  </si>
  <si>
    <r>
      <t xml:space="preserve">5) At &amp; After 9:20 AM on </t>
    </r>
    <r>
      <rPr>
        <b/>
        <sz val="9"/>
        <color theme="1"/>
        <rFont val="Garamond"/>
        <family val="1"/>
      </rPr>
      <t>Thur</t>
    </r>
    <r>
      <rPr>
        <sz val="9"/>
        <color theme="1"/>
        <rFont val="Garamond"/>
        <family val="1"/>
      </rPr>
      <t>. : Current Day RSI (</t>
    </r>
    <r>
      <rPr>
        <b/>
        <sz val="9"/>
        <color theme="1"/>
        <rFont val="Garamond"/>
        <family val="1"/>
      </rPr>
      <t>Thur</t>
    </r>
    <r>
      <rPr>
        <sz val="9"/>
        <color theme="1"/>
        <rFont val="Garamond"/>
        <family val="1"/>
      </rPr>
      <t>. RT Data) &gt; Current Day RSI (</t>
    </r>
    <r>
      <rPr>
        <b/>
        <sz val="9"/>
        <color theme="1"/>
        <rFont val="Garamond"/>
        <family val="1"/>
      </rPr>
      <t>Thur</t>
    </r>
    <r>
      <rPr>
        <sz val="9"/>
        <color theme="1"/>
        <rFont val="Garamond"/>
        <family val="1"/>
      </rPr>
      <t>. Prev. 5 Minute Running RSI Value)</t>
    </r>
  </si>
  <si>
    <t>Filters as per Bhushan :</t>
  </si>
  <si>
    <t>4 Methods get same signal, 3 Methods same signal, 2 Methods same signal &amp; lastly 1 Method signal</t>
  </si>
  <si>
    <t>Higher &amp; Rising RSI or Lower &amp; Declining RSI, better Ranking</t>
  </si>
  <si>
    <t>Higher &amp; Rising RAVI, better Ranking</t>
  </si>
  <si>
    <t>Declining &amp; Lower Correlation, Better Ranking</t>
  </si>
  <si>
    <t>Rising &amp; Lower Correlation, Better Ranking</t>
  </si>
  <si>
    <t>% Difference between Beta of Scrip 1 &amp; Scrip 2 Higher, better Ranking</t>
  </si>
  <si>
    <t>% Difference between IAV of Scrip 1 &amp; Scrip 2 Higher, better Ranking</t>
  </si>
  <si>
    <t>% Difference between Current Spread &amp; Mean Spread Rising, better Ranking</t>
  </si>
  <si>
    <t>Take the 30, 60, 90, 120, 150, 180 Day &amp; 1 Year Average of Max. / Min. RSI</t>
  </si>
  <si>
    <r>
      <t xml:space="preserve">Take Profit - Exit 1 (Mean Cross) :
</t>
    </r>
    <r>
      <rPr>
        <b/>
        <sz val="10"/>
        <color rgb="FF0000CC"/>
        <rFont val="Garamond"/>
        <family val="1"/>
      </rPr>
      <t>[Pair Trade = "Sell" AND Net Profit &gt; 0 AND % Difference &gt; 0% AND Current RSI(8) &gt;= 55]</t>
    </r>
  </si>
  <si>
    <r>
      <rPr>
        <b/>
        <sz val="10"/>
        <color theme="1"/>
        <rFont val="Garamond"/>
        <family val="1"/>
      </rPr>
      <t>Take Profit - Exit 1 (Mean Cross) :</t>
    </r>
    <r>
      <rPr>
        <sz val="10"/>
        <color theme="1"/>
        <rFont val="Garamond"/>
        <family val="1"/>
      </rPr>
      <t xml:space="preserve">
</t>
    </r>
    <r>
      <rPr>
        <b/>
        <sz val="10"/>
        <color rgb="FF0000CC"/>
        <rFont val="Garamond"/>
        <family val="1"/>
      </rPr>
      <t>[Pair Trade = "Buy" AND Net Profit &gt; 0 AND % Difference &lt; 0% AND Current RSI(8) &lt;= 45]</t>
    </r>
  </si>
  <si>
    <r>
      <rPr>
        <b/>
        <sz val="10"/>
        <color theme="1"/>
        <rFont val="Garamond"/>
        <family val="1"/>
      </rPr>
      <t>Pyramiding :</t>
    </r>
    <r>
      <rPr>
        <sz val="10"/>
        <color theme="1"/>
        <rFont val="Garamond"/>
        <family val="1"/>
      </rPr>
      <t xml:space="preserve">
When the Net Profit of the Pair goes up, the Pair can be pyramided by adding a new position.
Such additions / pyramiding should be done up to a maximum of 5 positions whenever the Net Profit goes up by 2% for the second position and thereafter by 1% for the third positions onwards, </t>
    </r>
    <r>
      <rPr>
        <b/>
        <sz val="10"/>
        <color rgb="FFFF0000"/>
        <rFont val="Garamond"/>
        <family val="1"/>
      </rPr>
      <t>even if the system is not giving any Entry Signal</t>
    </r>
    <r>
      <rPr>
        <sz val="10"/>
        <color theme="1"/>
        <rFont val="Garamond"/>
        <family val="1"/>
      </rPr>
      <t xml:space="preserve">. </t>
    </r>
    <r>
      <rPr>
        <b/>
        <sz val="10"/>
        <color rgb="FF0000CC"/>
        <rFont val="Garamond"/>
        <family val="1"/>
      </rPr>
      <t>{Note : Use the Pyramiding once the OHLC of Spread is available and then instead of using normal 1% - 5%, use 1 ATR and so on.}</t>
    </r>
    <r>
      <rPr>
        <sz val="10"/>
        <color theme="1"/>
        <rFont val="Garamond"/>
        <family val="1"/>
      </rPr>
      <t xml:space="preserve">
Hence, the First Position is taken when the Entry Signal is received, the Second position is taken when the Net Profit goes up to 2%, the Third position is taken when the Net Profit goes up to 3%, the Fourth position is taken when the Net Profit goes up to 4% and the Fifth &amp; final position is taken when the Net Profit goes up to 5%.
Everytime the Net Profit of the goes up by the desired 2% &amp; 1% and the Pair has to be pyramided, all the following steps have to be repeated :
(a) the number of Lots for each Scrip of the Pair to be balanced to make it Beta Neutral, 
(b) the Un-Hedged Factor to be kept between -5% &amp; 5%,
(c) the Risk per Trade Multiple to be calculated,
(d) the number of Lots (after making the Pair Beta Neutral) to be Multipled by the Risk per Trade Multiple to get the No. of Lots per Scrip to be Bought or Sold,
(e) the execution of the trades, if the Risk per Trade Multiple is more than 1, will happen in batches with one minute interval (even if the Entry Signal disappears).
This is required becos, as the Price changes, the Transaction Value of that Scrip also changes. Due to this, the No. of Lots required per scrip to make it Beta Neutral would also change.
Further, since the Span Margin required per scrip also changes every day depending on the Volatility &amp; Exchange requirements, the Risk per Trade Multiple would also change.
Hence, it is necessary to repeat these calculations everytime the pair has to be pyramided.</t>
    </r>
  </si>
  <si>
    <t>1) Order Type = 1</t>
  </si>
  <si>
    <r>
      <t xml:space="preserve">2) Scrip 1 </t>
    </r>
    <r>
      <rPr>
        <b/>
        <sz val="9"/>
        <color theme="1"/>
        <rFont val="Garamond"/>
        <family val="1"/>
      </rPr>
      <t xml:space="preserve">IntraDay </t>
    </r>
    <r>
      <rPr>
        <sz val="9"/>
        <color theme="1"/>
        <rFont val="Garamond"/>
        <family val="1"/>
      </rPr>
      <t>Volatility &gt;= 20%</t>
    </r>
  </si>
  <si>
    <r>
      <t xml:space="preserve">3) Scrip 2 </t>
    </r>
    <r>
      <rPr>
        <b/>
        <sz val="9"/>
        <color theme="1"/>
        <rFont val="Garamond"/>
        <family val="1"/>
      </rPr>
      <t xml:space="preserve">IntraDay </t>
    </r>
    <r>
      <rPr>
        <sz val="9"/>
        <color theme="1"/>
        <rFont val="Garamond"/>
        <family val="1"/>
      </rPr>
      <t>Volatility &gt;= 20%</t>
    </r>
  </si>
  <si>
    <t>4) Curr. Spread &gt;= Prev. Spread</t>
  </si>
  <si>
    <t>5) Curr. Spread &gt; Curr. Mean Spread (Curr. 13 Day SMA of Spread)</t>
  </si>
  <si>
    <r>
      <t xml:space="preserve">6) 5 Day </t>
    </r>
    <r>
      <rPr>
        <b/>
        <sz val="9"/>
        <color theme="1"/>
        <rFont val="Garamond"/>
        <family val="1"/>
      </rPr>
      <t>Returns</t>
    </r>
    <r>
      <rPr>
        <sz val="9"/>
        <color theme="1"/>
        <rFont val="Garamond"/>
        <family val="1"/>
      </rPr>
      <t xml:space="preserve"> Correlation &gt;= 0.6018</t>
    </r>
  </si>
  <si>
    <r>
      <t xml:space="preserve">7) 13 Day </t>
    </r>
    <r>
      <rPr>
        <b/>
        <sz val="9"/>
        <color theme="1"/>
        <rFont val="Garamond"/>
        <family val="1"/>
      </rPr>
      <t xml:space="preserve">Returns </t>
    </r>
    <r>
      <rPr>
        <sz val="9"/>
        <color theme="1"/>
        <rFont val="Garamond"/>
        <family val="1"/>
      </rPr>
      <t>Correlation &gt;= 0.6018</t>
    </r>
  </si>
  <si>
    <r>
      <t xml:space="preserve">8) 21 Day </t>
    </r>
    <r>
      <rPr>
        <b/>
        <sz val="9"/>
        <color theme="1"/>
        <rFont val="Garamond"/>
        <family val="1"/>
      </rPr>
      <t xml:space="preserve">Returns </t>
    </r>
    <r>
      <rPr>
        <sz val="9"/>
        <color theme="1"/>
        <rFont val="Garamond"/>
        <family val="1"/>
      </rPr>
      <t>Correlation &gt;= 0.6018</t>
    </r>
  </si>
  <si>
    <t>9) Curr. MACD Hist. &gt; 0</t>
  </si>
  <si>
    <t>10) Curr. MACD Hist. &gt; Prev. MACD Hist.</t>
  </si>
  <si>
    <t>11) Prev. MACD Hist. &gt; Prev. -1 MACD Hist.</t>
  </si>
  <si>
    <t>12) Curr. RSI(8) &gt;= 55</t>
  </si>
  <si>
    <t>13) Curr. RSI(8) &gt;= Prev. 5 Minute RSI(8)</t>
  </si>
  <si>
    <t>14) Curr. RAVI(3,21) &gt;= 3.1</t>
  </si>
  <si>
    <t>15) Prev. RAVI(3,21) &gt;= 3.1</t>
  </si>
  <si>
    <t>16) Curr. RAVI(3,21) &gt;= Prev. 5 Minute RAVI(3,21)</t>
  </si>
  <si>
    <t>1) Order Type = 2</t>
  </si>
  <si>
    <t>4) Curr. Spread &lt;= Prev. Spread</t>
  </si>
  <si>
    <t>5) Curr. Spread &lt; Curr. Mean Spread (Curr. 13 Day SMA of Spread)</t>
  </si>
  <si>
    <r>
      <t xml:space="preserve">6) 5 Day </t>
    </r>
    <r>
      <rPr>
        <b/>
        <sz val="9"/>
        <color theme="1"/>
        <rFont val="Garamond"/>
        <family val="1"/>
      </rPr>
      <t xml:space="preserve">Returns </t>
    </r>
    <r>
      <rPr>
        <sz val="9"/>
        <color theme="1"/>
        <rFont val="Garamond"/>
        <family val="1"/>
      </rPr>
      <t>Correlation &gt;= 0.6018</t>
    </r>
  </si>
  <si>
    <t>9) Curr. MACD Hist. &lt; 0</t>
  </si>
  <si>
    <t>10) Curr. MACD Hist. &lt; Prev. MACD Hist.</t>
  </si>
  <si>
    <t>11) Prev. MACD Hist. &lt; Prev. -1 MACD Hist.</t>
  </si>
  <si>
    <t>12) Curr. RSI(8) &lt;= 45</t>
  </si>
  <si>
    <t>13) Curr. RSI(8) &lt;= Prev. 5 Minute RSI(8)</t>
  </si>
  <si>
    <t>1) Trend = UpTrend</t>
  </si>
  <si>
    <t>9) Curr. MACD Hist. &gt; Prev. MACD Hist.</t>
  </si>
  <si>
    <t>10) Prev. MACD Hist. &gt; Prev. -1 MACD Hist.</t>
  </si>
  <si>
    <t>11) Curr. RSI(8) &gt;= 55</t>
  </si>
  <si>
    <t>12) Curr. RAVI(3,21) &gt;= 3.1</t>
  </si>
  <si>
    <t>1) Trend = DownTrend</t>
  </si>
  <si>
    <t>9) Curr. MACD Hist. &lt; Prev. MACD Hist.</t>
  </si>
  <si>
    <t>10) Prev. MACD Hist. &lt; Prev. -1 MACD Hist.</t>
  </si>
  <si>
    <t>11) Curr. RSI(8) &lt;= 45</t>
  </si>
  <si>
    <t>A] Divergence Pairs Trading Rules for Real Time at glance</t>
  </si>
  <si>
    <t>B] Divergence Pairs Trading Rules for EOD (Prev. Day) at glance</t>
  </si>
  <si>
    <t>Long Criteria (Real Time)</t>
  </si>
  <si>
    <t>Long Criteria (EOD)</t>
  </si>
  <si>
    <t>Short Criteria (Real Time)</t>
  </si>
  <si>
    <t>Short Criteria (EOD)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</si>
</sst>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0.0000%"/>
  </numFmts>
  <fonts count="21" x14ac:knownFonts="1">
    <font>
      <sz val="11"/>
      <color theme="1"/>
      <name val="Calibri"/>
      <family val="2"/>
      <scheme val="minor"/>
    </font>
    <font>
      <sz val="10"/>
      <color theme="1"/>
      <name val="Garamond"/>
      <family val="1"/>
    </font>
    <font>
      <b/>
      <sz val="10"/>
      <color theme="1"/>
      <name val="Garamond"/>
      <family val="1"/>
    </font>
    <font>
      <i/>
      <sz val="10"/>
      <color theme="1"/>
      <name val="Garamond"/>
      <family val="1"/>
    </font>
    <font>
      <sz val="11"/>
      <color theme="1"/>
      <name val="Calibri"/>
      <family val="2"/>
      <scheme val="minor"/>
    </font>
    <font>
      <b/>
      <sz val="10"/>
      <color rgb="FFFF0000"/>
      <name val="Garamond"/>
      <family val="1"/>
    </font>
    <font>
      <sz val="10"/>
      <color rgb="FFFF0000"/>
      <name val="Garamond"/>
      <family val="1"/>
    </font>
    <font>
      <b/>
      <sz val="10"/>
      <color rgb="FF0000CC"/>
      <name val="Garamond"/>
      <family val="1"/>
    </font>
    <font>
      <b/>
      <sz val="12"/>
      <color theme="1"/>
      <name val="Garamond"/>
      <family val="1"/>
    </font>
    <font>
      <b/>
      <i/>
      <sz val="10"/>
      <color theme="1"/>
      <name val="Garamond"/>
      <family val="1"/>
    </font>
    <font>
      <b/>
      <sz val="11"/>
      <color theme="1"/>
      <name val="Garamond"/>
      <family val="1"/>
    </font>
    <font>
      <sz val="10"/>
      <color rgb="FF0000CC"/>
      <name val="Garamond"/>
      <family val="1"/>
    </font>
    <font>
      <b/>
      <sz val="16"/>
      <color theme="0"/>
      <name val="Garamond"/>
      <family val="1"/>
    </font>
    <font>
      <b/>
      <sz val="14"/>
      <color theme="1"/>
      <name val="Garamond"/>
      <family val="1"/>
    </font>
    <font>
      <b/>
      <sz val="10"/>
      <color theme="0"/>
      <name val="Garamond"/>
      <family val="1"/>
    </font>
    <font>
      <sz val="10"/>
      <color theme="0"/>
      <name val="Garamond"/>
      <family val="1"/>
    </font>
    <font>
      <sz val="10"/>
      <name val="Garamond"/>
      <family val="1"/>
    </font>
    <font>
      <b/>
      <sz val="9"/>
      <color theme="1"/>
      <name val="Garamond"/>
      <family val="1"/>
    </font>
    <font>
      <sz val="9"/>
      <color theme="1"/>
      <name val="Garamond"/>
      <family val="1"/>
    </font>
    <font>
      <sz val="9"/>
      <color rgb="FF0000FF"/>
      <name val="Garamond"/>
      <family val="1"/>
    </font>
    <font>
      <b/>
      <sz val="9"/>
      <color rgb="FF0000FF"/>
      <name val="Garamond"/>
      <family val="1"/>
    </font>
  </fonts>
  <fills count="6">
    <fill>
      <patternFill patternType="none"/>
    </fill>
    <fill>
      <patternFill patternType="gray125"/>
    </fill>
    <fill>
      <patternFill patternType="solid">
        <fgColor theme="0" tint="-0.499984740745262"/>
        <bgColor indexed="64"/>
      </patternFill>
    </fill>
    <fill>
      <patternFill patternType="solid">
        <fgColor rgb="FF0000CC"/>
        <bgColor indexed="64"/>
      </patternFill>
    </fill>
    <fill>
      <patternFill patternType="solid">
        <fgColor theme="7" tint="0.39997558519241921"/>
        <bgColor indexed="64"/>
      </patternFill>
    </fill>
    <fill>
      <patternFill patternType="solid">
        <fgColor rgb="FFFF0000"/>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s>
  <cellStyleXfs count="3">
    <xf numFmtId="0" fontId="0" fillId="0" borderId="0"/>
    <xf numFmtId="9" fontId="4" fillId="0" borderId="0" applyFont="0" applyFill="0" applyBorder="0" applyAlignment="0" applyProtection="0"/>
    <xf numFmtId="164" fontId="4" fillId="0" borderId="0" applyFont="0" applyFill="0" applyBorder="0" applyAlignment="0" applyProtection="0"/>
  </cellStyleXfs>
  <cellXfs count="110">
    <xf numFmtId="0" fontId="0" fillId="0" borderId="0" xfId="0"/>
    <xf numFmtId="0" fontId="1" fillId="0" borderId="0" xfId="0" applyFont="1" applyAlignment="1">
      <alignment vertical="center" wrapText="1"/>
    </xf>
    <xf numFmtId="0" fontId="1" fillId="0" borderId="0" xfId="0" applyFont="1" applyAlignment="1">
      <alignment vertical="center"/>
    </xf>
    <xf numFmtId="0" fontId="2" fillId="0" borderId="0" xfId="0" applyFont="1" applyAlignment="1">
      <alignment vertical="center"/>
    </xf>
    <xf numFmtId="0" fontId="1" fillId="0" borderId="0" xfId="0" applyFont="1" applyAlignment="1">
      <alignment horizontal="center" vertical="center"/>
    </xf>
    <xf numFmtId="0" fontId="2" fillId="0" borderId="0" xfId="0" applyFont="1" applyAlignment="1">
      <alignment horizontal="center" vertical="center"/>
    </xf>
    <xf numFmtId="0" fontId="2" fillId="0" borderId="1" xfId="0" applyFont="1" applyBorder="1" applyAlignment="1">
      <alignment horizontal="center" vertical="center"/>
    </xf>
    <xf numFmtId="0" fontId="1" fillId="0" borderId="1" xfId="0" applyFont="1" applyBorder="1" applyAlignment="1">
      <alignment horizontal="center" vertical="center"/>
    </xf>
    <xf numFmtId="0" fontId="8" fillId="0" borderId="0" xfId="0" applyFont="1" applyAlignment="1">
      <alignment horizontal="center" vertical="center"/>
    </xf>
    <xf numFmtId="0" fontId="2" fillId="0" borderId="1" xfId="0" applyFont="1" applyBorder="1" applyAlignment="1">
      <alignment horizontal="center" vertical="center" wrapText="1"/>
    </xf>
    <xf numFmtId="0" fontId="10" fillId="0" borderId="1" xfId="0" applyFont="1" applyBorder="1" applyAlignment="1">
      <alignment horizontal="center" vertical="center"/>
    </xf>
    <xf numFmtId="0" fontId="8" fillId="0" borderId="1" xfId="0" applyFont="1" applyBorder="1" applyAlignment="1">
      <alignment horizontal="center" vertical="center"/>
    </xf>
    <xf numFmtId="0" fontId="13" fillId="0" borderId="0" xfId="0" applyFont="1" applyAlignment="1">
      <alignment horizontal="center" vertical="center"/>
    </xf>
    <xf numFmtId="165" fontId="1" fillId="0" borderId="5" xfId="0" applyNumberFormat="1" applyFont="1" applyBorder="1" applyAlignment="1">
      <alignment horizontal="center" vertical="center"/>
    </xf>
    <xf numFmtId="165" fontId="1" fillId="0" borderId="6" xfId="0" applyNumberFormat="1" applyFont="1" applyBorder="1" applyAlignment="1">
      <alignment horizontal="center" vertical="center"/>
    </xf>
    <xf numFmtId="165" fontId="1" fillId="0" borderId="1" xfId="0" applyNumberFormat="1" applyFont="1" applyBorder="1" applyAlignment="1">
      <alignment horizontal="center" vertical="center"/>
    </xf>
    <xf numFmtId="0" fontId="1" fillId="0" borderId="13" xfId="0" applyFont="1" applyBorder="1" applyAlignment="1">
      <alignment horizontal="center" vertical="center"/>
    </xf>
    <xf numFmtId="165" fontId="1" fillId="0" borderId="15" xfId="0" applyNumberFormat="1" applyFont="1" applyBorder="1" applyAlignment="1">
      <alignment horizontal="center" vertical="center"/>
    </xf>
    <xf numFmtId="0" fontId="1" fillId="0" borderId="5" xfId="0" applyFont="1" applyBorder="1" applyAlignment="1">
      <alignment horizontal="center" vertical="center"/>
    </xf>
    <xf numFmtId="165" fontId="1" fillId="0" borderId="13" xfId="0" applyNumberFormat="1" applyFont="1" applyBorder="1" applyAlignment="1">
      <alignment horizontal="center" vertical="center"/>
    </xf>
    <xf numFmtId="165" fontId="1" fillId="0" borderId="18" xfId="0" applyNumberFormat="1" applyFont="1" applyBorder="1" applyAlignment="1">
      <alignment horizontal="center" vertical="center"/>
    </xf>
    <xf numFmtId="0" fontId="14" fillId="2" borderId="5" xfId="0" applyFont="1" applyFill="1" applyBorder="1" applyAlignment="1">
      <alignment horizontal="center" vertical="center" wrapText="1"/>
    </xf>
    <xf numFmtId="0" fontId="14" fillId="2" borderId="6" xfId="0" applyFont="1" applyFill="1" applyBorder="1" applyAlignment="1">
      <alignment horizontal="center" vertical="center" wrapText="1"/>
    </xf>
    <xf numFmtId="0" fontId="14" fillId="2" borderId="19" xfId="0" applyFont="1" applyFill="1" applyBorder="1" applyAlignment="1">
      <alignment horizontal="center" vertical="center" wrapText="1"/>
    </xf>
    <xf numFmtId="165" fontId="1" fillId="0" borderId="21" xfId="0" applyNumberFormat="1" applyFont="1" applyBorder="1" applyAlignment="1">
      <alignment horizontal="center" vertical="center"/>
    </xf>
    <xf numFmtId="165" fontId="1" fillId="0" borderId="10" xfId="0" applyNumberFormat="1" applyFont="1" applyBorder="1" applyAlignment="1">
      <alignment horizontal="center" vertical="center"/>
    </xf>
    <xf numFmtId="165" fontId="1" fillId="0" borderId="19" xfId="0" applyNumberFormat="1" applyFont="1" applyBorder="1" applyAlignment="1">
      <alignment horizontal="center" vertical="center"/>
    </xf>
    <xf numFmtId="0" fontId="1" fillId="0" borderId="22" xfId="0" applyFont="1" applyBorder="1" applyAlignment="1">
      <alignment horizontal="center" vertical="center"/>
    </xf>
    <xf numFmtId="0" fontId="1" fillId="0" borderId="23" xfId="0" applyFont="1" applyBorder="1" applyAlignment="1">
      <alignment horizontal="center" vertical="center"/>
    </xf>
    <xf numFmtId="0" fontId="1" fillId="0" borderId="24" xfId="0" applyFont="1" applyBorder="1" applyAlignment="1">
      <alignment horizontal="center" vertical="center"/>
    </xf>
    <xf numFmtId="10" fontId="1" fillId="4" borderId="18" xfId="1" applyNumberFormat="1" applyFont="1" applyFill="1" applyBorder="1" applyAlignment="1">
      <alignment horizontal="center" vertical="center"/>
    </xf>
    <xf numFmtId="10" fontId="1" fillId="4" borderId="15" xfId="1" applyNumberFormat="1" applyFont="1" applyFill="1" applyBorder="1" applyAlignment="1">
      <alignment horizontal="center" vertical="center"/>
    </xf>
    <xf numFmtId="10" fontId="1" fillId="4" borderId="6" xfId="1" applyNumberFormat="1" applyFont="1" applyFill="1" applyBorder="1" applyAlignment="1">
      <alignment horizontal="center" vertical="center"/>
    </xf>
    <xf numFmtId="10" fontId="1" fillId="4" borderId="27" xfId="1" applyNumberFormat="1" applyFont="1" applyFill="1" applyBorder="1" applyAlignment="1">
      <alignment horizontal="center" vertical="center" wrapText="1"/>
    </xf>
    <xf numFmtId="0" fontId="18" fillId="0" borderId="0" xfId="0" applyFont="1" applyAlignment="1">
      <alignment vertical="center"/>
    </xf>
    <xf numFmtId="0" fontId="14" fillId="5" borderId="1" xfId="0" applyFont="1" applyFill="1" applyBorder="1" applyAlignment="1">
      <alignment horizontal="center" vertical="center"/>
    </xf>
    <xf numFmtId="0" fontId="5" fillId="0" borderId="1" xfId="0" applyFont="1" applyBorder="1" applyAlignment="1">
      <alignment horizontal="center" vertical="center"/>
    </xf>
    <xf numFmtId="0" fontId="0" fillId="0" borderId="0" xfId="0" applyAlignment="1">
      <alignment vertical="center"/>
    </xf>
    <xf numFmtId="0" fontId="17" fillId="0" borderId="0" xfId="0" applyFont="1" applyAlignment="1">
      <alignment vertical="center"/>
    </xf>
    <xf numFmtId="0" fontId="18" fillId="0" borderId="29" xfId="0" applyFont="1" applyBorder="1" applyAlignment="1">
      <alignment vertical="center"/>
    </xf>
    <xf numFmtId="0" fontId="18" fillId="0" borderId="30" xfId="0" applyFont="1" applyBorder="1" applyAlignment="1">
      <alignment vertical="center"/>
    </xf>
    <xf numFmtId="0" fontId="0" fillId="0" borderId="30" xfId="0" applyBorder="1"/>
    <xf numFmtId="0" fontId="0" fillId="0" borderId="31" xfId="0" applyBorder="1"/>
    <xf numFmtId="0" fontId="18" fillId="0" borderId="24" xfId="0" applyFont="1" applyBorder="1" applyAlignment="1">
      <alignment vertical="center"/>
    </xf>
    <xf numFmtId="0" fontId="18" fillId="0" borderId="22" xfId="0" applyFont="1" applyBorder="1" applyAlignment="1">
      <alignment vertical="center"/>
    </xf>
    <xf numFmtId="0" fontId="18" fillId="0" borderId="23" xfId="0" applyFont="1" applyBorder="1" applyAlignment="1">
      <alignment vertical="center"/>
    </xf>
    <xf numFmtId="0" fontId="17" fillId="0" borderId="27" xfId="0" applyFont="1" applyBorder="1" applyAlignment="1">
      <alignment horizontal="center" vertical="center"/>
    </xf>
    <xf numFmtId="0" fontId="17" fillId="0" borderId="28" xfId="0" applyFont="1" applyBorder="1" applyAlignment="1">
      <alignment horizontal="center" vertical="center"/>
    </xf>
    <xf numFmtId="0" fontId="1" fillId="0" borderId="0" xfId="0" applyFont="1" applyAlignment="1">
      <alignment horizontal="left" vertical="center" wrapText="1"/>
    </xf>
    <xf numFmtId="164" fontId="1" fillId="4" borderId="14" xfId="2" applyFont="1" applyFill="1" applyBorder="1" applyAlignment="1">
      <alignment horizontal="center" vertical="center"/>
    </xf>
    <xf numFmtId="164" fontId="1" fillId="4" borderId="1" xfId="2" applyFont="1" applyFill="1" applyBorder="1" applyAlignment="1">
      <alignment horizontal="center" vertical="center"/>
    </xf>
    <xf numFmtId="0" fontId="1" fillId="0" borderId="8" xfId="0" applyFont="1" applyBorder="1" applyAlignment="1">
      <alignment horizontal="left" vertical="center" wrapText="1"/>
    </xf>
    <xf numFmtId="0" fontId="1" fillId="0" borderId="9" xfId="0" applyFont="1" applyBorder="1" applyAlignment="1">
      <alignment horizontal="left" vertical="center" wrapText="1"/>
    </xf>
    <xf numFmtId="0" fontId="1" fillId="0" borderId="10" xfId="0" applyFont="1" applyBorder="1" applyAlignment="1">
      <alignment horizontal="left" vertical="center" wrapText="1"/>
    </xf>
    <xf numFmtId="0" fontId="3" fillId="0" borderId="1" xfId="0" applyFont="1" applyBorder="1" applyAlignment="1">
      <alignment horizontal="left" vertical="center" wrapText="1"/>
    </xf>
    <xf numFmtId="0" fontId="1" fillId="0" borderId="1" xfId="0" applyFont="1" applyBorder="1" applyAlignment="1">
      <alignment horizontal="left" vertical="center" wrapText="1"/>
    </xf>
    <xf numFmtId="0" fontId="1" fillId="0" borderId="12" xfId="0" applyFont="1" applyBorder="1" applyAlignment="1">
      <alignment horizontal="left" vertical="center" wrapText="1"/>
    </xf>
    <xf numFmtId="0" fontId="2" fillId="0" borderId="1" xfId="0" applyFont="1" applyBorder="1" applyAlignment="1">
      <alignment horizontal="left" vertical="center" wrapText="1"/>
    </xf>
    <xf numFmtId="0" fontId="14" fillId="2" borderId="25" xfId="0" applyFont="1" applyFill="1" applyBorder="1" applyAlignment="1">
      <alignment horizontal="center" vertical="center" wrapText="1"/>
    </xf>
    <xf numFmtId="0" fontId="14" fillId="2" borderId="26" xfId="0" applyFont="1" applyFill="1" applyBorder="1" applyAlignment="1">
      <alignment horizontal="center" vertical="center" wrapText="1"/>
    </xf>
    <xf numFmtId="0" fontId="14" fillId="2" borderId="3" xfId="0" applyFont="1" applyFill="1" applyBorder="1" applyAlignment="1">
      <alignment horizontal="center" vertical="center" wrapText="1"/>
    </xf>
    <xf numFmtId="0" fontId="14" fillId="2" borderId="5" xfId="0" applyFont="1" applyFill="1" applyBorder="1" applyAlignment="1">
      <alignment horizontal="center" vertical="center" wrapText="1"/>
    </xf>
    <xf numFmtId="0" fontId="14" fillId="2" borderId="4" xfId="0" applyFont="1" applyFill="1" applyBorder="1" applyAlignment="1">
      <alignment horizontal="center" vertical="center" wrapText="1"/>
    </xf>
    <xf numFmtId="0" fontId="14" fillId="2" borderId="6" xfId="0" applyFont="1" applyFill="1" applyBorder="1" applyAlignment="1">
      <alignment horizontal="center" vertical="center" wrapText="1"/>
    </xf>
    <xf numFmtId="164" fontId="1" fillId="0" borderId="1" xfId="2" applyFont="1" applyBorder="1" applyAlignment="1">
      <alignment horizontal="center" vertical="center"/>
    </xf>
    <xf numFmtId="164" fontId="1" fillId="4" borderId="5" xfId="2" applyFont="1" applyFill="1" applyBorder="1" applyAlignment="1">
      <alignment horizontal="center" vertical="center"/>
    </xf>
    <xf numFmtId="164" fontId="1" fillId="4" borderId="16" xfId="2" applyFont="1" applyFill="1" applyBorder="1" applyAlignment="1">
      <alignment horizontal="center" vertical="center"/>
    </xf>
    <xf numFmtId="0" fontId="15" fillId="2" borderId="20" xfId="0" applyFont="1" applyFill="1" applyBorder="1" applyAlignment="1">
      <alignment horizontal="center" vertical="center" wrapText="1"/>
    </xf>
    <xf numFmtId="0" fontId="15" fillId="2" borderId="3" xfId="0" applyFont="1" applyFill="1" applyBorder="1" applyAlignment="1">
      <alignment horizontal="center" vertical="center" wrapText="1"/>
    </xf>
    <xf numFmtId="0" fontId="15" fillId="2" borderId="4" xfId="0" applyFont="1" applyFill="1" applyBorder="1" applyAlignment="1">
      <alignment horizontal="center" vertical="center" wrapText="1"/>
    </xf>
    <xf numFmtId="0" fontId="8" fillId="0" borderId="8" xfId="0" applyFont="1" applyBorder="1" applyAlignment="1">
      <alignment horizontal="left" vertical="center" wrapText="1"/>
    </xf>
    <xf numFmtId="0" fontId="8" fillId="0" borderId="9" xfId="0" applyFont="1" applyBorder="1" applyAlignment="1">
      <alignment horizontal="left" vertical="center" wrapText="1"/>
    </xf>
    <xf numFmtId="0" fontId="8" fillId="0" borderId="10" xfId="0" applyFont="1" applyBorder="1" applyAlignment="1">
      <alignment horizontal="left" vertical="center" wrapText="1"/>
    </xf>
    <xf numFmtId="0" fontId="14" fillId="2" borderId="2"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7" fillId="0" borderId="0" xfId="0" applyFont="1" applyAlignment="1">
      <alignment horizontal="left" vertical="center" wrapText="1"/>
    </xf>
    <xf numFmtId="164" fontId="1" fillId="4" borderId="13" xfId="2" applyFont="1" applyFill="1" applyBorder="1" applyAlignment="1">
      <alignment horizontal="center" vertical="center"/>
    </xf>
    <xf numFmtId="164" fontId="1" fillId="4" borderId="17" xfId="2" applyFont="1" applyFill="1" applyBorder="1" applyAlignment="1">
      <alignment horizontal="center" vertical="center"/>
    </xf>
    <xf numFmtId="0" fontId="2" fillId="0" borderId="11" xfId="0" applyFont="1" applyBorder="1" applyAlignment="1">
      <alignment horizontal="center" vertical="center" wrapText="1"/>
    </xf>
    <xf numFmtId="0" fontId="2" fillId="0" borderId="0" xfId="0" applyFont="1" applyAlignment="1">
      <alignment horizontal="center" vertical="center" wrapText="1"/>
    </xf>
    <xf numFmtId="0" fontId="1" fillId="0" borderId="11" xfId="0" applyFont="1" applyBorder="1" applyAlignment="1">
      <alignment horizontal="center" vertical="center" wrapText="1"/>
    </xf>
    <xf numFmtId="0" fontId="1" fillId="0" borderId="0" xfId="0" applyFont="1" applyAlignment="1">
      <alignment horizontal="center" vertical="center" wrapText="1"/>
    </xf>
    <xf numFmtId="10" fontId="1" fillId="0" borderId="1" xfId="0" applyNumberFormat="1" applyFont="1" applyBorder="1" applyAlignment="1">
      <alignment horizontal="center" vertical="center" wrapText="1"/>
    </xf>
    <xf numFmtId="0" fontId="1" fillId="0" borderId="1" xfId="0" applyFont="1" applyBorder="1" applyAlignment="1">
      <alignment horizontal="center" vertical="center" wrapText="1"/>
    </xf>
    <xf numFmtId="0" fontId="8" fillId="0" borderId="0" xfId="0" applyFont="1" applyAlignment="1">
      <alignment horizontal="left" vertical="center" wrapText="1"/>
    </xf>
    <xf numFmtId="0" fontId="5" fillId="0" borderId="8" xfId="0" applyFont="1" applyBorder="1" applyAlignment="1">
      <alignment horizontal="center" vertical="center" wrapText="1"/>
    </xf>
    <xf numFmtId="0" fontId="5" fillId="0" borderId="9" xfId="0" applyFont="1" applyBorder="1" applyAlignment="1">
      <alignment horizontal="center" vertical="center" wrapText="1"/>
    </xf>
    <xf numFmtId="0" fontId="5" fillId="0" borderId="10" xfId="0" applyFont="1" applyBorder="1" applyAlignment="1">
      <alignment horizontal="center" vertical="center" wrapText="1"/>
    </xf>
    <xf numFmtId="0" fontId="10" fillId="0" borderId="1" xfId="0" applyFont="1" applyBorder="1" applyAlignment="1">
      <alignment horizontal="left" vertical="center" wrapText="1"/>
    </xf>
    <xf numFmtId="0" fontId="2" fillId="0" borderId="0" xfId="0" applyFont="1" applyAlignment="1">
      <alignment horizontal="left" vertical="center" wrapText="1"/>
    </xf>
    <xf numFmtId="164" fontId="1" fillId="0" borderId="13" xfId="2" applyFont="1" applyBorder="1" applyAlignment="1">
      <alignment horizontal="center" vertical="center"/>
    </xf>
    <xf numFmtId="0" fontId="13" fillId="0" borderId="0" xfId="0" applyFont="1" applyAlignment="1">
      <alignment horizontal="left" vertical="center" wrapText="1"/>
    </xf>
    <xf numFmtId="164" fontId="1" fillId="0" borderId="0" xfId="0" applyNumberFormat="1" applyFont="1" applyAlignment="1">
      <alignment horizontal="left" vertical="center" wrapText="1"/>
    </xf>
    <xf numFmtId="165" fontId="1" fillId="0" borderId="0" xfId="1" applyNumberFormat="1" applyFont="1" applyBorder="1" applyAlignment="1">
      <alignment horizontal="center" vertical="center" wrapText="1"/>
    </xf>
    <xf numFmtId="165" fontId="1" fillId="0" borderId="0" xfId="1" applyNumberFormat="1" applyFont="1" applyAlignment="1">
      <alignment horizontal="center" vertical="center" wrapText="1"/>
    </xf>
    <xf numFmtId="0" fontId="16" fillId="0" borderId="0" xfId="0" applyFont="1" applyAlignment="1">
      <alignment horizontal="left" vertical="center" wrapText="1"/>
    </xf>
    <xf numFmtId="0" fontId="10" fillId="0" borderId="0" xfId="0" applyFont="1" applyAlignment="1">
      <alignment horizontal="left" vertical="center" wrapText="1"/>
    </xf>
    <xf numFmtId="164" fontId="1" fillId="0" borderId="1" xfId="2" applyFont="1" applyBorder="1" applyAlignment="1">
      <alignment horizontal="center" vertical="center" wrapText="1"/>
    </xf>
    <xf numFmtId="0" fontId="10" fillId="0" borderId="8" xfId="0" applyFont="1" applyBorder="1" applyAlignment="1">
      <alignment horizontal="left" vertical="center" wrapText="1"/>
    </xf>
    <xf numFmtId="0" fontId="10" fillId="0" borderId="9" xfId="0" applyFont="1" applyBorder="1" applyAlignment="1">
      <alignment horizontal="left" vertical="center" wrapText="1"/>
    </xf>
    <xf numFmtId="0" fontId="10" fillId="0" borderId="10" xfId="0" applyFont="1" applyBorder="1" applyAlignment="1">
      <alignment horizontal="left" vertical="center" wrapText="1"/>
    </xf>
    <xf numFmtId="10" fontId="1" fillId="0" borderId="1" xfId="1" applyNumberFormat="1" applyFont="1" applyBorder="1" applyAlignment="1">
      <alignment horizontal="center" vertical="center" wrapText="1"/>
    </xf>
    <xf numFmtId="0" fontId="6" fillId="0" borderId="0" xfId="0" applyFont="1" applyAlignment="1">
      <alignment horizontal="left" vertical="center" wrapText="1"/>
    </xf>
    <xf numFmtId="0" fontId="5" fillId="0" borderId="8" xfId="0" applyFont="1" applyBorder="1" applyAlignment="1">
      <alignment horizontal="left" vertical="center" wrapText="1"/>
    </xf>
    <xf numFmtId="0" fontId="5" fillId="0" borderId="9" xfId="0" applyFont="1" applyBorder="1" applyAlignment="1">
      <alignment horizontal="left" vertical="center" wrapText="1"/>
    </xf>
    <xf numFmtId="0" fontId="5" fillId="0" borderId="10" xfId="0" applyFont="1" applyBorder="1" applyAlignment="1">
      <alignment horizontal="left" vertical="center" wrapText="1"/>
    </xf>
    <xf numFmtId="0" fontId="12" fillId="3" borderId="12" xfId="0" applyFont="1" applyFill="1" applyBorder="1" applyAlignment="1">
      <alignment horizontal="center" vertical="center"/>
    </xf>
    <xf numFmtId="0" fontId="1" fillId="0" borderId="7" xfId="0" applyFont="1" applyBorder="1" applyAlignment="1">
      <alignment horizontal="center" vertical="center" wrapText="1"/>
    </xf>
    <xf numFmtId="0" fontId="1" fillId="0" borderId="7" xfId="0" applyFont="1" applyBorder="1" applyAlignment="1">
      <alignment horizontal="left" vertical="center" wrapText="1"/>
    </xf>
    <xf numFmtId="0" fontId="13" fillId="0" borderId="0" xfId="0" applyFont="1" applyAlignment="1">
      <alignment horizontal="left" vertical="center"/>
    </xf>
  </cellXfs>
  <cellStyles count="3">
    <cellStyle name="Comma" xfId="2" builtinId="3"/>
    <cellStyle name="Normal" xfId="0" builtinId="0"/>
    <cellStyle name="Percent" xfId="1" builtinId="5"/>
  </cellStyles>
  <dxfs count="0"/>
  <tableStyles count="0" defaultTableStyle="TableStyleMedium2" defaultPivotStyle="PivotStyleLight16"/>
  <colors>
    <mruColors>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68"/>
  <sheetViews>
    <sheetView tabSelected="1" zoomScale="96" zoomScaleNormal="96" workbookViewId="0">
      <selection activeCell="B10" sqref="B10:T10"/>
    </sheetView>
  </sheetViews>
  <sheetFormatPr defaultColWidth="9.109375" defaultRowHeight="13.1" x14ac:dyDescent="0.3"/>
  <cols>
    <col min="1" max="1" width="3.6640625" style="1" customWidth="1"/>
    <col min="2" max="3" width="9.33203125" style="1" customWidth="1"/>
    <col min="4" max="5" width="8.6640625" style="1" customWidth="1"/>
    <col min="6" max="11" width="9.6640625" style="1" customWidth="1"/>
    <col min="12" max="33" width="8.6640625" style="1" customWidth="1"/>
    <col min="34" max="16384" width="9.109375" style="1"/>
  </cols>
  <sheetData>
    <row r="1" spans="1:20" s="2" customFormat="1" ht="20.3" x14ac:dyDescent="0.3">
      <c r="A1" s="106" t="s">
        <v>153</v>
      </c>
      <c r="B1" s="106"/>
      <c r="C1" s="106"/>
      <c r="D1" s="106"/>
      <c r="E1" s="106"/>
      <c r="F1" s="106"/>
      <c r="G1" s="106"/>
      <c r="H1" s="106"/>
      <c r="I1" s="106"/>
      <c r="J1" s="106"/>
      <c r="K1" s="106"/>
      <c r="L1" s="106"/>
      <c r="M1" s="106"/>
      <c r="N1" s="106"/>
      <c r="O1" s="106"/>
      <c r="P1" s="106"/>
      <c r="Q1" s="106"/>
      <c r="R1" s="106"/>
      <c r="S1" s="106"/>
      <c r="T1" s="106"/>
    </row>
    <row r="2" spans="1:20" s="2" customFormat="1" ht="12.8" customHeight="1" x14ac:dyDescent="0.3">
      <c r="A2" s="85" t="s">
        <v>154</v>
      </c>
      <c r="B2" s="86"/>
      <c r="C2" s="86"/>
      <c r="D2" s="86"/>
      <c r="E2" s="86"/>
      <c r="F2" s="86"/>
      <c r="G2" s="86"/>
      <c r="H2" s="86"/>
      <c r="I2" s="86"/>
      <c r="J2" s="86"/>
      <c r="K2" s="86"/>
      <c r="L2" s="86"/>
      <c r="M2" s="86"/>
      <c r="N2" s="86"/>
      <c r="O2" s="86"/>
      <c r="P2" s="86"/>
      <c r="Q2" s="86"/>
      <c r="R2" s="86"/>
      <c r="S2" s="86"/>
      <c r="T2" s="87"/>
    </row>
    <row r="3" spans="1:20" s="2" customFormat="1" x14ac:dyDescent="0.3">
      <c r="A3" s="5"/>
      <c r="B3" s="107"/>
      <c r="C3" s="107"/>
      <c r="D3" s="107"/>
      <c r="E3" s="107"/>
      <c r="F3" s="107"/>
      <c r="G3" s="107"/>
      <c r="H3" s="107"/>
      <c r="I3" s="107"/>
      <c r="J3" s="107"/>
      <c r="K3" s="107"/>
      <c r="L3" s="107"/>
      <c r="M3" s="107"/>
      <c r="N3" s="107"/>
      <c r="O3" s="107"/>
      <c r="P3" s="107"/>
      <c r="Q3" s="107"/>
      <c r="R3" s="107"/>
      <c r="S3" s="107"/>
      <c r="T3" s="107"/>
    </row>
    <row r="4" spans="1:20" s="2" customFormat="1" ht="18.350000000000001" x14ac:dyDescent="0.3">
      <c r="A4" s="12" t="s">
        <v>156</v>
      </c>
      <c r="B4" s="91" t="s">
        <v>10</v>
      </c>
      <c r="C4" s="91"/>
      <c r="D4" s="91"/>
      <c r="E4" s="91"/>
      <c r="F4" s="91"/>
      <c r="G4" s="91"/>
      <c r="H4" s="91"/>
      <c r="I4" s="91"/>
      <c r="J4" s="91"/>
      <c r="K4" s="91"/>
      <c r="L4" s="91"/>
      <c r="M4" s="91"/>
      <c r="N4" s="91"/>
      <c r="O4" s="91"/>
      <c r="P4" s="91"/>
      <c r="Q4" s="91"/>
      <c r="R4" s="91"/>
      <c r="S4" s="91"/>
      <c r="T4" s="91"/>
    </row>
    <row r="5" spans="1:20" s="2" customFormat="1" ht="15.75" x14ac:dyDescent="0.3">
      <c r="A5" s="8" t="s">
        <v>9</v>
      </c>
      <c r="B5" s="84" t="s">
        <v>155</v>
      </c>
      <c r="C5" s="84"/>
      <c r="D5" s="84"/>
      <c r="E5" s="84"/>
      <c r="F5" s="84"/>
      <c r="G5" s="84"/>
      <c r="H5" s="84"/>
      <c r="I5" s="84"/>
      <c r="J5" s="84"/>
      <c r="K5" s="84"/>
      <c r="L5" s="84"/>
      <c r="M5" s="84"/>
      <c r="N5" s="84"/>
      <c r="O5" s="84"/>
      <c r="P5" s="84"/>
      <c r="Q5" s="84"/>
      <c r="R5" s="84"/>
      <c r="S5" s="84"/>
      <c r="T5" s="84"/>
    </row>
    <row r="6" spans="1:20" s="2" customFormat="1" ht="88.55" customHeight="1" x14ac:dyDescent="0.3">
      <c r="A6" s="6">
        <v>1</v>
      </c>
      <c r="B6" s="55" t="s">
        <v>181</v>
      </c>
      <c r="C6" s="55"/>
      <c r="D6" s="55"/>
      <c r="E6" s="55"/>
      <c r="F6" s="55"/>
      <c r="G6" s="55"/>
      <c r="H6" s="55"/>
      <c r="I6" s="55"/>
      <c r="J6" s="55"/>
      <c r="K6" s="55"/>
      <c r="L6" s="55"/>
      <c r="M6" s="55"/>
      <c r="N6" s="55"/>
      <c r="O6" s="55"/>
      <c r="P6" s="55"/>
      <c r="Q6" s="55"/>
      <c r="R6" s="55"/>
      <c r="S6" s="55"/>
      <c r="T6" s="55"/>
    </row>
    <row r="7" spans="1:20" s="2" customFormat="1" x14ac:dyDescent="0.3">
      <c r="A7" s="4"/>
      <c r="B7" s="48"/>
      <c r="C7" s="48"/>
      <c r="D7" s="48"/>
      <c r="E7" s="48"/>
      <c r="F7" s="48"/>
      <c r="G7" s="48"/>
      <c r="H7" s="48"/>
      <c r="I7" s="48"/>
      <c r="J7" s="48"/>
      <c r="K7" s="48"/>
      <c r="L7" s="48"/>
      <c r="M7" s="48"/>
      <c r="N7" s="48"/>
      <c r="O7" s="48"/>
      <c r="P7" s="48"/>
      <c r="Q7" s="48"/>
      <c r="R7" s="48"/>
      <c r="S7" s="48"/>
      <c r="T7" s="48"/>
    </row>
    <row r="8" spans="1:20" s="2" customFormat="1" x14ac:dyDescent="0.3">
      <c r="A8" s="5" t="s">
        <v>6</v>
      </c>
      <c r="B8" s="89" t="s">
        <v>11</v>
      </c>
      <c r="C8" s="89"/>
      <c r="D8" s="89"/>
      <c r="E8" s="89"/>
      <c r="F8" s="89"/>
      <c r="G8" s="89"/>
      <c r="H8" s="89"/>
      <c r="I8" s="89"/>
      <c r="J8" s="89"/>
      <c r="K8" s="89"/>
      <c r="L8" s="89"/>
      <c r="M8" s="89"/>
      <c r="N8" s="89"/>
      <c r="O8" s="89"/>
      <c r="P8" s="89"/>
      <c r="Q8" s="89"/>
      <c r="R8" s="89"/>
      <c r="S8" s="89"/>
      <c r="T8" s="89"/>
    </row>
    <row r="9" spans="1:20" s="2" customFormat="1" x14ac:dyDescent="0.3">
      <c r="A9" s="4"/>
      <c r="B9" s="75" t="s">
        <v>179</v>
      </c>
      <c r="C9" s="48"/>
      <c r="D9" s="48"/>
      <c r="E9" s="48"/>
      <c r="F9" s="48"/>
      <c r="G9" s="48"/>
      <c r="H9" s="48"/>
      <c r="I9" s="48"/>
      <c r="J9" s="48"/>
      <c r="K9" s="48"/>
      <c r="L9" s="48"/>
      <c r="M9" s="48"/>
      <c r="N9" s="48"/>
      <c r="O9" s="48"/>
      <c r="P9" s="48"/>
      <c r="Q9" s="48"/>
      <c r="R9" s="48"/>
      <c r="S9" s="48"/>
      <c r="T9" s="48"/>
    </row>
    <row r="10" spans="1:20" s="2" customFormat="1" x14ac:dyDescent="0.3">
      <c r="A10" s="4"/>
      <c r="B10" s="102" t="s">
        <v>175</v>
      </c>
      <c r="C10" s="102"/>
      <c r="D10" s="102"/>
      <c r="E10" s="102"/>
      <c r="F10" s="102"/>
      <c r="G10" s="102"/>
      <c r="H10" s="102"/>
      <c r="I10" s="102"/>
      <c r="J10" s="102"/>
      <c r="K10" s="102"/>
      <c r="L10" s="102"/>
      <c r="M10" s="102"/>
      <c r="N10" s="102"/>
      <c r="O10" s="102"/>
      <c r="P10" s="102"/>
      <c r="Q10" s="102"/>
      <c r="R10" s="102"/>
      <c r="S10" s="102"/>
      <c r="T10" s="102"/>
    </row>
    <row r="11" spans="1:20" s="2" customFormat="1" x14ac:dyDescent="0.3">
      <c r="A11" s="4"/>
      <c r="B11" s="48"/>
      <c r="C11" s="48"/>
      <c r="D11" s="48"/>
      <c r="E11" s="48"/>
      <c r="F11" s="48"/>
      <c r="G11" s="48"/>
      <c r="H11" s="48"/>
      <c r="I11" s="48"/>
      <c r="J11" s="48"/>
      <c r="K11" s="48"/>
      <c r="L11" s="48"/>
      <c r="M11" s="48"/>
      <c r="N11" s="48"/>
      <c r="O11" s="48"/>
      <c r="P11" s="48"/>
      <c r="Q11" s="48"/>
      <c r="R11" s="48"/>
      <c r="S11" s="48"/>
      <c r="T11" s="48"/>
    </row>
    <row r="12" spans="1:20" s="2" customFormat="1" x14ac:dyDescent="0.3">
      <c r="A12" s="5" t="s">
        <v>7</v>
      </c>
      <c r="B12" s="89" t="s">
        <v>13</v>
      </c>
      <c r="C12" s="89"/>
      <c r="D12" s="89"/>
      <c r="E12" s="89"/>
      <c r="F12" s="89"/>
      <c r="G12" s="89"/>
      <c r="H12" s="89"/>
      <c r="I12" s="89"/>
      <c r="J12" s="89"/>
      <c r="K12" s="89"/>
      <c r="L12" s="89"/>
      <c r="M12" s="89"/>
      <c r="N12" s="89"/>
      <c r="O12" s="89"/>
      <c r="P12" s="89"/>
      <c r="Q12" s="89"/>
      <c r="R12" s="89"/>
      <c r="S12" s="89"/>
      <c r="T12" s="89"/>
    </row>
    <row r="13" spans="1:20" s="2" customFormat="1" x14ac:dyDescent="0.3">
      <c r="A13" s="4"/>
      <c r="B13" s="75" t="s">
        <v>180</v>
      </c>
      <c r="C13" s="48"/>
      <c r="D13" s="48"/>
      <c r="E13" s="48"/>
      <c r="F13" s="48"/>
      <c r="G13" s="48"/>
      <c r="H13" s="48"/>
      <c r="I13" s="48"/>
      <c r="J13" s="48"/>
      <c r="K13" s="48"/>
      <c r="L13" s="48"/>
      <c r="M13" s="48"/>
      <c r="N13" s="48"/>
      <c r="O13" s="48"/>
      <c r="P13" s="48"/>
      <c r="Q13" s="48"/>
      <c r="R13" s="48"/>
      <c r="S13" s="48"/>
      <c r="T13" s="48"/>
    </row>
    <row r="14" spans="1:20" s="2" customFormat="1" ht="13.75" thickBot="1" x14ac:dyDescent="0.35">
      <c r="A14" s="4"/>
      <c r="B14" s="48"/>
      <c r="C14" s="48"/>
      <c r="D14" s="48"/>
      <c r="E14" s="48"/>
      <c r="F14" s="48"/>
      <c r="G14" s="48"/>
      <c r="H14" s="48"/>
      <c r="I14" s="48"/>
      <c r="J14" s="48"/>
      <c r="K14" s="48"/>
      <c r="L14" s="48"/>
      <c r="M14" s="48"/>
      <c r="N14" s="48"/>
      <c r="O14" s="48"/>
      <c r="P14" s="48"/>
      <c r="Q14" s="48"/>
      <c r="R14" s="48"/>
      <c r="S14" s="48"/>
      <c r="T14" s="48"/>
    </row>
    <row r="15" spans="1:20" s="2" customFormat="1" ht="12.8" customHeight="1" thickBot="1" x14ac:dyDescent="0.35">
      <c r="A15" s="5" t="s">
        <v>12</v>
      </c>
      <c r="B15" s="89" t="s">
        <v>15</v>
      </c>
      <c r="C15" s="89"/>
      <c r="D15" s="33">
        <v>0.2</v>
      </c>
      <c r="E15" s="93"/>
      <c r="F15" s="94"/>
      <c r="G15" s="94"/>
      <c r="H15" s="94"/>
      <c r="I15" s="94"/>
      <c r="J15" s="94"/>
      <c r="K15" s="94"/>
      <c r="L15" s="94"/>
      <c r="M15" s="94"/>
      <c r="N15" s="94"/>
      <c r="O15" s="94"/>
      <c r="P15" s="94"/>
      <c r="Q15" s="94"/>
      <c r="R15" s="94"/>
      <c r="S15" s="94"/>
      <c r="T15" s="94"/>
    </row>
    <row r="16" spans="1:20" s="2" customFormat="1" x14ac:dyDescent="0.3">
      <c r="A16" s="4"/>
      <c r="B16" s="92"/>
      <c r="C16" s="48"/>
      <c r="D16" s="48"/>
      <c r="E16" s="48"/>
      <c r="F16" s="48"/>
      <c r="G16" s="48"/>
      <c r="H16" s="48"/>
      <c r="I16" s="48"/>
      <c r="J16" s="48"/>
      <c r="K16" s="48"/>
      <c r="L16" s="48"/>
      <c r="M16" s="48"/>
      <c r="N16" s="48"/>
      <c r="O16" s="48"/>
      <c r="P16" s="48"/>
      <c r="Q16" s="48"/>
      <c r="R16" s="48"/>
      <c r="S16" s="48"/>
      <c r="T16" s="48"/>
    </row>
    <row r="17" spans="1:20" s="2" customFormat="1" ht="13.75" thickBot="1" x14ac:dyDescent="0.35">
      <c r="A17" s="5" t="s">
        <v>14</v>
      </c>
      <c r="B17" s="89" t="s">
        <v>173</v>
      </c>
      <c r="C17" s="89"/>
      <c r="D17" s="89"/>
      <c r="E17" s="89"/>
      <c r="F17" s="89"/>
      <c r="G17" s="89"/>
      <c r="H17" s="89"/>
      <c r="I17" s="89"/>
      <c r="J17" s="89"/>
      <c r="K17" s="89"/>
      <c r="L17" s="89"/>
      <c r="M17" s="89"/>
      <c r="N17" s="89"/>
      <c r="O17" s="89"/>
      <c r="P17" s="89"/>
      <c r="Q17" s="89"/>
      <c r="R17" s="89"/>
      <c r="S17" s="89"/>
      <c r="T17" s="89"/>
    </row>
    <row r="18" spans="1:20" s="2" customFormat="1" ht="19.5" customHeight="1" x14ac:dyDescent="0.3">
      <c r="A18" s="58" t="s">
        <v>176</v>
      </c>
      <c r="B18" s="73" t="s">
        <v>172</v>
      </c>
      <c r="C18" s="60"/>
      <c r="D18" s="60"/>
      <c r="E18" s="60"/>
      <c r="F18" s="60" t="s">
        <v>162</v>
      </c>
      <c r="G18" s="60"/>
      <c r="H18" s="60" t="s">
        <v>164</v>
      </c>
      <c r="I18" s="62" t="s">
        <v>163</v>
      </c>
      <c r="J18" s="67" t="s">
        <v>16</v>
      </c>
      <c r="K18" s="68"/>
      <c r="L18" s="68"/>
      <c r="M18" s="68"/>
      <c r="N18" s="68"/>
      <c r="O18" s="68"/>
      <c r="P18" s="68"/>
      <c r="Q18" s="68"/>
      <c r="R18" s="68"/>
      <c r="S18" s="69"/>
    </row>
    <row r="19" spans="1:20" s="2" customFormat="1" ht="19.5" customHeight="1" thickBot="1" x14ac:dyDescent="0.35">
      <c r="A19" s="59"/>
      <c r="B19" s="74"/>
      <c r="C19" s="61"/>
      <c r="D19" s="61"/>
      <c r="E19" s="61"/>
      <c r="F19" s="61"/>
      <c r="G19" s="61"/>
      <c r="H19" s="61"/>
      <c r="I19" s="63"/>
      <c r="J19" s="23" t="s">
        <v>17</v>
      </c>
      <c r="K19" s="21" t="s">
        <v>18</v>
      </c>
      <c r="L19" s="21" t="s">
        <v>19</v>
      </c>
      <c r="M19" s="21" t="s">
        <v>20</v>
      </c>
      <c r="N19" s="21" t="s">
        <v>21</v>
      </c>
      <c r="O19" s="21" t="s">
        <v>22</v>
      </c>
      <c r="P19" s="21" t="s">
        <v>23</v>
      </c>
      <c r="Q19" s="21" t="s">
        <v>24</v>
      </c>
      <c r="R19" s="21" t="s">
        <v>25</v>
      </c>
      <c r="S19" s="22" t="s">
        <v>26</v>
      </c>
    </row>
    <row r="20" spans="1:20" s="2" customFormat="1" x14ac:dyDescent="0.3">
      <c r="A20" s="29" t="s">
        <v>1</v>
      </c>
      <c r="B20" s="77">
        <v>9000000</v>
      </c>
      <c r="C20" s="76"/>
      <c r="D20" s="90">
        <f t="shared" ref="D20:D29" si="0">B21-1</f>
        <v>9999999</v>
      </c>
      <c r="E20" s="90"/>
      <c r="F20" s="76">
        <v>400000</v>
      </c>
      <c r="G20" s="76"/>
      <c r="H20" s="16">
        <f t="shared" ref="H20:H33" si="1">INT((B20*90%)/F20)</f>
        <v>20</v>
      </c>
      <c r="I20" s="30">
        <v>4.4999999999999998E-2</v>
      </c>
      <c r="J20" s="24">
        <f t="shared" ref="J20:J33" si="2">I20</f>
        <v>4.4999999999999998E-2</v>
      </c>
      <c r="K20" s="19">
        <f t="shared" ref="K20:S20" si="3">J20*(100%-$D$15)</f>
        <v>3.5999999999999997E-2</v>
      </c>
      <c r="L20" s="19">
        <f t="shared" si="3"/>
        <v>2.8799999999999999E-2</v>
      </c>
      <c r="M20" s="19">
        <f t="shared" si="3"/>
        <v>2.3040000000000001E-2</v>
      </c>
      <c r="N20" s="19">
        <f t="shared" si="3"/>
        <v>1.8432E-2</v>
      </c>
      <c r="O20" s="19">
        <f t="shared" si="3"/>
        <v>1.4745600000000001E-2</v>
      </c>
      <c r="P20" s="19">
        <f t="shared" si="3"/>
        <v>1.1796480000000002E-2</v>
      </c>
      <c r="Q20" s="19">
        <f t="shared" si="3"/>
        <v>9.4371840000000012E-3</v>
      </c>
      <c r="R20" s="19">
        <f t="shared" si="3"/>
        <v>7.5497472000000017E-3</v>
      </c>
      <c r="S20" s="20">
        <f t="shared" si="3"/>
        <v>6.0397977600000017E-3</v>
      </c>
    </row>
    <row r="21" spans="1:20" s="2" customFormat="1" x14ac:dyDescent="0.3">
      <c r="A21" s="27" t="s">
        <v>2</v>
      </c>
      <c r="B21" s="49">
        <v>10000000</v>
      </c>
      <c r="C21" s="50"/>
      <c r="D21" s="64">
        <f t="shared" si="0"/>
        <v>14999999</v>
      </c>
      <c r="E21" s="64"/>
      <c r="F21" s="50">
        <v>450000</v>
      </c>
      <c r="G21" s="50"/>
      <c r="H21" s="7">
        <f t="shared" si="1"/>
        <v>20</v>
      </c>
      <c r="I21" s="31">
        <v>4.4999999999999998E-2</v>
      </c>
      <c r="J21" s="25">
        <f t="shared" si="2"/>
        <v>4.4999999999999998E-2</v>
      </c>
      <c r="K21" s="15">
        <f t="shared" ref="K21:S21" si="4">J21*(100%-$D$15)</f>
        <v>3.5999999999999997E-2</v>
      </c>
      <c r="L21" s="15">
        <f t="shared" si="4"/>
        <v>2.8799999999999999E-2</v>
      </c>
      <c r="M21" s="15">
        <f t="shared" si="4"/>
        <v>2.3040000000000001E-2</v>
      </c>
      <c r="N21" s="15">
        <f t="shared" si="4"/>
        <v>1.8432E-2</v>
      </c>
      <c r="O21" s="15">
        <f t="shared" si="4"/>
        <v>1.4745600000000001E-2</v>
      </c>
      <c r="P21" s="15">
        <f t="shared" si="4"/>
        <v>1.1796480000000002E-2</v>
      </c>
      <c r="Q21" s="15">
        <f t="shared" si="4"/>
        <v>9.4371840000000012E-3</v>
      </c>
      <c r="R21" s="15">
        <f t="shared" si="4"/>
        <v>7.5497472000000017E-3</v>
      </c>
      <c r="S21" s="17">
        <f t="shared" si="4"/>
        <v>6.0397977600000017E-3</v>
      </c>
    </row>
    <row r="22" spans="1:20" s="2" customFormat="1" x14ac:dyDescent="0.3">
      <c r="A22" s="27" t="s">
        <v>3</v>
      </c>
      <c r="B22" s="49">
        <v>15000000</v>
      </c>
      <c r="C22" s="50"/>
      <c r="D22" s="64">
        <f t="shared" si="0"/>
        <v>19999999</v>
      </c>
      <c r="E22" s="64"/>
      <c r="F22" s="50">
        <v>475000</v>
      </c>
      <c r="G22" s="50"/>
      <c r="H22" s="7">
        <f t="shared" si="1"/>
        <v>28</v>
      </c>
      <c r="I22" s="31">
        <v>3.2000000000000001E-2</v>
      </c>
      <c r="J22" s="25">
        <f t="shared" si="2"/>
        <v>3.2000000000000001E-2</v>
      </c>
      <c r="K22" s="15">
        <f t="shared" ref="K22:S22" si="5">J22*(100%-$D$15)</f>
        <v>2.5600000000000001E-2</v>
      </c>
      <c r="L22" s="15">
        <f t="shared" si="5"/>
        <v>2.0480000000000002E-2</v>
      </c>
      <c r="M22" s="15">
        <f t="shared" si="5"/>
        <v>1.6384000000000003E-2</v>
      </c>
      <c r="N22" s="15">
        <f t="shared" si="5"/>
        <v>1.3107200000000003E-2</v>
      </c>
      <c r="O22" s="15">
        <f t="shared" si="5"/>
        <v>1.0485760000000004E-2</v>
      </c>
      <c r="P22" s="15">
        <f t="shared" si="5"/>
        <v>8.388608000000004E-3</v>
      </c>
      <c r="Q22" s="15">
        <f t="shared" si="5"/>
        <v>6.7108864000000037E-3</v>
      </c>
      <c r="R22" s="15">
        <f t="shared" si="5"/>
        <v>5.3687091200000031E-3</v>
      </c>
      <c r="S22" s="17">
        <f t="shared" si="5"/>
        <v>4.2949672960000025E-3</v>
      </c>
    </row>
    <row r="23" spans="1:20" s="2" customFormat="1" x14ac:dyDescent="0.3">
      <c r="A23" s="27" t="s">
        <v>4</v>
      </c>
      <c r="B23" s="49">
        <v>20000000</v>
      </c>
      <c r="C23" s="50"/>
      <c r="D23" s="64">
        <f t="shared" si="0"/>
        <v>24999999</v>
      </c>
      <c r="E23" s="64"/>
      <c r="F23" s="50">
        <v>500000</v>
      </c>
      <c r="G23" s="50"/>
      <c r="H23" s="7">
        <f t="shared" si="1"/>
        <v>36</v>
      </c>
      <c r="I23" s="31">
        <v>2.5000000000000001E-2</v>
      </c>
      <c r="J23" s="25">
        <f t="shared" si="2"/>
        <v>2.5000000000000001E-2</v>
      </c>
      <c r="K23" s="15">
        <f t="shared" ref="K23:S23" si="6">J23*(100%-$D$15)</f>
        <v>2.0000000000000004E-2</v>
      </c>
      <c r="L23" s="15">
        <f t="shared" si="6"/>
        <v>1.6000000000000004E-2</v>
      </c>
      <c r="M23" s="15">
        <f t="shared" si="6"/>
        <v>1.2800000000000004E-2</v>
      </c>
      <c r="N23" s="15">
        <f t="shared" si="6"/>
        <v>1.0240000000000004E-2</v>
      </c>
      <c r="O23" s="15">
        <f t="shared" si="6"/>
        <v>8.1920000000000031E-3</v>
      </c>
      <c r="P23" s="15">
        <f t="shared" si="6"/>
        <v>6.5536000000000032E-3</v>
      </c>
      <c r="Q23" s="15">
        <f t="shared" si="6"/>
        <v>5.2428800000000027E-3</v>
      </c>
      <c r="R23" s="15">
        <f t="shared" si="6"/>
        <v>4.194304000000002E-3</v>
      </c>
      <c r="S23" s="17">
        <f t="shared" si="6"/>
        <v>3.3554432000000019E-3</v>
      </c>
    </row>
    <row r="24" spans="1:20" s="2" customFormat="1" x14ac:dyDescent="0.3">
      <c r="A24" s="27" t="s">
        <v>5</v>
      </c>
      <c r="B24" s="49">
        <v>25000000</v>
      </c>
      <c r="C24" s="50"/>
      <c r="D24" s="64">
        <f t="shared" si="0"/>
        <v>29999999</v>
      </c>
      <c r="E24" s="64"/>
      <c r="F24" s="50">
        <v>550000</v>
      </c>
      <c r="G24" s="50"/>
      <c r="H24" s="7">
        <f t="shared" si="1"/>
        <v>40</v>
      </c>
      <c r="I24" s="31">
        <v>2.1999999999999999E-2</v>
      </c>
      <c r="J24" s="25">
        <f t="shared" si="2"/>
        <v>2.1999999999999999E-2</v>
      </c>
      <c r="K24" s="15">
        <f t="shared" ref="K24:S24" si="7">J24*(100%-$D$15)</f>
        <v>1.7600000000000001E-2</v>
      </c>
      <c r="L24" s="15">
        <f t="shared" si="7"/>
        <v>1.4080000000000002E-2</v>
      </c>
      <c r="M24" s="15">
        <f t="shared" si="7"/>
        <v>1.1264000000000003E-2</v>
      </c>
      <c r="N24" s="15">
        <f t="shared" si="7"/>
        <v>9.0112000000000022E-3</v>
      </c>
      <c r="O24" s="15">
        <f t="shared" si="7"/>
        <v>7.2089600000000021E-3</v>
      </c>
      <c r="P24" s="15">
        <f t="shared" si="7"/>
        <v>5.7671680000000022E-3</v>
      </c>
      <c r="Q24" s="15">
        <f t="shared" si="7"/>
        <v>4.6137344000000023E-3</v>
      </c>
      <c r="R24" s="15">
        <f t="shared" si="7"/>
        <v>3.690987520000002E-3</v>
      </c>
      <c r="S24" s="17">
        <f t="shared" si="7"/>
        <v>2.9527900160000019E-3</v>
      </c>
    </row>
    <row r="25" spans="1:20" s="2" customFormat="1" x14ac:dyDescent="0.3">
      <c r="A25" s="27" t="s">
        <v>8</v>
      </c>
      <c r="B25" s="49">
        <v>30000000</v>
      </c>
      <c r="C25" s="50"/>
      <c r="D25" s="64">
        <f t="shared" si="0"/>
        <v>34999999</v>
      </c>
      <c r="E25" s="64"/>
      <c r="F25" s="50">
        <v>600000</v>
      </c>
      <c r="G25" s="50"/>
      <c r="H25" s="7">
        <f t="shared" si="1"/>
        <v>45</v>
      </c>
      <c r="I25" s="31">
        <v>0.02</v>
      </c>
      <c r="J25" s="25">
        <f t="shared" si="2"/>
        <v>0.02</v>
      </c>
      <c r="K25" s="15">
        <f t="shared" ref="K25:S25" si="8">J25*(100%-$D$15)</f>
        <v>1.6E-2</v>
      </c>
      <c r="L25" s="15">
        <f t="shared" si="8"/>
        <v>1.2800000000000001E-2</v>
      </c>
      <c r="M25" s="15">
        <f t="shared" si="8"/>
        <v>1.0240000000000001E-2</v>
      </c>
      <c r="N25" s="15">
        <f t="shared" si="8"/>
        <v>8.1920000000000014E-3</v>
      </c>
      <c r="O25" s="15">
        <f t="shared" si="8"/>
        <v>6.5536000000000014E-3</v>
      </c>
      <c r="P25" s="15">
        <f t="shared" si="8"/>
        <v>5.2428800000000018E-3</v>
      </c>
      <c r="Q25" s="15">
        <f t="shared" si="8"/>
        <v>4.194304000000002E-3</v>
      </c>
      <c r="R25" s="15">
        <f t="shared" si="8"/>
        <v>3.3554432000000019E-3</v>
      </c>
      <c r="S25" s="17">
        <f t="shared" si="8"/>
        <v>2.6843545600000016E-3</v>
      </c>
    </row>
    <row r="26" spans="1:20" s="2" customFormat="1" x14ac:dyDescent="0.3">
      <c r="A26" s="27" t="s">
        <v>74</v>
      </c>
      <c r="B26" s="49">
        <v>35000000</v>
      </c>
      <c r="C26" s="50"/>
      <c r="D26" s="64">
        <f t="shared" si="0"/>
        <v>39999999</v>
      </c>
      <c r="E26" s="64"/>
      <c r="F26" s="50">
        <v>650000</v>
      </c>
      <c r="G26" s="50"/>
      <c r="H26" s="7">
        <f t="shared" si="1"/>
        <v>48</v>
      </c>
      <c r="I26" s="31">
        <v>1.9E-2</v>
      </c>
      <c r="J26" s="25">
        <f t="shared" si="2"/>
        <v>1.9E-2</v>
      </c>
      <c r="K26" s="15">
        <f t="shared" ref="K26:S26" si="9">J26*(100%-$D$15)</f>
        <v>1.52E-2</v>
      </c>
      <c r="L26" s="15">
        <f t="shared" si="9"/>
        <v>1.2160000000000001E-2</v>
      </c>
      <c r="M26" s="15">
        <f t="shared" si="9"/>
        <v>9.7280000000000005E-3</v>
      </c>
      <c r="N26" s="15">
        <f t="shared" si="9"/>
        <v>7.7824000000000009E-3</v>
      </c>
      <c r="O26" s="15">
        <f t="shared" si="9"/>
        <v>6.2259200000000011E-3</v>
      </c>
      <c r="P26" s="15">
        <f t="shared" si="9"/>
        <v>4.9807360000000012E-3</v>
      </c>
      <c r="Q26" s="15">
        <f t="shared" si="9"/>
        <v>3.984588800000001E-3</v>
      </c>
      <c r="R26" s="15">
        <f t="shared" si="9"/>
        <v>3.1876710400000011E-3</v>
      </c>
      <c r="S26" s="17">
        <f t="shared" si="9"/>
        <v>2.5501368320000012E-3</v>
      </c>
    </row>
    <row r="27" spans="1:20" s="2" customFormat="1" x14ac:dyDescent="0.3">
      <c r="A27" s="27" t="s">
        <v>165</v>
      </c>
      <c r="B27" s="49">
        <v>40000000</v>
      </c>
      <c r="C27" s="50"/>
      <c r="D27" s="64">
        <f t="shared" si="0"/>
        <v>44999999</v>
      </c>
      <c r="E27" s="64"/>
      <c r="F27" s="50">
        <v>700000</v>
      </c>
      <c r="G27" s="50"/>
      <c r="H27" s="7">
        <f t="shared" si="1"/>
        <v>51</v>
      </c>
      <c r="I27" s="31">
        <v>1.7500000000000002E-2</v>
      </c>
      <c r="J27" s="25">
        <f t="shared" si="2"/>
        <v>1.7500000000000002E-2</v>
      </c>
      <c r="K27" s="15">
        <f t="shared" ref="K27:S27" si="10">J27*(100%-$D$15)</f>
        <v>1.4000000000000002E-2</v>
      </c>
      <c r="L27" s="15">
        <f t="shared" si="10"/>
        <v>1.1200000000000002E-2</v>
      </c>
      <c r="M27" s="15">
        <f t="shared" si="10"/>
        <v>8.9600000000000009E-3</v>
      </c>
      <c r="N27" s="15">
        <f t="shared" si="10"/>
        <v>7.1680000000000008E-3</v>
      </c>
      <c r="O27" s="15">
        <f t="shared" si="10"/>
        <v>5.7344000000000006E-3</v>
      </c>
      <c r="P27" s="15">
        <f t="shared" si="10"/>
        <v>4.5875200000000003E-3</v>
      </c>
      <c r="Q27" s="15">
        <f t="shared" si="10"/>
        <v>3.6700160000000003E-3</v>
      </c>
      <c r="R27" s="15">
        <f t="shared" si="10"/>
        <v>2.9360128000000003E-3</v>
      </c>
      <c r="S27" s="17">
        <f t="shared" si="10"/>
        <v>2.3488102400000006E-3</v>
      </c>
    </row>
    <row r="28" spans="1:20" s="2" customFormat="1" x14ac:dyDescent="0.3">
      <c r="A28" s="27" t="s">
        <v>166</v>
      </c>
      <c r="B28" s="49">
        <v>45000000</v>
      </c>
      <c r="C28" s="50"/>
      <c r="D28" s="64">
        <f t="shared" si="0"/>
        <v>49999999</v>
      </c>
      <c r="E28" s="64"/>
      <c r="F28" s="50">
        <v>720000</v>
      </c>
      <c r="G28" s="50"/>
      <c r="H28" s="7">
        <f t="shared" si="1"/>
        <v>56</v>
      </c>
      <c r="I28" s="31">
        <v>1.6E-2</v>
      </c>
      <c r="J28" s="25">
        <f t="shared" si="2"/>
        <v>1.6E-2</v>
      </c>
      <c r="K28" s="15">
        <f t="shared" ref="K28:S28" si="11">J28*(100%-$D$15)</f>
        <v>1.2800000000000001E-2</v>
      </c>
      <c r="L28" s="15">
        <f t="shared" si="11"/>
        <v>1.0240000000000001E-2</v>
      </c>
      <c r="M28" s="15">
        <f t="shared" si="11"/>
        <v>8.1920000000000014E-3</v>
      </c>
      <c r="N28" s="15">
        <f t="shared" si="11"/>
        <v>6.5536000000000014E-3</v>
      </c>
      <c r="O28" s="15">
        <f t="shared" si="11"/>
        <v>5.2428800000000018E-3</v>
      </c>
      <c r="P28" s="15">
        <f t="shared" si="11"/>
        <v>4.194304000000002E-3</v>
      </c>
      <c r="Q28" s="15">
        <f t="shared" si="11"/>
        <v>3.3554432000000019E-3</v>
      </c>
      <c r="R28" s="15">
        <f t="shared" si="11"/>
        <v>2.6843545600000016E-3</v>
      </c>
      <c r="S28" s="17">
        <f t="shared" si="11"/>
        <v>2.1474836480000013E-3</v>
      </c>
    </row>
    <row r="29" spans="1:20" s="2" customFormat="1" x14ac:dyDescent="0.3">
      <c r="A29" s="27" t="s">
        <v>167</v>
      </c>
      <c r="B29" s="49">
        <v>50000000</v>
      </c>
      <c r="C29" s="50"/>
      <c r="D29" s="64">
        <f t="shared" si="0"/>
        <v>99999999</v>
      </c>
      <c r="E29" s="64"/>
      <c r="F29" s="50">
        <v>750000</v>
      </c>
      <c r="G29" s="50"/>
      <c r="H29" s="7">
        <f t="shared" si="1"/>
        <v>60</v>
      </c>
      <c r="I29" s="31">
        <v>1.4999999999999999E-2</v>
      </c>
      <c r="J29" s="25">
        <f t="shared" si="2"/>
        <v>1.4999999999999999E-2</v>
      </c>
      <c r="K29" s="15">
        <f t="shared" ref="K29:S29" si="12">J29*(100%-$D$15)</f>
        <v>1.2E-2</v>
      </c>
      <c r="L29" s="15">
        <f t="shared" si="12"/>
        <v>9.6000000000000009E-3</v>
      </c>
      <c r="M29" s="15">
        <f t="shared" si="12"/>
        <v>7.6800000000000011E-3</v>
      </c>
      <c r="N29" s="15">
        <f t="shared" si="12"/>
        <v>6.144000000000001E-3</v>
      </c>
      <c r="O29" s="15">
        <f t="shared" si="12"/>
        <v>4.9152000000000015E-3</v>
      </c>
      <c r="P29" s="15">
        <f t="shared" si="12"/>
        <v>3.9321600000000014E-3</v>
      </c>
      <c r="Q29" s="15">
        <f t="shared" si="12"/>
        <v>3.1457280000000013E-3</v>
      </c>
      <c r="R29" s="15">
        <f t="shared" si="12"/>
        <v>2.5165824000000013E-3</v>
      </c>
      <c r="S29" s="17">
        <f t="shared" si="12"/>
        <v>2.0132659200000013E-3</v>
      </c>
    </row>
    <row r="30" spans="1:20" s="2" customFormat="1" x14ac:dyDescent="0.3">
      <c r="A30" s="27" t="s">
        <v>168</v>
      </c>
      <c r="B30" s="49">
        <v>100000000</v>
      </c>
      <c r="C30" s="50"/>
      <c r="D30" s="64">
        <f t="shared" ref="D30" si="13">B31-1</f>
        <v>249999999</v>
      </c>
      <c r="E30" s="64"/>
      <c r="F30" s="50">
        <v>1000000</v>
      </c>
      <c r="G30" s="50"/>
      <c r="H30" s="7">
        <f t="shared" si="1"/>
        <v>90</v>
      </c>
      <c r="I30" s="31">
        <v>0.01</v>
      </c>
      <c r="J30" s="25">
        <f t="shared" si="2"/>
        <v>0.01</v>
      </c>
      <c r="K30" s="15">
        <f t="shared" ref="K30:S30" si="14">J30*(100%-$D$15)</f>
        <v>8.0000000000000002E-3</v>
      </c>
      <c r="L30" s="15">
        <f t="shared" si="14"/>
        <v>6.4000000000000003E-3</v>
      </c>
      <c r="M30" s="15">
        <f t="shared" si="14"/>
        <v>5.1200000000000004E-3</v>
      </c>
      <c r="N30" s="15">
        <f t="shared" si="14"/>
        <v>4.0960000000000007E-3</v>
      </c>
      <c r="O30" s="15">
        <f t="shared" si="14"/>
        <v>3.2768000000000007E-3</v>
      </c>
      <c r="P30" s="15">
        <f t="shared" si="14"/>
        <v>2.6214400000000009E-3</v>
      </c>
      <c r="Q30" s="15">
        <f t="shared" si="14"/>
        <v>2.097152000000001E-3</v>
      </c>
      <c r="R30" s="15">
        <f t="shared" si="14"/>
        <v>1.6777216000000009E-3</v>
      </c>
      <c r="S30" s="17">
        <f t="shared" si="14"/>
        <v>1.3421772800000008E-3</v>
      </c>
    </row>
    <row r="31" spans="1:20" s="2" customFormat="1" x14ac:dyDescent="0.3">
      <c r="A31" s="27" t="s">
        <v>169</v>
      </c>
      <c r="B31" s="49">
        <v>250000000</v>
      </c>
      <c r="C31" s="50"/>
      <c r="D31" s="64">
        <f t="shared" ref="D31" si="15">B32-1</f>
        <v>499999999</v>
      </c>
      <c r="E31" s="64"/>
      <c r="F31" s="50">
        <v>1250000</v>
      </c>
      <c r="G31" s="50"/>
      <c r="H31" s="7">
        <f t="shared" si="1"/>
        <v>180</v>
      </c>
      <c r="I31" s="31">
        <v>5.0000000000000001E-3</v>
      </c>
      <c r="J31" s="25">
        <f t="shared" si="2"/>
        <v>5.0000000000000001E-3</v>
      </c>
      <c r="K31" s="15">
        <f t="shared" ref="K31:S31" si="16">J31*(100%-$D$15)</f>
        <v>4.0000000000000001E-3</v>
      </c>
      <c r="L31" s="15">
        <f t="shared" si="16"/>
        <v>3.2000000000000002E-3</v>
      </c>
      <c r="M31" s="15">
        <f t="shared" si="16"/>
        <v>2.5600000000000002E-3</v>
      </c>
      <c r="N31" s="15">
        <f t="shared" si="16"/>
        <v>2.0480000000000003E-3</v>
      </c>
      <c r="O31" s="15">
        <f t="shared" si="16"/>
        <v>1.6384000000000004E-3</v>
      </c>
      <c r="P31" s="15">
        <f t="shared" si="16"/>
        <v>1.3107200000000005E-3</v>
      </c>
      <c r="Q31" s="15">
        <f t="shared" si="16"/>
        <v>1.0485760000000005E-3</v>
      </c>
      <c r="R31" s="15">
        <f t="shared" si="16"/>
        <v>8.3886080000000046E-4</v>
      </c>
      <c r="S31" s="17">
        <f t="shared" si="16"/>
        <v>6.7108864000000039E-4</v>
      </c>
    </row>
    <row r="32" spans="1:20" s="2" customFormat="1" x14ac:dyDescent="0.3">
      <c r="A32" s="27" t="s">
        <v>170</v>
      </c>
      <c r="B32" s="49">
        <v>500000000</v>
      </c>
      <c r="C32" s="50"/>
      <c r="D32" s="64">
        <f t="shared" ref="D32" si="17">B33-1</f>
        <v>749999999</v>
      </c>
      <c r="E32" s="64"/>
      <c r="F32" s="50">
        <v>1500000</v>
      </c>
      <c r="G32" s="50"/>
      <c r="H32" s="7">
        <f t="shared" si="1"/>
        <v>300</v>
      </c>
      <c r="I32" s="31">
        <v>3.0000000000000001E-3</v>
      </c>
      <c r="J32" s="25">
        <f t="shared" si="2"/>
        <v>3.0000000000000001E-3</v>
      </c>
      <c r="K32" s="15">
        <f t="shared" ref="K32:S32" si="18">J32*(100%-$D$15)</f>
        <v>2.4000000000000002E-3</v>
      </c>
      <c r="L32" s="15">
        <f t="shared" si="18"/>
        <v>1.9200000000000003E-3</v>
      </c>
      <c r="M32" s="15">
        <f t="shared" si="18"/>
        <v>1.5360000000000003E-3</v>
      </c>
      <c r="N32" s="15">
        <f t="shared" si="18"/>
        <v>1.2288000000000004E-3</v>
      </c>
      <c r="O32" s="15">
        <f t="shared" si="18"/>
        <v>9.8304000000000035E-4</v>
      </c>
      <c r="P32" s="15">
        <f t="shared" si="18"/>
        <v>7.8643200000000032E-4</v>
      </c>
      <c r="Q32" s="15">
        <f t="shared" si="18"/>
        <v>6.2914560000000032E-4</v>
      </c>
      <c r="R32" s="15">
        <f t="shared" si="18"/>
        <v>5.0331648000000032E-4</v>
      </c>
      <c r="S32" s="17">
        <f t="shared" si="18"/>
        <v>4.0265318400000029E-4</v>
      </c>
    </row>
    <row r="33" spans="1:20" s="2" customFormat="1" ht="13.75" thickBot="1" x14ac:dyDescent="0.35">
      <c r="A33" s="28" t="s">
        <v>171</v>
      </c>
      <c r="B33" s="66">
        <v>750000000</v>
      </c>
      <c r="C33" s="65"/>
      <c r="D33" s="65">
        <v>1000000000</v>
      </c>
      <c r="E33" s="65"/>
      <c r="F33" s="65">
        <v>1875000</v>
      </c>
      <c r="G33" s="65"/>
      <c r="H33" s="18">
        <f t="shared" si="1"/>
        <v>360</v>
      </c>
      <c r="I33" s="32">
        <v>2.5000000000000001E-3</v>
      </c>
      <c r="J33" s="26">
        <f t="shared" si="2"/>
        <v>2.5000000000000001E-3</v>
      </c>
      <c r="K33" s="13">
        <f t="shared" ref="K33:S33" si="19">J33*(100%-$D$15)</f>
        <v>2E-3</v>
      </c>
      <c r="L33" s="13">
        <f t="shared" si="19"/>
        <v>1.6000000000000001E-3</v>
      </c>
      <c r="M33" s="13">
        <f t="shared" si="19"/>
        <v>1.2800000000000001E-3</v>
      </c>
      <c r="N33" s="13">
        <f t="shared" si="19"/>
        <v>1.0240000000000002E-3</v>
      </c>
      <c r="O33" s="13">
        <f t="shared" si="19"/>
        <v>8.1920000000000018E-4</v>
      </c>
      <c r="P33" s="13">
        <f t="shared" si="19"/>
        <v>6.5536000000000023E-4</v>
      </c>
      <c r="Q33" s="13">
        <f t="shared" si="19"/>
        <v>5.2428800000000025E-4</v>
      </c>
      <c r="R33" s="13">
        <f t="shared" si="19"/>
        <v>4.1943040000000023E-4</v>
      </c>
      <c r="S33" s="14">
        <f t="shared" si="19"/>
        <v>3.355443200000002E-4</v>
      </c>
    </row>
    <row r="34" spans="1:20" s="2" customFormat="1" x14ac:dyDescent="0.3">
      <c r="A34" s="4"/>
      <c r="B34" s="48"/>
      <c r="C34" s="48"/>
      <c r="D34" s="48"/>
      <c r="E34" s="48"/>
      <c r="F34" s="48"/>
      <c r="G34" s="48"/>
      <c r="H34" s="48"/>
      <c r="I34" s="48"/>
      <c r="J34" s="48"/>
      <c r="K34" s="48"/>
      <c r="L34" s="48"/>
      <c r="M34" s="48"/>
      <c r="N34" s="48"/>
      <c r="O34" s="48"/>
      <c r="P34" s="48"/>
      <c r="Q34" s="48"/>
      <c r="R34" s="48"/>
      <c r="S34" s="48"/>
      <c r="T34" s="48"/>
    </row>
    <row r="35" spans="1:20" s="2" customFormat="1" x14ac:dyDescent="0.3">
      <c r="A35" s="4"/>
      <c r="B35" s="48"/>
      <c r="C35" s="48"/>
      <c r="D35" s="48"/>
      <c r="E35" s="48"/>
      <c r="F35" s="48"/>
      <c r="G35" s="48"/>
      <c r="H35" s="48"/>
      <c r="I35" s="48"/>
      <c r="J35" s="48"/>
      <c r="K35" s="48"/>
      <c r="L35" s="48"/>
      <c r="M35" s="48"/>
      <c r="N35" s="48"/>
      <c r="O35" s="48"/>
      <c r="P35" s="48"/>
      <c r="Q35" s="48"/>
      <c r="R35" s="48"/>
      <c r="S35" s="48"/>
      <c r="T35" s="48"/>
    </row>
    <row r="36" spans="1:20" s="2" customFormat="1" x14ac:dyDescent="0.3">
      <c r="A36" s="4"/>
      <c r="B36" s="48"/>
      <c r="C36" s="48"/>
      <c r="D36" s="48"/>
      <c r="E36" s="48"/>
      <c r="F36" s="48"/>
      <c r="G36" s="48"/>
      <c r="H36" s="48"/>
      <c r="I36" s="48"/>
      <c r="J36" s="48"/>
      <c r="K36" s="48"/>
      <c r="L36" s="48"/>
      <c r="M36" s="48"/>
      <c r="N36" s="48"/>
      <c r="O36" s="48"/>
      <c r="P36" s="48"/>
      <c r="Q36" s="48"/>
      <c r="R36" s="48"/>
      <c r="S36" s="48"/>
      <c r="T36" s="48"/>
    </row>
    <row r="37" spans="1:20" s="2" customFormat="1" x14ac:dyDescent="0.3">
      <c r="A37" s="4"/>
      <c r="B37" s="48"/>
      <c r="C37" s="48"/>
      <c r="D37" s="48"/>
      <c r="E37" s="48"/>
      <c r="F37" s="48"/>
      <c r="G37" s="48"/>
      <c r="H37" s="48"/>
      <c r="I37" s="48"/>
      <c r="J37" s="48"/>
      <c r="K37" s="48"/>
      <c r="L37" s="48"/>
      <c r="M37" s="48"/>
      <c r="N37" s="48"/>
      <c r="O37" s="48"/>
      <c r="P37" s="48"/>
      <c r="Q37" s="48"/>
      <c r="R37" s="48"/>
      <c r="S37" s="48"/>
      <c r="T37" s="48"/>
    </row>
    <row r="38" spans="1:20" s="2" customFormat="1" x14ac:dyDescent="0.3">
      <c r="A38" s="4"/>
      <c r="B38" s="48"/>
      <c r="C38" s="48"/>
      <c r="D38" s="48"/>
      <c r="E38" s="48"/>
      <c r="F38" s="48"/>
      <c r="G38" s="48"/>
      <c r="H38" s="48"/>
      <c r="I38" s="48"/>
      <c r="J38" s="48"/>
      <c r="K38" s="48"/>
      <c r="L38" s="48"/>
      <c r="M38" s="48"/>
      <c r="N38" s="48"/>
      <c r="O38" s="48"/>
      <c r="P38" s="48"/>
      <c r="Q38" s="48"/>
      <c r="R38" s="48"/>
      <c r="S38" s="48"/>
      <c r="T38" s="48"/>
    </row>
    <row r="39" spans="1:20" s="2" customFormat="1" x14ac:dyDescent="0.3">
      <c r="A39" s="6">
        <f>A6+1</f>
        <v>2</v>
      </c>
      <c r="B39" s="57" t="s">
        <v>29</v>
      </c>
      <c r="C39" s="57"/>
      <c r="D39" s="57"/>
      <c r="E39" s="57"/>
      <c r="F39" s="57"/>
      <c r="G39" s="57"/>
      <c r="H39" s="57"/>
      <c r="I39" s="57"/>
      <c r="J39" s="57"/>
      <c r="K39" s="57"/>
      <c r="L39" s="57"/>
      <c r="M39" s="57"/>
      <c r="N39" s="57"/>
      <c r="O39" s="57"/>
      <c r="P39" s="57"/>
      <c r="Q39" s="57"/>
      <c r="R39" s="57"/>
      <c r="S39" s="57"/>
      <c r="T39" s="57"/>
    </row>
    <row r="40" spans="1:20" s="2" customFormat="1" ht="39.799999999999997" customHeight="1" x14ac:dyDescent="0.3">
      <c r="A40" s="7" t="s">
        <v>1</v>
      </c>
      <c r="B40" s="55" t="s">
        <v>34</v>
      </c>
      <c r="C40" s="55"/>
      <c r="D40" s="55"/>
      <c r="E40" s="55"/>
      <c r="F40" s="55"/>
      <c r="G40" s="55"/>
      <c r="H40" s="55"/>
      <c r="I40" s="55"/>
      <c r="J40" s="55"/>
      <c r="K40" s="55"/>
      <c r="L40" s="55"/>
      <c r="M40" s="55"/>
      <c r="N40" s="55"/>
      <c r="O40" s="55"/>
      <c r="P40" s="55"/>
      <c r="Q40" s="55"/>
      <c r="R40" s="55"/>
      <c r="S40" s="55"/>
      <c r="T40" s="55"/>
    </row>
    <row r="41" spans="1:20" s="2" customFormat="1" ht="40.6" customHeight="1" x14ac:dyDescent="0.3">
      <c r="A41" s="7" t="s">
        <v>2</v>
      </c>
      <c r="B41" s="55" t="s">
        <v>33</v>
      </c>
      <c r="C41" s="55"/>
      <c r="D41" s="55"/>
      <c r="E41" s="55"/>
      <c r="F41" s="55"/>
      <c r="G41" s="55"/>
      <c r="H41" s="55"/>
      <c r="I41" s="55"/>
      <c r="J41" s="55"/>
      <c r="K41" s="55"/>
      <c r="L41" s="55"/>
      <c r="M41" s="55"/>
      <c r="N41" s="55"/>
      <c r="O41" s="55"/>
      <c r="P41" s="55"/>
      <c r="Q41" s="55"/>
      <c r="R41" s="55"/>
      <c r="S41" s="55"/>
      <c r="T41" s="55"/>
    </row>
    <row r="42" spans="1:20" s="2" customFormat="1" ht="38.950000000000003" customHeight="1" x14ac:dyDescent="0.3">
      <c r="A42" s="6">
        <f>A39+1</f>
        <v>3</v>
      </c>
      <c r="B42" s="55" t="s">
        <v>177</v>
      </c>
      <c r="C42" s="55"/>
      <c r="D42" s="55"/>
      <c r="E42" s="55"/>
      <c r="F42" s="55"/>
      <c r="G42" s="55"/>
      <c r="H42" s="55"/>
      <c r="I42" s="55"/>
      <c r="J42" s="55"/>
      <c r="K42" s="55"/>
      <c r="L42" s="55"/>
      <c r="M42" s="55"/>
      <c r="N42" s="55"/>
      <c r="O42" s="55"/>
      <c r="P42" s="55"/>
      <c r="Q42" s="55"/>
      <c r="R42" s="55"/>
      <c r="S42" s="55"/>
      <c r="T42" s="55"/>
    </row>
    <row r="43" spans="1:20" s="2" customFormat="1" ht="90.85" customHeight="1" x14ac:dyDescent="0.3">
      <c r="A43" s="6">
        <f>A42+1</f>
        <v>4</v>
      </c>
      <c r="B43" s="55" t="s">
        <v>178</v>
      </c>
      <c r="C43" s="55"/>
      <c r="D43" s="55"/>
      <c r="E43" s="55"/>
      <c r="F43" s="55"/>
      <c r="G43" s="55"/>
      <c r="H43" s="55"/>
      <c r="I43" s="55"/>
      <c r="J43" s="55"/>
      <c r="K43" s="55"/>
      <c r="L43" s="55"/>
      <c r="M43" s="55"/>
      <c r="N43" s="55"/>
      <c r="O43" s="55"/>
      <c r="P43" s="55"/>
      <c r="Q43" s="55"/>
      <c r="R43" s="55"/>
      <c r="S43" s="55"/>
      <c r="T43" s="55"/>
    </row>
    <row r="44" spans="1:20" s="2" customFormat="1" ht="137.94999999999999" customHeight="1" x14ac:dyDescent="0.3">
      <c r="A44" s="6">
        <f>A43+1</f>
        <v>5</v>
      </c>
      <c r="B44" s="55" t="s">
        <v>182</v>
      </c>
      <c r="C44" s="55"/>
      <c r="D44" s="55"/>
      <c r="E44" s="55"/>
      <c r="F44" s="55"/>
      <c r="G44" s="55"/>
      <c r="H44" s="55"/>
      <c r="I44" s="55"/>
      <c r="J44" s="55"/>
      <c r="K44" s="55"/>
      <c r="L44" s="55"/>
      <c r="M44" s="55"/>
      <c r="N44" s="55"/>
      <c r="O44" s="55"/>
      <c r="P44" s="55"/>
      <c r="Q44" s="55"/>
      <c r="R44" s="55"/>
      <c r="S44" s="55"/>
      <c r="T44" s="55"/>
    </row>
    <row r="45" spans="1:20" s="2" customFormat="1" x14ac:dyDescent="0.3">
      <c r="A45" s="4"/>
      <c r="B45" s="48"/>
      <c r="C45" s="48"/>
      <c r="D45" s="48"/>
      <c r="E45" s="48"/>
      <c r="F45" s="48"/>
      <c r="G45" s="48"/>
      <c r="H45" s="48"/>
      <c r="I45" s="48"/>
      <c r="J45" s="48"/>
      <c r="K45" s="48"/>
      <c r="L45" s="48"/>
      <c r="M45" s="48"/>
      <c r="N45" s="48"/>
      <c r="O45" s="48"/>
      <c r="P45" s="48"/>
      <c r="Q45" s="48"/>
      <c r="R45" s="48"/>
      <c r="S45" s="48"/>
      <c r="T45" s="48"/>
    </row>
    <row r="46" spans="1:20" s="2" customFormat="1" x14ac:dyDescent="0.3">
      <c r="A46" s="4"/>
      <c r="B46" s="95"/>
      <c r="C46" s="95"/>
      <c r="D46" s="95"/>
      <c r="E46" s="95"/>
      <c r="F46" s="95"/>
      <c r="G46" s="95"/>
      <c r="H46" s="95"/>
      <c r="I46" s="95"/>
      <c r="J46" s="95"/>
      <c r="K46" s="95"/>
      <c r="L46" s="95"/>
      <c r="M46" s="95"/>
      <c r="N46" s="95"/>
      <c r="O46" s="95"/>
      <c r="P46" s="95"/>
      <c r="Q46" s="95"/>
      <c r="R46" s="95"/>
      <c r="S46" s="95"/>
      <c r="T46" s="95"/>
    </row>
    <row r="47" spans="1:20" s="2" customFormat="1" ht="15.75" x14ac:dyDescent="0.3">
      <c r="A47" s="8" t="s">
        <v>27</v>
      </c>
      <c r="B47" s="84" t="s">
        <v>32</v>
      </c>
      <c r="C47" s="84"/>
      <c r="D47" s="84"/>
      <c r="E47" s="84"/>
      <c r="F47" s="84"/>
      <c r="G47" s="84"/>
      <c r="H47" s="84"/>
      <c r="I47" s="84"/>
      <c r="J47" s="84"/>
      <c r="K47" s="84"/>
      <c r="L47" s="84"/>
      <c r="M47" s="84"/>
      <c r="N47" s="84"/>
      <c r="O47" s="84"/>
      <c r="P47" s="84"/>
      <c r="Q47" s="84"/>
      <c r="R47" s="84"/>
      <c r="S47" s="84"/>
      <c r="T47" s="84"/>
    </row>
    <row r="48" spans="1:20" s="2" customFormat="1" ht="77.25" customHeight="1" x14ac:dyDescent="0.3">
      <c r="A48" s="6">
        <v>1</v>
      </c>
      <c r="B48" s="55" t="s">
        <v>161</v>
      </c>
      <c r="C48" s="55"/>
      <c r="D48" s="55"/>
      <c r="E48" s="55"/>
      <c r="F48" s="55"/>
      <c r="G48" s="55"/>
      <c r="H48" s="55"/>
      <c r="I48" s="55"/>
      <c r="J48" s="55"/>
      <c r="K48" s="55"/>
      <c r="L48" s="55"/>
      <c r="M48" s="55"/>
      <c r="N48" s="55"/>
      <c r="O48" s="55"/>
      <c r="P48" s="55"/>
      <c r="Q48" s="55"/>
      <c r="R48" s="55"/>
      <c r="S48" s="55"/>
      <c r="T48" s="55"/>
    </row>
    <row r="49" spans="1:20" s="2" customFormat="1" ht="189" customHeight="1" x14ac:dyDescent="0.3">
      <c r="A49" s="6">
        <f>A48+1</f>
        <v>2</v>
      </c>
      <c r="B49" s="55" t="s">
        <v>224</v>
      </c>
      <c r="C49" s="55"/>
      <c r="D49" s="55"/>
      <c r="E49" s="55"/>
      <c r="F49" s="55"/>
      <c r="G49" s="55"/>
      <c r="H49" s="55"/>
      <c r="I49" s="55"/>
      <c r="J49" s="55"/>
      <c r="K49" s="55"/>
      <c r="L49" s="55"/>
      <c r="M49" s="55"/>
      <c r="N49" s="55"/>
      <c r="O49" s="55"/>
      <c r="P49" s="55"/>
      <c r="Q49" s="55"/>
      <c r="R49" s="55"/>
      <c r="S49" s="55"/>
      <c r="T49" s="55"/>
    </row>
    <row r="50" spans="1:20" s="2" customFormat="1" ht="90.85" customHeight="1" x14ac:dyDescent="0.3">
      <c r="A50" s="6">
        <f t="shared" ref="A50:A52" si="20">A49+1</f>
        <v>3</v>
      </c>
      <c r="B50" s="55" t="s">
        <v>78</v>
      </c>
      <c r="C50" s="55"/>
      <c r="D50" s="55"/>
      <c r="E50" s="55"/>
      <c r="F50" s="55"/>
      <c r="G50" s="55"/>
      <c r="H50" s="55"/>
      <c r="I50" s="55"/>
      <c r="J50" s="55"/>
      <c r="K50" s="55"/>
      <c r="L50" s="55"/>
      <c r="M50" s="55"/>
      <c r="N50" s="55"/>
      <c r="O50" s="55"/>
      <c r="P50" s="55"/>
      <c r="Q50" s="55"/>
      <c r="R50" s="55"/>
      <c r="S50" s="55"/>
      <c r="T50" s="55"/>
    </row>
    <row r="51" spans="1:20" s="2" customFormat="1" ht="78.75" customHeight="1" x14ac:dyDescent="0.3">
      <c r="A51" s="6">
        <f t="shared" si="20"/>
        <v>4</v>
      </c>
      <c r="B51" s="55" t="s">
        <v>30</v>
      </c>
      <c r="C51" s="55"/>
      <c r="D51" s="55"/>
      <c r="E51" s="55"/>
      <c r="F51" s="55"/>
      <c r="G51" s="55"/>
      <c r="H51" s="55"/>
      <c r="I51" s="55"/>
      <c r="J51" s="55"/>
      <c r="K51" s="55"/>
      <c r="L51" s="55"/>
      <c r="M51" s="55"/>
      <c r="N51" s="55"/>
      <c r="O51" s="55"/>
      <c r="P51" s="55"/>
      <c r="Q51" s="55"/>
      <c r="R51" s="55"/>
      <c r="S51" s="55"/>
      <c r="T51" s="55"/>
    </row>
    <row r="52" spans="1:20" s="2" customFormat="1" ht="66.8" customHeight="1" x14ac:dyDescent="0.3">
      <c r="A52" s="6">
        <f t="shared" si="20"/>
        <v>5</v>
      </c>
      <c r="B52" s="55" t="s">
        <v>31</v>
      </c>
      <c r="C52" s="55"/>
      <c r="D52" s="55"/>
      <c r="E52" s="55"/>
      <c r="F52" s="55"/>
      <c r="G52" s="55"/>
      <c r="H52" s="55"/>
      <c r="I52" s="55"/>
      <c r="J52" s="55"/>
      <c r="K52" s="55"/>
      <c r="L52" s="55"/>
      <c r="M52" s="55"/>
      <c r="N52" s="55"/>
      <c r="O52" s="55"/>
      <c r="P52" s="55"/>
      <c r="Q52" s="55"/>
      <c r="R52" s="55"/>
      <c r="S52" s="55"/>
      <c r="T52" s="55"/>
    </row>
    <row r="53" spans="1:20" s="2" customFormat="1" x14ac:dyDescent="0.3">
      <c r="A53" s="4"/>
      <c r="B53" s="48"/>
      <c r="C53" s="48"/>
      <c r="D53" s="48"/>
      <c r="E53" s="48"/>
      <c r="F53" s="48"/>
      <c r="G53" s="48"/>
      <c r="H53" s="48"/>
      <c r="I53" s="48"/>
      <c r="J53" s="48"/>
      <c r="K53" s="48"/>
      <c r="L53" s="48"/>
      <c r="M53" s="48"/>
      <c r="N53" s="48"/>
      <c r="O53" s="48"/>
      <c r="P53" s="48"/>
      <c r="Q53" s="48"/>
      <c r="R53" s="48"/>
      <c r="S53" s="48"/>
      <c r="T53" s="48"/>
    </row>
    <row r="54" spans="1:20" s="2" customFormat="1" x14ac:dyDescent="0.3">
      <c r="A54" s="4"/>
      <c r="B54" s="48"/>
      <c r="C54" s="48"/>
      <c r="D54" s="48"/>
      <c r="E54" s="48"/>
      <c r="F54" s="48"/>
      <c r="G54" s="48"/>
      <c r="H54" s="48"/>
      <c r="I54" s="48"/>
      <c r="J54" s="48"/>
      <c r="K54" s="48"/>
      <c r="L54" s="48"/>
      <c r="M54" s="48"/>
      <c r="N54" s="48"/>
      <c r="O54" s="48"/>
      <c r="P54" s="48"/>
      <c r="Q54" s="48"/>
      <c r="R54" s="48"/>
      <c r="S54" s="48"/>
      <c r="T54" s="48"/>
    </row>
    <row r="55" spans="1:20" s="2" customFormat="1" ht="18.350000000000001" x14ac:dyDescent="0.3">
      <c r="A55" s="12" t="s">
        <v>157</v>
      </c>
      <c r="B55" s="91" t="s">
        <v>28</v>
      </c>
      <c r="C55" s="91"/>
      <c r="D55" s="91"/>
      <c r="E55" s="91"/>
      <c r="F55" s="91"/>
      <c r="G55" s="91"/>
      <c r="H55" s="91"/>
      <c r="I55" s="91"/>
      <c r="J55" s="91"/>
      <c r="K55" s="91"/>
      <c r="L55" s="91"/>
      <c r="M55" s="91"/>
      <c r="N55" s="91"/>
      <c r="O55" s="91"/>
      <c r="P55" s="91"/>
      <c r="Q55" s="91"/>
      <c r="R55" s="91"/>
      <c r="S55" s="91"/>
      <c r="T55" s="91"/>
    </row>
    <row r="56" spans="1:20" s="2" customFormat="1" x14ac:dyDescent="0.3">
      <c r="A56" s="6">
        <v>1</v>
      </c>
      <c r="B56" s="55" t="s">
        <v>36</v>
      </c>
      <c r="C56" s="55"/>
      <c r="D56" s="55"/>
      <c r="E56" s="55"/>
      <c r="F56" s="55"/>
      <c r="G56" s="55"/>
      <c r="H56" s="55"/>
      <c r="I56" s="55"/>
      <c r="J56" s="55"/>
      <c r="K56" s="55"/>
      <c r="L56" s="55"/>
      <c r="M56" s="55"/>
      <c r="N56" s="55"/>
      <c r="O56" s="55"/>
      <c r="P56" s="55"/>
      <c r="Q56" s="55"/>
      <c r="R56" s="55"/>
      <c r="S56" s="55"/>
      <c r="T56" s="55"/>
    </row>
    <row r="57" spans="1:20" s="2" customFormat="1" x14ac:dyDescent="0.3">
      <c r="A57" s="6">
        <f>A56+1</f>
        <v>2</v>
      </c>
      <c r="B57" s="55" t="s">
        <v>35</v>
      </c>
      <c r="C57" s="55"/>
      <c r="D57" s="55"/>
      <c r="E57" s="55"/>
      <c r="F57" s="55"/>
      <c r="G57" s="55"/>
      <c r="H57" s="55"/>
      <c r="I57" s="55"/>
      <c r="J57" s="55"/>
      <c r="K57" s="55"/>
      <c r="L57" s="55"/>
      <c r="M57" s="55"/>
      <c r="N57" s="55"/>
      <c r="O57" s="55"/>
      <c r="P57" s="55"/>
      <c r="Q57" s="55"/>
      <c r="R57" s="55"/>
      <c r="S57" s="55"/>
      <c r="T57" s="55"/>
    </row>
    <row r="58" spans="1:20" s="2" customFormat="1" x14ac:dyDescent="0.3">
      <c r="A58" s="4"/>
      <c r="B58" s="108"/>
      <c r="C58" s="108"/>
      <c r="D58" s="108"/>
      <c r="E58" s="108"/>
      <c r="F58" s="108"/>
      <c r="G58" s="108"/>
      <c r="H58" s="108"/>
      <c r="I58" s="108"/>
      <c r="J58" s="108"/>
      <c r="K58" s="108"/>
      <c r="L58" s="108"/>
      <c r="M58" s="108"/>
      <c r="N58" s="108"/>
      <c r="O58" s="108"/>
      <c r="P58" s="108"/>
      <c r="Q58" s="108"/>
      <c r="R58" s="108"/>
      <c r="S58" s="108"/>
      <c r="T58" s="108"/>
    </row>
    <row r="59" spans="1:20" s="2" customFormat="1" x14ac:dyDescent="0.3">
      <c r="A59" s="3"/>
      <c r="B59" s="48"/>
      <c r="C59" s="48"/>
      <c r="D59" s="48"/>
      <c r="E59" s="48"/>
      <c r="F59" s="48"/>
      <c r="G59" s="48"/>
      <c r="H59" s="48"/>
      <c r="I59" s="48"/>
      <c r="J59" s="48"/>
      <c r="K59" s="48"/>
      <c r="L59" s="48"/>
      <c r="M59" s="48"/>
      <c r="N59" s="48"/>
      <c r="O59" s="48"/>
      <c r="P59" s="48"/>
      <c r="Q59" s="48"/>
      <c r="R59" s="48"/>
      <c r="S59" s="48"/>
      <c r="T59" s="48"/>
    </row>
    <row r="60" spans="1:20" s="2" customFormat="1" ht="18.350000000000001" x14ac:dyDescent="0.3">
      <c r="A60" s="12" t="s">
        <v>158</v>
      </c>
      <c r="B60" s="109" t="s">
        <v>0</v>
      </c>
      <c r="C60" s="109"/>
      <c r="D60" s="109"/>
      <c r="E60" s="109"/>
      <c r="F60" s="109"/>
      <c r="G60" s="109"/>
      <c r="H60" s="109"/>
      <c r="I60" s="109"/>
      <c r="J60" s="109"/>
      <c r="K60" s="109"/>
      <c r="L60" s="109"/>
      <c r="M60" s="109"/>
      <c r="N60" s="109"/>
      <c r="O60" s="109"/>
      <c r="P60" s="109"/>
      <c r="Q60" s="109"/>
      <c r="R60" s="109"/>
      <c r="S60" s="109"/>
      <c r="T60" s="109"/>
    </row>
    <row r="61" spans="1:20" s="2" customFormat="1" ht="14.4" x14ac:dyDescent="0.3">
      <c r="A61" s="10">
        <v>1</v>
      </c>
      <c r="B61" s="88" t="s">
        <v>37</v>
      </c>
      <c r="C61" s="88"/>
      <c r="D61" s="88"/>
      <c r="E61" s="88"/>
      <c r="F61" s="88"/>
      <c r="G61" s="88"/>
      <c r="H61" s="88"/>
      <c r="I61" s="88"/>
      <c r="J61" s="88"/>
      <c r="K61" s="88"/>
      <c r="L61" s="88"/>
      <c r="M61" s="88"/>
      <c r="N61" s="88"/>
      <c r="O61" s="88"/>
      <c r="P61" s="88"/>
      <c r="Q61" s="88"/>
      <c r="R61" s="88"/>
      <c r="S61" s="88"/>
      <c r="T61" s="88"/>
    </row>
    <row r="62" spans="1:20" s="2" customFormat="1" ht="39.799999999999997" customHeight="1" x14ac:dyDescent="0.3">
      <c r="A62" s="7" t="s">
        <v>1</v>
      </c>
      <c r="B62" s="55" t="s">
        <v>117</v>
      </c>
      <c r="C62" s="55"/>
      <c r="D62" s="55"/>
      <c r="E62" s="55"/>
      <c r="F62" s="55"/>
      <c r="G62" s="55"/>
      <c r="H62" s="55"/>
      <c r="I62" s="55"/>
      <c r="J62" s="55"/>
      <c r="K62" s="55"/>
      <c r="L62" s="55"/>
      <c r="M62" s="55"/>
      <c r="N62" s="55"/>
      <c r="O62" s="55"/>
      <c r="P62" s="55"/>
      <c r="Q62" s="55"/>
      <c r="R62" s="55"/>
      <c r="S62" s="55"/>
      <c r="T62" s="55"/>
    </row>
    <row r="63" spans="1:20" s="2" customFormat="1" ht="53.2" customHeight="1" x14ac:dyDescent="0.3">
      <c r="A63" s="7" t="s">
        <v>2</v>
      </c>
      <c r="B63" s="55" t="s">
        <v>119</v>
      </c>
      <c r="C63" s="55"/>
      <c r="D63" s="55"/>
      <c r="E63" s="55"/>
      <c r="F63" s="55"/>
      <c r="G63" s="55"/>
      <c r="H63" s="55"/>
      <c r="I63" s="55"/>
      <c r="J63" s="55"/>
      <c r="K63" s="55"/>
      <c r="L63" s="55"/>
      <c r="M63" s="55"/>
      <c r="N63" s="55"/>
      <c r="O63" s="55"/>
      <c r="P63" s="55"/>
      <c r="Q63" s="55"/>
      <c r="R63" s="55"/>
      <c r="S63" s="55"/>
      <c r="T63" s="55"/>
    </row>
    <row r="64" spans="1:20" s="2" customFormat="1" x14ac:dyDescent="0.3">
      <c r="A64" s="7" t="s">
        <v>3</v>
      </c>
      <c r="B64" s="55" t="s">
        <v>38</v>
      </c>
      <c r="C64" s="55"/>
      <c r="D64" s="55"/>
      <c r="E64" s="55"/>
      <c r="F64" s="55"/>
      <c r="G64" s="55"/>
      <c r="H64" s="55"/>
      <c r="I64" s="55"/>
      <c r="J64" s="55"/>
      <c r="K64" s="55"/>
      <c r="L64" s="55"/>
      <c r="M64" s="55"/>
      <c r="N64" s="55"/>
      <c r="O64" s="55"/>
      <c r="P64" s="55"/>
      <c r="Q64" s="55"/>
      <c r="R64" s="55"/>
      <c r="S64" s="55"/>
      <c r="T64" s="55"/>
    </row>
    <row r="65" spans="1:20" s="2" customFormat="1" x14ac:dyDescent="0.3">
      <c r="A65" s="4"/>
      <c r="B65" s="48"/>
      <c r="C65" s="48"/>
      <c r="D65" s="48"/>
      <c r="E65" s="48"/>
      <c r="F65" s="48"/>
      <c r="G65" s="48"/>
      <c r="H65" s="48"/>
      <c r="I65" s="48"/>
      <c r="J65" s="48"/>
      <c r="K65" s="48"/>
      <c r="L65" s="48"/>
      <c r="M65" s="48"/>
      <c r="N65" s="48"/>
      <c r="O65" s="48"/>
      <c r="P65" s="48"/>
      <c r="Q65" s="48"/>
      <c r="R65" s="48"/>
      <c r="S65" s="48"/>
      <c r="T65" s="48"/>
    </row>
    <row r="66" spans="1:20" s="2" customFormat="1" x14ac:dyDescent="0.3">
      <c r="A66" s="3"/>
      <c r="B66" s="48"/>
      <c r="C66" s="48"/>
      <c r="D66" s="48"/>
      <c r="E66" s="48"/>
      <c r="F66" s="48"/>
      <c r="G66" s="48"/>
      <c r="H66" s="48"/>
      <c r="I66" s="48"/>
      <c r="J66" s="48"/>
      <c r="K66" s="48"/>
      <c r="L66" s="48"/>
      <c r="M66" s="48"/>
      <c r="N66" s="48"/>
      <c r="O66" s="48"/>
      <c r="P66" s="48"/>
      <c r="Q66" s="48"/>
      <c r="R66" s="48"/>
      <c r="S66" s="48"/>
      <c r="T66" s="48"/>
    </row>
    <row r="67" spans="1:20" s="2" customFormat="1" ht="12.8" customHeight="1" x14ac:dyDescent="0.3">
      <c r="A67" s="10">
        <f>A61+1</f>
        <v>2</v>
      </c>
      <c r="B67" s="88" t="s">
        <v>75</v>
      </c>
      <c r="C67" s="88"/>
      <c r="D67" s="88"/>
      <c r="E67" s="88"/>
      <c r="F67" s="88"/>
      <c r="G67" s="88"/>
      <c r="H67" s="88"/>
      <c r="I67" s="88"/>
      <c r="J67" s="88"/>
      <c r="K67" s="88"/>
      <c r="L67" s="88"/>
      <c r="M67" s="88"/>
      <c r="N67" s="88"/>
      <c r="O67" s="88"/>
      <c r="P67" s="88"/>
      <c r="Q67" s="88"/>
      <c r="R67" s="88"/>
      <c r="S67" s="88"/>
      <c r="T67" s="88"/>
    </row>
    <row r="68" spans="1:20" s="2" customFormat="1" x14ac:dyDescent="0.3">
      <c r="A68" s="6" t="s">
        <v>6</v>
      </c>
      <c r="B68" s="54" t="s">
        <v>54</v>
      </c>
      <c r="C68" s="54"/>
      <c r="D68" s="54"/>
      <c r="E68" s="54"/>
      <c r="F68" s="54"/>
      <c r="G68" s="54"/>
      <c r="H68" s="54"/>
      <c r="I68" s="54"/>
      <c r="J68" s="54"/>
      <c r="K68" s="54"/>
      <c r="L68" s="54"/>
      <c r="M68" s="54"/>
      <c r="N68" s="54"/>
      <c r="O68" s="54"/>
      <c r="P68" s="54"/>
      <c r="Q68" s="54"/>
      <c r="R68" s="54"/>
      <c r="S68" s="54"/>
      <c r="T68" s="54"/>
    </row>
    <row r="69" spans="1:20" s="2" customFormat="1" ht="27.85" customHeight="1" x14ac:dyDescent="0.3">
      <c r="A69" s="7" t="s">
        <v>1</v>
      </c>
      <c r="B69" s="55" t="s">
        <v>96</v>
      </c>
      <c r="C69" s="55"/>
      <c r="D69" s="55"/>
      <c r="E69" s="55"/>
      <c r="F69" s="55"/>
      <c r="G69" s="55"/>
      <c r="H69" s="55"/>
      <c r="I69" s="55"/>
      <c r="J69" s="55"/>
      <c r="K69" s="55"/>
      <c r="L69" s="55"/>
      <c r="M69" s="55"/>
      <c r="N69" s="55"/>
      <c r="O69" s="55"/>
      <c r="P69" s="55"/>
      <c r="Q69" s="55"/>
      <c r="R69" s="55"/>
      <c r="S69" s="55"/>
      <c r="T69" s="55"/>
    </row>
    <row r="70" spans="1:20" s="2" customFormat="1" ht="39.799999999999997" customHeight="1" x14ac:dyDescent="0.3">
      <c r="A70" s="7" t="s">
        <v>2</v>
      </c>
      <c r="B70" s="55" t="s">
        <v>116</v>
      </c>
      <c r="C70" s="55"/>
      <c r="D70" s="55"/>
      <c r="E70" s="55"/>
      <c r="F70" s="55"/>
      <c r="G70" s="55"/>
      <c r="H70" s="55"/>
      <c r="I70" s="55"/>
      <c r="J70" s="55"/>
      <c r="K70" s="55"/>
      <c r="L70" s="55"/>
      <c r="M70" s="55"/>
      <c r="N70" s="55"/>
      <c r="O70" s="55"/>
      <c r="P70" s="55"/>
      <c r="Q70" s="55"/>
      <c r="R70" s="55"/>
      <c r="S70" s="55"/>
      <c r="T70" s="55"/>
    </row>
    <row r="71" spans="1:20" s="2" customFormat="1" ht="24.75" customHeight="1" x14ac:dyDescent="0.3">
      <c r="A71" s="7" t="s">
        <v>3</v>
      </c>
      <c r="B71" s="55" t="s">
        <v>98</v>
      </c>
      <c r="C71" s="55"/>
      <c r="D71" s="55"/>
      <c r="E71" s="55"/>
      <c r="F71" s="55"/>
      <c r="G71" s="55"/>
      <c r="H71" s="55"/>
      <c r="I71" s="55"/>
      <c r="J71" s="55"/>
      <c r="K71" s="55"/>
      <c r="L71" s="55"/>
      <c r="M71" s="55"/>
      <c r="N71" s="55"/>
      <c r="O71" s="55"/>
      <c r="P71" s="55"/>
      <c r="Q71" s="55"/>
      <c r="R71" s="55"/>
      <c r="S71" s="55"/>
      <c r="T71" s="55"/>
    </row>
    <row r="72" spans="1:20" s="2" customFormat="1" ht="38.950000000000003" customHeight="1" x14ac:dyDescent="0.3">
      <c r="A72" s="7" t="s">
        <v>4</v>
      </c>
      <c r="B72" s="55" t="s">
        <v>97</v>
      </c>
      <c r="C72" s="55"/>
      <c r="D72" s="55"/>
      <c r="E72" s="55"/>
      <c r="F72" s="55"/>
      <c r="G72" s="55"/>
      <c r="H72" s="55"/>
      <c r="I72" s="55"/>
      <c r="J72" s="55"/>
      <c r="K72" s="55"/>
      <c r="L72" s="55"/>
      <c r="M72" s="55"/>
      <c r="N72" s="55"/>
      <c r="O72" s="55"/>
      <c r="P72" s="55"/>
      <c r="Q72" s="55"/>
      <c r="R72" s="55"/>
      <c r="S72" s="55"/>
      <c r="T72" s="55"/>
    </row>
    <row r="73" spans="1:20" s="2" customFormat="1" ht="26.2" customHeight="1" x14ac:dyDescent="0.3">
      <c r="A73" s="7" t="s">
        <v>5</v>
      </c>
      <c r="B73" s="55" t="s">
        <v>99</v>
      </c>
      <c r="C73" s="55"/>
      <c r="D73" s="55"/>
      <c r="E73" s="55"/>
      <c r="F73" s="55"/>
      <c r="G73" s="55"/>
      <c r="H73" s="55"/>
      <c r="I73" s="55"/>
      <c r="J73" s="55"/>
      <c r="K73" s="55"/>
      <c r="L73" s="55"/>
      <c r="M73" s="55"/>
      <c r="N73" s="55"/>
      <c r="O73" s="55"/>
      <c r="P73" s="55"/>
      <c r="Q73" s="55"/>
      <c r="R73" s="55"/>
      <c r="S73" s="55"/>
      <c r="T73" s="55"/>
    </row>
    <row r="74" spans="1:20" s="2" customFormat="1" ht="27" customHeight="1" x14ac:dyDescent="0.3">
      <c r="A74" s="7" t="s">
        <v>8</v>
      </c>
      <c r="B74" s="55" t="s">
        <v>100</v>
      </c>
      <c r="C74" s="55"/>
      <c r="D74" s="55"/>
      <c r="E74" s="55"/>
      <c r="F74" s="55"/>
      <c r="G74" s="55"/>
      <c r="H74" s="55"/>
      <c r="I74" s="55"/>
      <c r="J74" s="55"/>
      <c r="K74" s="55"/>
      <c r="L74" s="55"/>
      <c r="M74" s="55"/>
      <c r="N74" s="55"/>
      <c r="O74" s="55"/>
      <c r="P74" s="55"/>
      <c r="Q74" s="55"/>
      <c r="R74" s="55"/>
      <c r="S74" s="55"/>
      <c r="T74" s="55"/>
    </row>
    <row r="75" spans="1:20" s="2" customFormat="1" ht="26.2" customHeight="1" x14ac:dyDescent="0.3">
      <c r="A75" s="7" t="s">
        <v>74</v>
      </c>
      <c r="B75" s="55" t="s">
        <v>101</v>
      </c>
      <c r="C75" s="55"/>
      <c r="D75" s="55"/>
      <c r="E75" s="55"/>
      <c r="F75" s="55"/>
      <c r="G75" s="55"/>
      <c r="H75" s="55"/>
      <c r="I75" s="55"/>
      <c r="J75" s="55"/>
      <c r="K75" s="55"/>
      <c r="L75" s="55"/>
      <c r="M75" s="55"/>
      <c r="N75" s="55"/>
      <c r="O75" s="55"/>
      <c r="P75" s="55"/>
      <c r="Q75" s="55"/>
      <c r="R75" s="55"/>
      <c r="S75" s="55"/>
      <c r="T75" s="55"/>
    </row>
    <row r="76" spans="1:20" s="2" customFormat="1" x14ac:dyDescent="0.3">
      <c r="A76" s="4"/>
      <c r="B76" s="48"/>
      <c r="C76" s="48"/>
      <c r="D76" s="48"/>
      <c r="E76" s="48"/>
      <c r="F76" s="48"/>
      <c r="G76" s="48"/>
      <c r="H76" s="48"/>
      <c r="I76" s="48"/>
      <c r="J76" s="48"/>
      <c r="K76" s="48"/>
      <c r="L76" s="48"/>
      <c r="M76" s="48"/>
      <c r="N76" s="48"/>
      <c r="O76" s="48"/>
      <c r="P76" s="48"/>
      <c r="Q76" s="48"/>
      <c r="R76" s="48"/>
      <c r="S76" s="48"/>
      <c r="T76" s="48"/>
    </row>
    <row r="77" spans="1:20" s="2" customFormat="1" x14ac:dyDescent="0.3">
      <c r="A77" s="6" t="s">
        <v>7</v>
      </c>
      <c r="B77" s="54" t="s">
        <v>55</v>
      </c>
      <c r="C77" s="54"/>
      <c r="D77" s="54"/>
      <c r="E77" s="54"/>
      <c r="F77" s="54"/>
      <c r="G77" s="54"/>
      <c r="H77" s="54"/>
      <c r="I77" s="54"/>
      <c r="J77" s="54"/>
      <c r="K77" s="54"/>
      <c r="L77" s="54"/>
      <c r="M77" s="54"/>
      <c r="N77" s="54"/>
      <c r="O77" s="54"/>
      <c r="P77" s="54"/>
      <c r="Q77" s="54"/>
      <c r="R77" s="54"/>
      <c r="S77" s="54"/>
      <c r="T77" s="54"/>
    </row>
    <row r="78" spans="1:20" s="2" customFormat="1" ht="27" customHeight="1" x14ac:dyDescent="0.3">
      <c r="A78" s="7" t="s">
        <v>1</v>
      </c>
      <c r="B78" s="55" t="s">
        <v>107</v>
      </c>
      <c r="C78" s="55"/>
      <c r="D78" s="55"/>
      <c r="E78" s="55"/>
      <c r="F78" s="55"/>
      <c r="G78" s="55"/>
      <c r="H78" s="55"/>
      <c r="I78" s="55"/>
      <c r="J78" s="55"/>
      <c r="K78" s="55"/>
      <c r="L78" s="55"/>
      <c r="M78" s="55"/>
      <c r="N78" s="55"/>
      <c r="O78" s="55"/>
      <c r="P78" s="55"/>
      <c r="Q78" s="55"/>
      <c r="R78" s="55"/>
      <c r="S78" s="55"/>
      <c r="T78" s="55"/>
    </row>
    <row r="79" spans="1:20" s="2" customFormat="1" ht="51.75" customHeight="1" x14ac:dyDescent="0.3">
      <c r="A79" s="7" t="s">
        <v>2</v>
      </c>
      <c r="B79" s="55" t="s">
        <v>108</v>
      </c>
      <c r="C79" s="55"/>
      <c r="D79" s="55"/>
      <c r="E79" s="55"/>
      <c r="F79" s="55"/>
      <c r="G79" s="55"/>
      <c r="H79" s="55"/>
      <c r="I79" s="55"/>
      <c r="J79" s="55"/>
      <c r="K79" s="55"/>
      <c r="L79" s="55"/>
      <c r="M79" s="55"/>
      <c r="N79" s="55"/>
      <c r="O79" s="55"/>
      <c r="P79" s="55"/>
      <c r="Q79" s="55"/>
      <c r="R79" s="55"/>
      <c r="S79" s="55"/>
      <c r="T79" s="55"/>
    </row>
    <row r="80" spans="1:20" s="2" customFormat="1" x14ac:dyDescent="0.3">
      <c r="A80" s="4"/>
      <c r="B80" s="48"/>
      <c r="C80" s="48"/>
      <c r="D80" s="48"/>
      <c r="E80" s="48"/>
      <c r="F80" s="48"/>
      <c r="G80" s="48"/>
      <c r="H80" s="48"/>
      <c r="I80" s="48"/>
      <c r="J80" s="48"/>
      <c r="K80" s="48"/>
      <c r="L80" s="48"/>
      <c r="M80" s="48"/>
      <c r="N80" s="48"/>
      <c r="O80" s="48"/>
      <c r="P80" s="48"/>
      <c r="Q80" s="48"/>
      <c r="R80" s="48"/>
      <c r="S80" s="48"/>
      <c r="T80" s="48"/>
    </row>
    <row r="81" spans="1:20" s="2" customFormat="1" x14ac:dyDescent="0.3">
      <c r="A81" s="6" t="s">
        <v>12</v>
      </c>
      <c r="B81" s="54" t="s">
        <v>56</v>
      </c>
      <c r="C81" s="54"/>
      <c r="D81" s="54"/>
      <c r="E81" s="54"/>
      <c r="F81" s="54"/>
      <c r="G81" s="54"/>
      <c r="H81" s="54"/>
      <c r="I81" s="54"/>
      <c r="J81" s="54"/>
      <c r="K81" s="54"/>
      <c r="L81" s="54"/>
      <c r="M81" s="54"/>
      <c r="N81" s="54"/>
      <c r="O81" s="54"/>
      <c r="P81" s="54"/>
      <c r="Q81" s="54"/>
      <c r="R81" s="54"/>
      <c r="S81" s="54"/>
      <c r="T81" s="54"/>
    </row>
    <row r="82" spans="1:20" s="2" customFormat="1" ht="38.950000000000003" customHeight="1" x14ac:dyDescent="0.3">
      <c r="A82" s="7" t="s">
        <v>1</v>
      </c>
      <c r="B82" s="55" t="s">
        <v>114</v>
      </c>
      <c r="C82" s="55"/>
      <c r="D82" s="55"/>
      <c r="E82" s="55"/>
      <c r="F82" s="55"/>
      <c r="G82" s="55"/>
      <c r="H82" s="55"/>
      <c r="I82" s="55"/>
      <c r="J82" s="55"/>
      <c r="K82" s="55"/>
      <c r="L82" s="55"/>
      <c r="M82" s="55"/>
      <c r="N82" s="55"/>
      <c r="O82" s="55"/>
      <c r="P82" s="55"/>
      <c r="Q82" s="55"/>
      <c r="R82" s="55"/>
      <c r="S82" s="55"/>
      <c r="T82" s="55"/>
    </row>
    <row r="83" spans="1:20" s="2" customFormat="1" ht="65.95" customHeight="1" x14ac:dyDescent="0.3">
      <c r="A83" s="7" t="s">
        <v>2</v>
      </c>
      <c r="B83" s="55" t="s">
        <v>111</v>
      </c>
      <c r="C83" s="55"/>
      <c r="D83" s="55"/>
      <c r="E83" s="55"/>
      <c r="F83" s="55"/>
      <c r="G83" s="55"/>
      <c r="H83" s="55"/>
      <c r="I83" s="55"/>
      <c r="J83" s="55"/>
      <c r="K83" s="55"/>
      <c r="L83" s="55"/>
      <c r="M83" s="55"/>
      <c r="N83" s="55"/>
      <c r="O83" s="55"/>
      <c r="P83" s="55"/>
      <c r="Q83" s="55"/>
      <c r="R83" s="55"/>
      <c r="S83" s="55"/>
      <c r="T83" s="55"/>
    </row>
    <row r="84" spans="1:20" s="2" customFormat="1" ht="90" customHeight="1" x14ac:dyDescent="0.3">
      <c r="A84" s="7" t="s">
        <v>3</v>
      </c>
      <c r="B84" s="57" t="s">
        <v>112</v>
      </c>
      <c r="C84" s="55"/>
      <c r="D84" s="55"/>
      <c r="E84" s="55"/>
      <c r="F84" s="55"/>
      <c r="G84" s="55"/>
      <c r="H84" s="55"/>
      <c r="I84" s="55"/>
      <c r="J84" s="55"/>
      <c r="K84" s="55"/>
      <c r="L84" s="55"/>
      <c r="M84" s="55"/>
      <c r="N84" s="55"/>
      <c r="O84" s="55"/>
      <c r="P84" s="55"/>
      <c r="Q84" s="55"/>
      <c r="R84" s="55"/>
      <c r="S84" s="55"/>
      <c r="T84" s="55"/>
    </row>
    <row r="85" spans="1:20" s="2" customFormat="1" x14ac:dyDescent="0.3">
      <c r="A85" s="4"/>
      <c r="B85" s="48"/>
      <c r="C85" s="48"/>
      <c r="D85" s="48"/>
      <c r="E85" s="48"/>
      <c r="F85" s="48"/>
      <c r="G85" s="48"/>
      <c r="H85" s="48"/>
      <c r="I85" s="48"/>
      <c r="J85" s="48"/>
      <c r="K85" s="48"/>
      <c r="L85" s="48"/>
      <c r="M85" s="48"/>
      <c r="N85" s="48"/>
      <c r="O85" s="48"/>
      <c r="P85" s="48"/>
      <c r="Q85" s="48"/>
      <c r="R85" s="48"/>
      <c r="S85" s="48"/>
      <c r="T85" s="48"/>
    </row>
    <row r="86" spans="1:20" s="2" customFormat="1" x14ac:dyDescent="0.3">
      <c r="A86" s="4"/>
      <c r="B86" s="48"/>
      <c r="C86" s="48"/>
      <c r="D86" s="48"/>
      <c r="E86" s="48"/>
      <c r="F86" s="48"/>
      <c r="G86" s="48"/>
      <c r="H86" s="48"/>
      <c r="I86" s="48"/>
      <c r="J86" s="48"/>
      <c r="K86" s="48"/>
      <c r="L86" s="48"/>
      <c r="M86" s="48"/>
      <c r="N86" s="48"/>
      <c r="O86" s="48"/>
      <c r="P86" s="48"/>
      <c r="Q86" s="48"/>
      <c r="R86" s="48"/>
      <c r="S86" s="48"/>
      <c r="T86" s="48"/>
    </row>
    <row r="87" spans="1:20" s="2" customFormat="1" ht="12.8" customHeight="1" x14ac:dyDescent="0.3">
      <c r="A87" s="10">
        <f>A67+1</f>
        <v>3</v>
      </c>
      <c r="B87" s="88" t="s">
        <v>76</v>
      </c>
      <c r="C87" s="88"/>
      <c r="D87" s="88"/>
      <c r="E87" s="88"/>
      <c r="F87" s="88"/>
      <c r="G87" s="88"/>
      <c r="H87" s="88"/>
      <c r="I87" s="88"/>
      <c r="J87" s="88"/>
      <c r="K87" s="88"/>
      <c r="L87" s="88"/>
      <c r="M87" s="88"/>
      <c r="N87" s="88"/>
      <c r="O87" s="88"/>
      <c r="P87" s="88"/>
      <c r="Q87" s="88"/>
      <c r="R87" s="88"/>
      <c r="S87" s="88"/>
      <c r="T87" s="88"/>
    </row>
    <row r="88" spans="1:20" s="2" customFormat="1" x14ac:dyDescent="0.3">
      <c r="A88" s="6" t="s">
        <v>6</v>
      </c>
      <c r="B88" s="54" t="s">
        <v>57</v>
      </c>
      <c r="C88" s="54"/>
      <c r="D88" s="54"/>
      <c r="E88" s="54"/>
      <c r="F88" s="54"/>
      <c r="G88" s="54"/>
      <c r="H88" s="54"/>
      <c r="I88" s="54"/>
      <c r="J88" s="54"/>
      <c r="K88" s="54"/>
      <c r="L88" s="54"/>
      <c r="M88" s="54"/>
      <c r="N88" s="54"/>
      <c r="O88" s="54"/>
      <c r="P88" s="54"/>
      <c r="Q88" s="54"/>
      <c r="R88" s="54"/>
      <c r="S88" s="54"/>
      <c r="T88" s="54"/>
    </row>
    <row r="89" spans="1:20" s="2" customFormat="1" ht="26.2" customHeight="1" x14ac:dyDescent="0.3">
      <c r="A89" s="7" t="s">
        <v>1</v>
      </c>
      <c r="B89" s="55" t="s">
        <v>95</v>
      </c>
      <c r="C89" s="55"/>
      <c r="D89" s="55"/>
      <c r="E89" s="55"/>
      <c r="F89" s="55"/>
      <c r="G89" s="55"/>
      <c r="H89" s="55"/>
      <c r="I89" s="55"/>
      <c r="J89" s="55"/>
      <c r="K89" s="55"/>
      <c r="L89" s="55"/>
      <c r="M89" s="55"/>
      <c r="N89" s="55"/>
      <c r="O89" s="55"/>
      <c r="P89" s="55"/>
      <c r="Q89" s="55"/>
      <c r="R89" s="55"/>
      <c r="S89" s="55"/>
      <c r="T89" s="55"/>
    </row>
    <row r="90" spans="1:20" s="2" customFormat="1" ht="39.799999999999997" customHeight="1" x14ac:dyDescent="0.3">
      <c r="A90" s="7" t="s">
        <v>2</v>
      </c>
      <c r="B90" s="55" t="s">
        <v>118</v>
      </c>
      <c r="C90" s="55"/>
      <c r="D90" s="55"/>
      <c r="E90" s="55"/>
      <c r="F90" s="55"/>
      <c r="G90" s="55"/>
      <c r="H90" s="55"/>
      <c r="I90" s="55"/>
      <c r="J90" s="55"/>
      <c r="K90" s="55"/>
      <c r="L90" s="55"/>
      <c r="M90" s="55"/>
      <c r="N90" s="55"/>
      <c r="O90" s="55"/>
      <c r="P90" s="55"/>
      <c r="Q90" s="55"/>
      <c r="R90" s="55"/>
      <c r="S90" s="55"/>
      <c r="T90" s="55"/>
    </row>
    <row r="91" spans="1:20" s="2" customFormat="1" ht="26.2" customHeight="1" x14ac:dyDescent="0.3">
      <c r="A91" s="7" t="s">
        <v>3</v>
      </c>
      <c r="B91" s="55" t="s">
        <v>102</v>
      </c>
      <c r="C91" s="55"/>
      <c r="D91" s="55"/>
      <c r="E91" s="55"/>
      <c r="F91" s="55"/>
      <c r="G91" s="55"/>
      <c r="H91" s="55"/>
      <c r="I91" s="55"/>
      <c r="J91" s="55"/>
      <c r="K91" s="55"/>
      <c r="L91" s="55"/>
      <c r="M91" s="55"/>
      <c r="N91" s="55"/>
      <c r="O91" s="55"/>
      <c r="P91" s="55"/>
      <c r="Q91" s="55"/>
      <c r="R91" s="55"/>
      <c r="S91" s="55"/>
      <c r="T91" s="55"/>
    </row>
    <row r="92" spans="1:20" s="2" customFormat="1" ht="38.950000000000003" customHeight="1" x14ac:dyDescent="0.3">
      <c r="A92" s="7" t="s">
        <v>4</v>
      </c>
      <c r="B92" s="55" t="s">
        <v>104</v>
      </c>
      <c r="C92" s="55"/>
      <c r="D92" s="55"/>
      <c r="E92" s="55"/>
      <c r="F92" s="55"/>
      <c r="G92" s="55"/>
      <c r="H92" s="55"/>
      <c r="I92" s="55"/>
      <c r="J92" s="55"/>
      <c r="K92" s="55"/>
      <c r="L92" s="55"/>
      <c r="M92" s="55"/>
      <c r="N92" s="55"/>
      <c r="O92" s="55"/>
      <c r="P92" s="55"/>
      <c r="Q92" s="55"/>
      <c r="R92" s="55"/>
      <c r="S92" s="55"/>
      <c r="T92" s="55"/>
    </row>
    <row r="93" spans="1:20" s="2" customFormat="1" ht="24.75" customHeight="1" x14ac:dyDescent="0.3">
      <c r="A93" s="7" t="s">
        <v>5</v>
      </c>
      <c r="B93" s="55" t="s">
        <v>103</v>
      </c>
      <c r="C93" s="55"/>
      <c r="D93" s="55"/>
      <c r="E93" s="55"/>
      <c r="F93" s="55"/>
      <c r="G93" s="55"/>
      <c r="H93" s="55"/>
      <c r="I93" s="55"/>
      <c r="J93" s="55"/>
      <c r="K93" s="55"/>
      <c r="L93" s="55"/>
      <c r="M93" s="55"/>
      <c r="N93" s="55"/>
      <c r="O93" s="55"/>
      <c r="P93" s="55"/>
      <c r="Q93" s="55"/>
      <c r="R93" s="55"/>
      <c r="S93" s="55"/>
      <c r="T93" s="55"/>
    </row>
    <row r="94" spans="1:20" s="2" customFormat="1" ht="27.85" customHeight="1" x14ac:dyDescent="0.3">
      <c r="A94" s="7" t="s">
        <v>8</v>
      </c>
      <c r="B94" s="55" t="s">
        <v>105</v>
      </c>
      <c r="C94" s="55"/>
      <c r="D94" s="55"/>
      <c r="E94" s="55"/>
      <c r="F94" s="55"/>
      <c r="G94" s="55"/>
      <c r="H94" s="55"/>
      <c r="I94" s="55"/>
      <c r="J94" s="55"/>
      <c r="K94" s="55"/>
      <c r="L94" s="55"/>
      <c r="M94" s="55"/>
      <c r="N94" s="55"/>
      <c r="O94" s="55"/>
      <c r="P94" s="55"/>
      <c r="Q94" s="55"/>
      <c r="R94" s="55"/>
      <c r="S94" s="55"/>
      <c r="T94" s="55"/>
    </row>
    <row r="95" spans="1:20" s="2" customFormat="1" ht="27" customHeight="1" x14ac:dyDescent="0.3">
      <c r="A95" s="7" t="s">
        <v>74</v>
      </c>
      <c r="B95" s="55" t="s">
        <v>106</v>
      </c>
      <c r="C95" s="55"/>
      <c r="D95" s="55"/>
      <c r="E95" s="55"/>
      <c r="F95" s="55"/>
      <c r="G95" s="55"/>
      <c r="H95" s="55"/>
      <c r="I95" s="55"/>
      <c r="J95" s="55"/>
      <c r="K95" s="55"/>
      <c r="L95" s="55"/>
      <c r="M95" s="55"/>
      <c r="N95" s="55"/>
      <c r="O95" s="55"/>
      <c r="P95" s="55"/>
      <c r="Q95" s="55"/>
      <c r="R95" s="55"/>
      <c r="S95" s="55"/>
      <c r="T95" s="55"/>
    </row>
    <row r="96" spans="1:20" s="2" customFormat="1" x14ac:dyDescent="0.3">
      <c r="A96" s="4"/>
      <c r="B96" s="48"/>
      <c r="C96" s="48"/>
      <c r="D96" s="48"/>
      <c r="E96" s="48"/>
      <c r="F96" s="48"/>
      <c r="G96" s="48"/>
      <c r="H96" s="48"/>
      <c r="I96" s="48"/>
      <c r="J96" s="48"/>
      <c r="K96" s="48"/>
      <c r="L96" s="48"/>
      <c r="M96" s="48"/>
      <c r="N96" s="48"/>
      <c r="O96" s="48"/>
      <c r="P96" s="48"/>
      <c r="Q96" s="48"/>
      <c r="R96" s="48"/>
      <c r="S96" s="48"/>
      <c r="T96" s="48"/>
    </row>
    <row r="97" spans="1:20" s="2" customFormat="1" x14ac:dyDescent="0.3">
      <c r="A97" s="6" t="s">
        <v>7</v>
      </c>
      <c r="B97" s="54" t="s">
        <v>58</v>
      </c>
      <c r="C97" s="54"/>
      <c r="D97" s="54"/>
      <c r="E97" s="54"/>
      <c r="F97" s="54"/>
      <c r="G97" s="54"/>
      <c r="H97" s="54"/>
      <c r="I97" s="54"/>
      <c r="J97" s="54"/>
      <c r="K97" s="54"/>
      <c r="L97" s="54"/>
      <c r="M97" s="54"/>
      <c r="N97" s="54"/>
      <c r="O97" s="54"/>
      <c r="P97" s="54"/>
      <c r="Q97" s="54"/>
      <c r="R97" s="54"/>
      <c r="S97" s="54"/>
      <c r="T97" s="54"/>
    </row>
    <row r="98" spans="1:20" s="2" customFormat="1" ht="27" customHeight="1" x14ac:dyDescent="0.3">
      <c r="A98" s="7" t="s">
        <v>1</v>
      </c>
      <c r="B98" s="55" t="s">
        <v>109</v>
      </c>
      <c r="C98" s="55"/>
      <c r="D98" s="55"/>
      <c r="E98" s="55"/>
      <c r="F98" s="55"/>
      <c r="G98" s="55"/>
      <c r="H98" s="55"/>
      <c r="I98" s="55"/>
      <c r="J98" s="55"/>
      <c r="K98" s="55"/>
      <c r="L98" s="55"/>
      <c r="M98" s="55"/>
      <c r="N98" s="55"/>
      <c r="O98" s="55"/>
      <c r="P98" s="55"/>
      <c r="Q98" s="55"/>
      <c r="R98" s="55"/>
      <c r="S98" s="55"/>
      <c r="T98" s="55"/>
    </row>
    <row r="99" spans="1:20" s="2" customFormat="1" ht="53.2" customHeight="1" x14ac:dyDescent="0.3">
      <c r="A99" s="7" t="s">
        <v>2</v>
      </c>
      <c r="B99" s="55" t="s">
        <v>110</v>
      </c>
      <c r="C99" s="55"/>
      <c r="D99" s="55"/>
      <c r="E99" s="55"/>
      <c r="F99" s="55"/>
      <c r="G99" s="55"/>
      <c r="H99" s="55"/>
      <c r="I99" s="55"/>
      <c r="J99" s="55"/>
      <c r="K99" s="55"/>
      <c r="L99" s="55"/>
      <c r="M99" s="55"/>
      <c r="N99" s="55"/>
      <c r="O99" s="55"/>
      <c r="P99" s="55"/>
      <c r="Q99" s="55"/>
      <c r="R99" s="55"/>
      <c r="S99" s="55"/>
      <c r="T99" s="55"/>
    </row>
    <row r="100" spans="1:20" s="2" customFormat="1" x14ac:dyDescent="0.3">
      <c r="A100" s="4"/>
      <c r="B100" s="48"/>
      <c r="C100" s="48"/>
      <c r="D100" s="48"/>
      <c r="E100" s="48"/>
      <c r="F100" s="48"/>
      <c r="G100" s="48"/>
      <c r="H100" s="48"/>
      <c r="I100" s="48"/>
      <c r="J100" s="48"/>
      <c r="K100" s="48"/>
      <c r="L100" s="48"/>
      <c r="M100" s="48"/>
      <c r="N100" s="48"/>
      <c r="O100" s="48"/>
      <c r="P100" s="48"/>
      <c r="Q100" s="48"/>
      <c r="R100" s="48"/>
      <c r="S100" s="48"/>
      <c r="T100" s="48"/>
    </row>
    <row r="101" spans="1:20" s="2" customFormat="1" x14ac:dyDescent="0.3">
      <c r="A101" s="6" t="s">
        <v>12</v>
      </c>
      <c r="B101" s="54" t="s">
        <v>59</v>
      </c>
      <c r="C101" s="54"/>
      <c r="D101" s="54"/>
      <c r="E101" s="54"/>
      <c r="F101" s="54"/>
      <c r="G101" s="54"/>
      <c r="H101" s="54"/>
      <c r="I101" s="54"/>
      <c r="J101" s="54"/>
      <c r="K101" s="54"/>
      <c r="L101" s="54"/>
      <c r="M101" s="54"/>
      <c r="N101" s="54"/>
      <c r="O101" s="54"/>
      <c r="P101" s="54"/>
      <c r="Q101" s="54"/>
      <c r="R101" s="54"/>
      <c r="S101" s="54"/>
      <c r="T101" s="54"/>
    </row>
    <row r="102" spans="1:20" s="2" customFormat="1" ht="40.6" customHeight="1" x14ac:dyDescent="0.3">
      <c r="A102" s="7" t="s">
        <v>1</v>
      </c>
      <c r="B102" s="55" t="s">
        <v>113</v>
      </c>
      <c r="C102" s="55"/>
      <c r="D102" s="55"/>
      <c r="E102" s="55"/>
      <c r="F102" s="55"/>
      <c r="G102" s="55"/>
      <c r="H102" s="55"/>
      <c r="I102" s="55"/>
      <c r="J102" s="55"/>
      <c r="K102" s="55"/>
      <c r="L102" s="55"/>
      <c r="M102" s="55"/>
      <c r="N102" s="55"/>
      <c r="O102" s="55"/>
      <c r="P102" s="55"/>
      <c r="Q102" s="55"/>
      <c r="R102" s="55"/>
      <c r="S102" s="55"/>
      <c r="T102" s="55"/>
    </row>
    <row r="103" spans="1:20" s="2" customFormat="1" ht="64.5" customHeight="1" x14ac:dyDescent="0.3">
      <c r="A103" s="7" t="s">
        <v>2</v>
      </c>
      <c r="B103" s="55" t="s">
        <v>111</v>
      </c>
      <c r="C103" s="55"/>
      <c r="D103" s="55"/>
      <c r="E103" s="55"/>
      <c r="F103" s="55"/>
      <c r="G103" s="55"/>
      <c r="H103" s="55"/>
      <c r="I103" s="55"/>
      <c r="J103" s="55"/>
      <c r="K103" s="55"/>
      <c r="L103" s="55"/>
      <c r="M103" s="55"/>
      <c r="N103" s="55"/>
      <c r="O103" s="55"/>
      <c r="P103" s="55"/>
      <c r="Q103" s="55"/>
      <c r="R103" s="55"/>
      <c r="S103" s="55"/>
      <c r="T103" s="55"/>
    </row>
    <row r="104" spans="1:20" s="2" customFormat="1" ht="78.75" customHeight="1" x14ac:dyDescent="0.3">
      <c r="A104" s="7" t="s">
        <v>3</v>
      </c>
      <c r="B104" s="57" t="s">
        <v>115</v>
      </c>
      <c r="C104" s="55"/>
      <c r="D104" s="55"/>
      <c r="E104" s="55"/>
      <c r="F104" s="55"/>
      <c r="G104" s="55"/>
      <c r="H104" s="55"/>
      <c r="I104" s="55"/>
      <c r="J104" s="55"/>
      <c r="K104" s="55"/>
      <c r="L104" s="55"/>
      <c r="M104" s="55"/>
      <c r="N104" s="55"/>
      <c r="O104" s="55"/>
      <c r="P104" s="55"/>
      <c r="Q104" s="55"/>
      <c r="R104" s="55"/>
      <c r="S104" s="55"/>
      <c r="T104" s="55"/>
    </row>
    <row r="105" spans="1:20" s="2" customFormat="1" x14ac:dyDescent="0.3">
      <c r="A105" s="4"/>
      <c r="B105" s="48"/>
      <c r="C105" s="48"/>
      <c r="D105" s="48"/>
      <c r="E105" s="48"/>
      <c r="F105" s="48"/>
      <c r="G105" s="48"/>
      <c r="H105" s="48"/>
      <c r="I105" s="48"/>
      <c r="J105" s="48"/>
      <c r="K105" s="48"/>
      <c r="L105" s="48"/>
      <c r="M105" s="48"/>
      <c r="N105" s="48"/>
      <c r="O105" s="48"/>
      <c r="P105" s="48"/>
      <c r="Q105" s="48"/>
      <c r="R105" s="48"/>
      <c r="S105" s="48"/>
      <c r="T105" s="48"/>
    </row>
    <row r="106" spans="1:20" s="2" customFormat="1" x14ac:dyDescent="0.3">
      <c r="A106" s="7"/>
      <c r="B106" s="57" t="s">
        <v>212</v>
      </c>
      <c r="C106" s="57"/>
      <c r="D106" s="57"/>
      <c r="E106" s="57"/>
      <c r="F106" s="57"/>
      <c r="G106" s="57"/>
      <c r="H106" s="57"/>
      <c r="I106" s="57"/>
      <c r="J106" s="57"/>
      <c r="K106" s="57"/>
      <c r="L106" s="57"/>
      <c r="M106" s="57"/>
      <c r="N106" s="57"/>
      <c r="O106" s="57"/>
      <c r="P106" s="57"/>
      <c r="Q106" s="57"/>
      <c r="R106" s="57"/>
      <c r="S106" s="57"/>
      <c r="T106" s="57"/>
    </row>
    <row r="107" spans="1:20" s="34" customFormat="1" x14ac:dyDescent="0.3">
      <c r="A107" s="7"/>
      <c r="B107" s="57" t="s">
        <v>183</v>
      </c>
      <c r="C107" s="57"/>
      <c r="D107" s="57"/>
      <c r="E107" s="57"/>
      <c r="F107" s="57"/>
      <c r="G107" s="57"/>
      <c r="H107" s="57"/>
      <c r="I107" s="57"/>
      <c r="J107" s="57"/>
      <c r="K107" s="57"/>
      <c r="L107" s="57"/>
      <c r="M107" s="57"/>
      <c r="N107" s="57"/>
      <c r="O107" s="57"/>
      <c r="P107" s="57"/>
      <c r="Q107" s="57"/>
      <c r="R107" s="57"/>
      <c r="S107" s="57"/>
      <c r="T107" s="57"/>
    </row>
    <row r="108" spans="1:20" s="34" customFormat="1" x14ac:dyDescent="0.3">
      <c r="A108" s="7"/>
      <c r="B108" s="57" t="s">
        <v>184</v>
      </c>
      <c r="C108" s="57"/>
      <c r="D108" s="57"/>
      <c r="E108" s="57"/>
      <c r="F108" s="57"/>
      <c r="G108" s="57"/>
      <c r="H108" s="57"/>
      <c r="I108" s="57"/>
      <c r="J108" s="57"/>
      <c r="K108" s="57"/>
      <c r="L108" s="57"/>
      <c r="M108" s="57"/>
      <c r="N108" s="57"/>
      <c r="O108" s="57"/>
      <c r="P108" s="57"/>
      <c r="Q108" s="57"/>
      <c r="R108" s="57"/>
      <c r="S108" s="57"/>
      <c r="T108" s="57"/>
    </row>
    <row r="109" spans="1:20" s="34" customFormat="1" x14ac:dyDescent="0.3">
      <c r="A109" s="7"/>
      <c r="B109" s="55" t="s">
        <v>185</v>
      </c>
      <c r="C109" s="55"/>
      <c r="D109" s="55"/>
      <c r="E109" s="55"/>
      <c r="F109" s="55"/>
      <c r="G109" s="55"/>
      <c r="H109" s="55"/>
      <c r="I109" s="55"/>
      <c r="J109" s="55"/>
      <c r="K109" s="55"/>
      <c r="L109" s="55"/>
      <c r="M109" s="55"/>
      <c r="N109" s="55"/>
      <c r="O109" s="55"/>
      <c r="P109" s="55"/>
      <c r="Q109" s="55"/>
      <c r="R109" s="55"/>
      <c r="S109" s="55"/>
      <c r="T109" s="55"/>
    </row>
    <row r="110" spans="1:20" s="34" customFormat="1" x14ac:dyDescent="0.3">
      <c r="A110" s="7"/>
      <c r="B110" s="55" t="s">
        <v>186</v>
      </c>
      <c r="C110" s="55"/>
      <c r="D110" s="55"/>
      <c r="E110" s="55"/>
      <c r="F110" s="55"/>
      <c r="G110" s="55"/>
      <c r="H110" s="55"/>
      <c r="I110" s="55"/>
      <c r="J110" s="55"/>
      <c r="K110" s="55"/>
      <c r="L110" s="55"/>
      <c r="M110" s="55"/>
      <c r="N110" s="55"/>
      <c r="O110" s="55"/>
      <c r="P110" s="55"/>
      <c r="Q110" s="55"/>
      <c r="R110" s="55"/>
      <c r="S110" s="55"/>
      <c r="T110" s="55"/>
    </row>
    <row r="111" spans="1:20" s="34" customFormat="1" x14ac:dyDescent="0.3">
      <c r="A111" s="7"/>
      <c r="B111" s="55"/>
      <c r="C111" s="55"/>
      <c r="D111" s="55"/>
      <c r="E111" s="55"/>
      <c r="F111" s="55"/>
      <c r="G111" s="55"/>
      <c r="H111" s="55"/>
      <c r="I111" s="55"/>
      <c r="J111" s="55"/>
      <c r="K111" s="55"/>
      <c r="L111" s="55"/>
      <c r="M111" s="55"/>
      <c r="N111" s="55"/>
      <c r="O111" s="55"/>
      <c r="P111" s="55"/>
      <c r="Q111" s="55"/>
      <c r="R111" s="55"/>
      <c r="S111" s="55"/>
      <c r="T111" s="55"/>
    </row>
    <row r="112" spans="1:20" s="34" customFormat="1" x14ac:dyDescent="0.3">
      <c r="A112" s="7"/>
      <c r="B112" s="57" t="s">
        <v>187</v>
      </c>
      <c r="C112" s="57"/>
      <c r="D112" s="57"/>
      <c r="E112" s="57"/>
      <c r="F112" s="57"/>
      <c r="G112" s="57"/>
      <c r="H112" s="57"/>
      <c r="I112" s="57"/>
      <c r="J112" s="57"/>
      <c r="K112" s="57"/>
      <c r="L112" s="57"/>
      <c r="M112" s="57"/>
      <c r="N112" s="57"/>
      <c r="O112" s="57"/>
      <c r="P112" s="57"/>
      <c r="Q112" s="57"/>
      <c r="R112" s="57"/>
      <c r="S112" s="57"/>
      <c r="T112" s="57"/>
    </row>
    <row r="113" spans="1:20" s="34" customFormat="1" x14ac:dyDescent="0.3">
      <c r="A113" s="7"/>
      <c r="B113" s="55" t="s">
        <v>188</v>
      </c>
      <c r="C113" s="55"/>
      <c r="D113" s="55"/>
      <c r="E113" s="55"/>
      <c r="F113" s="55"/>
      <c r="G113" s="55"/>
      <c r="H113" s="55"/>
      <c r="I113" s="55"/>
      <c r="J113" s="55"/>
      <c r="K113" s="55"/>
      <c r="L113" s="55"/>
      <c r="M113" s="55"/>
      <c r="N113" s="55"/>
      <c r="O113" s="55"/>
      <c r="P113" s="55"/>
      <c r="Q113" s="55"/>
      <c r="R113" s="55"/>
      <c r="S113" s="55"/>
      <c r="T113" s="55"/>
    </row>
    <row r="114" spans="1:20" s="34" customFormat="1" ht="12.8" customHeight="1" x14ac:dyDescent="0.3">
      <c r="A114" s="7"/>
      <c r="B114" s="55" t="s">
        <v>189</v>
      </c>
      <c r="C114" s="55"/>
      <c r="D114" s="55"/>
      <c r="E114" s="55"/>
      <c r="F114" s="55"/>
      <c r="G114" s="55"/>
      <c r="H114" s="55"/>
      <c r="I114" s="55"/>
      <c r="J114" s="55"/>
      <c r="K114" s="55"/>
      <c r="L114" s="55"/>
      <c r="M114" s="55"/>
      <c r="N114" s="55"/>
      <c r="O114" s="55"/>
      <c r="P114" s="55"/>
      <c r="Q114" s="55"/>
      <c r="R114" s="55"/>
      <c r="S114" s="55"/>
      <c r="T114" s="55"/>
    </row>
    <row r="115" spans="1:20" s="34" customFormat="1" x14ac:dyDescent="0.3">
      <c r="A115" s="7"/>
      <c r="B115" s="55"/>
      <c r="C115" s="55"/>
      <c r="D115" s="55"/>
      <c r="E115" s="55"/>
      <c r="F115" s="55"/>
      <c r="G115" s="55"/>
      <c r="H115" s="55"/>
      <c r="I115" s="55"/>
      <c r="J115" s="55"/>
      <c r="K115" s="55"/>
      <c r="L115" s="55"/>
      <c r="M115" s="55"/>
      <c r="N115" s="55"/>
      <c r="O115" s="55"/>
      <c r="P115" s="55"/>
      <c r="Q115" s="55"/>
      <c r="R115" s="55"/>
      <c r="S115" s="55"/>
      <c r="T115" s="55"/>
    </row>
    <row r="116" spans="1:20" s="34" customFormat="1" x14ac:dyDescent="0.3">
      <c r="A116" s="7"/>
      <c r="B116" s="55"/>
      <c r="C116" s="55"/>
      <c r="D116" s="55"/>
      <c r="E116" s="55"/>
      <c r="F116" s="55"/>
      <c r="G116" s="55"/>
      <c r="H116" s="55"/>
      <c r="I116" s="55"/>
      <c r="J116" s="55"/>
      <c r="K116" s="55"/>
      <c r="L116" s="55"/>
      <c r="M116" s="55"/>
      <c r="N116" s="55"/>
      <c r="O116" s="55"/>
      <c r="P116" s="55"/>
      <c r="Q116" s="55"/>
      <c r="R116" s="55"/>
      <c r="S116" s="55"/>
      <c r="T116" s="55"/>
    </row>
    <row r="117" spans="1:20" s="34" customFormat="1" x14ac:dyDescent="0.3">
      <c r="A117" s="7"/>
      <c r="B117" s="57" t="s">
        <v>190</v>
      </c>
      <c r="C117" s="57"/>
      <c r="D117" s="57"/>
      <c r="E117" s="57"/>
      <c r="F117" s="57"/>
      <c r="G117" s="57"/>
      <c r="H117" s="57"/>
      <c r="I117" s="57"/>
      <c r="J117" s="57"/>
      <c r="K117" s="57"/>
      <c r="L117" s="57"/>
      <c r="M117" s="57"/>
      <c r="N117" s="57"/>
      <c r="O117" s="57"/>
      <c r="P117" s="57"/>
      <c r="Q117" s="57"/>
      <c r="R117" s="57"/>
      <c r="S117" s="57"/>
      <c r="T117" s="57"/>
    </row>
    <row r="118" spans="1:20" s="34" customFormat="1" x14ac:dyDescent="0.3">
      <c r="A118" s="7"/>
      <c r="B118" s="57" t="s">
        <v>184</v>
      </c>
      <c r="C118" s="57"/>
      <c r="D118" s="57"/>
      <c r="E118" s="57"/>
      <c r="F118" s="57"/>
      <c r="G118" s="57"/>
      <c r="H118" s="57"/>
      <c r="I118" s="57"/>
      <c r="J118" s="57"/>
      <c r="K118" s="57"/>
      <c r="L118" s="57"/>
      <c r="M118" s="57"/>
      <c r="N118" s="57"/>
      <c r="O118" s="57"/>
      <c r="P118" s="57"/>
      <c r="Q118" s="57"/>
      <c r="R118" s="57"/>
      <c r="S118" s="57"/>
      <c r="T118" s="57"/>
    </row>
    <row r="119" spans="1:20" s="34" customFormat="1" x14ac:dyDescent="0.3">
      <c r="A119" s="7"/>
      <c r="B119" s="55" t="s">
        <v>191</v>
      </c>
      <c r="C119" s="55"/>
      <c r="D119" s="55"/>
      <c r="E119" s="55"/>
      <c r="F119" s="55"/>
      <c r="G119" s="55"/>
      <c r="H119" s="55"/>
      <c r="I119" s="55"/>
      <c r="J119" s="55"/>
      <c r="K119" s="55"/>
      <c r="L119" s="55"/>
      <c r="M119" s="55"/>
      <c r="N119" s="55"/>
      <c r="O119" s="55"/>
      <c r="P119" s="55"/>
      <c r="Q119" s="55"/>
      <c r="R119" s="55"/>
      <c r="S119" s="55"/>
      <c r="T119" s="55"/>
    </row>
    <row r="120" spans="1:20" s="34" customFormat="1" x14ac:dyDescent="0.3">
      <c r="A120" s="7"/>
      <c r="B120" s="55" t="s">
        <v>192</v>
      </c>
      <c r="C120" s="55"/>
      <c r="D120" s="55"/>
      <c r="E120" s="55"/>
      <c r="F120" s="55"/>
      <c r="G120" s="55"/>
      <c r="H120" s="55"/>
      <c r="I120" s="55"/>
      <c r="J120" s="55"/>
      <c r="K120" s="55"/>
      <c r="L120" s="55"/>
      <c r="M120" s="55"/>
      <c r="N120" s="55"/>
      <c r="O120" s="55"/>
      <c r="P120" s="55"/>
      <c r="Q120" s="55"/>
      <c r="R120" s="55"/>
      <c r="S120" s="55"/>
      <c r="T120" s="55"/>
    </row>
    <row r="121" spans="1:20" s="34" customFormat="1" x14ac:dyDescent="0.3">
      <c r="A121" s="7"/>
      <c r="B121" s="55"/>
      <c r="C121" s="55"/>
      <c r="D121" s="55"/>
      <c r="E121" s="55"/>
      <c r="F121" s="55"/>
      <c r="G121" s="55"/>
      <c r="H121" s="55"/>
      <c r="I121" s="55"/>
      <c r="J121" s="55"/>
      <c r="K121" s="55"/>
      <c r="L121" s="55"/>
      <c r="M121" s="55"/>
      <c r="N121" s="55"/>
      <c r="O121" s="55"/>
      <c r="P121" s="55"/>
      <c r="Q121" s="55"/>
      <c r="R121" s="55"/>
      <c r="S121" s="55"/>
      <c r="T121" s="55"/>
    </row>
    <row r="122" spans="1:20" s="34" customFormat="1" x14ac:dyDescent="0.3">
      <c r="A122" s="7"/>
      <c r="B122" s="57" t="s">
        <v>187</v>
      </c>
      <c r="C122" s="57"/>
      <c r="D122" s="57"/>
      <c r="E122" s="57"/>
      <c r="F122" s="57"/>
      <c r="G122" s="57"/>
      <c r="H122" s="57"/>
      <c r="I122" s="57"/>
      <c r="J122" s="57"/>
      <c r="K122" s="57"/>
      <c r="L122" s="57"/>
      <c r="M122" s="57"/>
      <c r="N122" s="57"/>
      <c r="O122" s="57"/>
      <c r="P122" s="57"/>
      <c r="Q122" s="57"/>
      <c r="R122" s="57"/>
      <c r="S122" s="57"/>
      <c r="T122" s="57"/>
    </row>
    <row r="123" spans="1:20" s="34" customFormat="1" x14ac:dyDescent="0.3">
      <c r="A123" s="7"/>
      <c r="B123" s="55" t="s">
        <v>193</v>
      </c>
      <c r="C123" s="55"/>
      <c r="D123" s="55"/>
      <c r="E123" s="55"/>
      <c r="F123" s="55"/>
      <c r="G123" s="55"/>
      <c r="H123" s="55"/>
      <c r="I123" s="55"/>
      <c r="J123" s="55"/>
      <c r="K123" s="55"/>
      <c r="L123" s="55"/>
      <c r="M123" s="55"/>
      <c r="N123" s="55"/>
      <c r="O123" s="55"/>
      <c r="P123" s="55"/>
      <c r="Q123" s="55"/>
      <c r="R123" s="55"/>
      <c r="S123" s="55"/>
      <c r="T123" s="55"/>
    </row>
    <row r="124" spans="1:20" s="34" customFormat="1" x14ac:dyDescent="0.3">
      <c r="A124" s="7"/>
      <c r="B124" s="55" t="s">
        <v>194</v>
      </c>
      <c r="C124" s="55"/>
      <c r="D124" s="55"/>
      <c r="E124" s="55"/>
      <c r="F124" s="55"/>
      <c r="G124" s="55"/>
      <c r="H124" s="55"/>
      <c r="I124" s="55"/>
      <c r="J124" s="55"/>
      <c r="K124" s="55"/>
      <c r="L124" s="55"/>
      <c r="M124" s="55"/>
      <c r="N124" s="55"/>
      <c r="O124" s="55"/>
      <c r="P124" s="55"/>
      <c r="Q124" s="55"/>
      <c r="R124" s="55"/>
      <c r="S124" s="55"/>
      <c r="T124" s="55"/>
    </row>
    <row r="125" spans="1:20" s="34" customFormat="1" x14ac:dyDescent="0.3">
      <c r="A125" s="7"/>
      <c r="B125" s="55"/>
      <c r="C125" s="55"/>
      <c r="D125" s="55"/>
      <c r="E125" s="55"/>
      <c r="F125" s="55"/>
      <c r="G125" s="55"/>
      <c r="H125" s="55"/>
      <c r="I125" s="55"/>
      <c r="J125" s="55"/>
      <c r="K125" s="55"/>
      <c r="L125" s="55"/>
      <c r="M125" s="55"/>
      <c r="N125" s="55"/>
      <c r="O125" s="55"/>
      <c r="P125" s="55"/>
      <c r="Q125" s="55"/>
      <c r="R125" s="55"/>
      <c r="S125" s="55"/>
      <c r="T125" s="55"/>
    </row>
    <row r="126" spans="1:20" s="34" customFormat="1" x14ac:dyDescent="0.3">
      <c r="A126" s="7"/>
      <c r="B126" s="55"/>
      <c r="C126" s="55"/>
      <c r="D126" s="55"/>
      <c r="E126" s="55"/>
      <c r="F126" s="55"/>
      <c r="G126" s="55"/>
      <c r="H126" s="55"/>
      <c r="I126" s="55"/>
      <c r="J126" s="55"/>
      <c r="K126" s="55"/>
      <c r="L126" s="55"/>
      <c r="M126" s="55"/>
      <c r="N126" s="55"/>
      <c r="O126" s="55"/>
      <c r="P126" s="55"/>
      <c r="Q126" s="55"/>
      <c r="R126" s="55"/>
      <c r="S126" s="55"/>
      <c r="T126" s="55"/>
    </row>
    <row r="127" spans="1:20" s="34" customFormat="1" x14ac:dyDescent="0.3">
      <c r="A127" s="7"/>
      <c r="B127" s="57" t="s">
        <v>195</v>
      </c>
      <c r="C127" s="57"/>
      <c r="D127" s="57"/>
      <c r="E127" s="57"/>
      <c r="F127" s="57"/>
      <c r="G127" s="57"/>
      <c r="H127" s="57"/>
      <c r="I127" s="57"/>
      <c r="J127" s="57"/>
      <c r="K127" s="57"/>
      <c r="L127" s="57"/>
      <c r="M127" s="57"/>
      <c r="N127" s="57"/>
      <c r="O127" s="57"/>
      <c r="P127" s="57"/>
      <c r="Q127" s="57"/>
      <c r="R127" s="57"/>
      <c r="S127" s="57"/>
      <c r="T127" s="57"/>
    </row>
    <row r="128" spans="1:20" s="34" customFormat="1" x14ac:dyDescent="0.3">
      <c r="A128" s="7"/>
      <c r="B128" s="57" t="s">
        <v>184</v>
      </c>
      <c r="C128" s="57"/>
      <c r="D128" s="57"/>
      <c r="E128" s="57"/>
      <c r="F128" s="57"/>
      <c r="G128" s="57"/>
      <c r="H128" s="57"/>
      <c r="I128" s="57"/>
      <c r="J128" s="57"/>
      <c r="K128" s="57"/>
      <c r="L128" s="57"/>
      <c r="M128" s="57"/>
      <c r="N128" s="57"/>
      <c r="O128" s="57"/>
      <c r="P128" s="57"/>
      <c r="Q128" s="57"/>
      <c r="R128" s="57"/>
      <c r="S128" s="57"/>
      <c r="T128" s="57"/>
    </row>
    <row r="129" spans="1:20" s="34" customFormat="1" x14ac:dyDescent="0.3">
      <c r="A129" s="7"/>
      <c r="B129" s="55" t="s">
        <v>196</v>
      </c>
      <c r="C129" s="55"/>
      <c r="D129" s="55"/>
      <c r="E129" s="55"/>
      <c r="F129" s="55"/>
      <c r="G129" s="55"/>
      <c r="H129" s="55"/>
      <c r="I129" s="55"/>
      <c r="J129" s="55"/>
      <c r="K129" s="55"/>
      <c r="L129" s="55"/>
      <c r="M129" s="55"/>
      <c r="N129" s="55"/>
      <c r="O129" s="55"/>
      <c r="P129" s="55"/>
      <c r="Q129" s="55"/>
      <c r="R129" s="55"/>
      <c r="S129" s="55"/>
      <c r="T129" s="55"/>
    </row>
    <row r="130" spans="1:20" s="34" customFormat="1" x14ac:dyDescent="0.3">
      <c r="A130" s="7"/>
      <c r="B130" s="55" t="s">
        <v>197</v>
      </c>
      <c r="C130" s="55"/>
      <c r="D130" s="55"/>
      <c r="E130" s="55"/>
      <c r="F130" s="55"/>
      <c r="G130" s="55"/>
      <c r="H130" s="55"/>
      <c r="I130" s="55"/>
      <c r="J130" s="55"/>
      <c r="K130" s="55"/>
      <c r="L130" s="55"/>
      <c r="M130" s="55"/>
      <c r="N130" s="55"/>
      <c r="O130" s="55"/>
      <c r="P130" s="55"/>
      <c r="Q130" s="55"/>
      <c r="R130" s="55"/>
      <c r="S130" s="55"/>
      <c r="T130" s="55"/>
    </row>
    <row r="131" spans="1:20" s="34" customFormat="1" x14ac:dyDescent="0.3">
      <c r="A131" s="7"/>
      <c r="B131" s="55" t="s">
        <v>198</v>
      </c>
      <c r="C131" s="55"/>
      <c r="D131" s="55"/>
      <c r="E131" s="55"/>
      <c r="F131" s="55"/>
      <c r="G131" s="55"/>
      <c r="H131" s="55"/>
      <c r="I131" s="55"/>
      <c r="J131" s="55"/>
      <c r="K131" s="55"/>
      <c r="L131" s="55"/>
      <c r="M131" s="55"/>
      <c r="N131" s="55"/>
      <c r="O131" s="55"/>
      <c r="P131" s="55"/>
      <c r="Q131" s="55"/>
      <c r="R131" s="55"/>
      <c r="S131" s="55"/>
      <c r="T131" s="55"/>
    </row>
    <row r="132" spans="1:20" s="34" customFormat="1" x14ac:dyDescent="0.3">
      <c r="A132" s="7"/>
      <c r="B132" s="55"/>
      <c r="C132" s="55"/>
      <c r="D132" s="55"/>
      <c r="E132" s="55"/>
      <c r="F132" s="55"/>
      <c r="G132" s="55"/>
      <c r="H132" s="55"/>
      <c r="I132" s="55"/>
      <c r="J132" s="55"/>
      <c r="K132" s="55"/>
      <c r="L132" s="55"/>
      <c r="M132" s="55"/>
      <c r="N132" s="55"/>
      <c r="O132" s="55"/>
      <c r="P132" s="55"/>
      <c r="Q132" s="55"/>
      <c r="R132" s="55"/>
      <c r="S132" s="55"/>
      <c r="T132" s="55"/>
    </row>
    <row r="133" spans="1:20" s="34" customFormat="1" x14ac:dyDescent="0.3">
      <c r="A133" s="7"/>
      <c r="B133" s="55"/>
      <c r="C133" s="55"/>
      <c r="D133" s="55"/>
      <c r="E133" s="55"/>
      <c r="F133" s="55"/>
      <c r="G133" s="55"/>
      <c r="H133" s="55"/>
      <c r="I133" s="55"/>
      <c r="J133" s="55"/>
      <c r="K133" s="55"/>
      <c r="L133" s="55"/>
      <c r="M133" s="55"/>
      <c r="N133" s="55"/>
      <c r="O133" s="55"/>
      <c r="P133" s="55"/>
      <c r="Q133" s="55"/>
      <c r="R133" s="55"/>
      <c r="S133" s="55"/>
      <c r="T133" s="55"/>
    </row>
    <row r="134" spans="1:20" s="34" customFormat="1" x14ac:dyDescent="0.3">
      <c r="A134" s="7"/>
      <c r="B134" s="57" t="s">
        <v>187</v>
      </c>
      <c r="C134" s="57"/>
      <c r="D134" s="57"/>
      <c r="E134" s="57"/>
      <c r="F134" s="57"/>
      <c r="G134" s="57"/>
      <c r="H134" s="57"/>
      <c r="I134" s="57"/>
      <c r="J134" s="57"/>
      <c r="K134" s="57"/>
      <c r="L134" s="57"/>
      <c r="M134" s="57"/>
      <c r="N134" s="57"/>
      <c r="O134" s="57"/>
      <c r="P134" s="57"/>
      <c r="Q134" s="57"/>
      <c r="R134" s="57"/>
      <c r="S134" s="57"/>
      <c r="T134" s="57"/>
    </row>
    <row r="135" spans="1:20" s="34" customFormat="1" x14ac:dyDescent="0.3">
      <c r="A135" s="7"/>
      <c r="B135" s="55" t="s">
        <v>199</v>
      </c>
      <c r="C135" s="55"/>
      <c r="D135" s="55"/>
      <c r="E135" s="55"/>
      <c r="F135" s="55"/>
      <c r="G135" s="55"/>
      <c r="H135" s="55"/>
      <c r="I135" s="55"/>
      <c r="J135" s="55"/>
      <c r="K135" s="55"/>
      <c r="L135" s="55"/>
      <c r="M135" s="55"/>
      <c r="N135" s="55"/>
      <c r="O135" s="55"/>
      <c r="P135" s="55"/>
      <c r="Q135" s="55"/>
      <c r="R135" s="55"/>
      <c r="S135" s="55"/>
      <c r="T135" s="55"/>
    </row>
    <row r="136" spans="1:20" s="34" customFormat="1" x14ac:dyDescent="0.3">
      <c r="A136" s="7"/>
      <c r="B136" s="55" t="s">
        <v>200</v>
      </c>
      <c r="C136" s="55"/>
      <c r="D136" s="55"/>
      <c r="E136" s="55"/>
      <c r="F136" s="55"/>
      <c r="G136" s="55"/>
      <c r="H136" s="55"/>
      <c r="I136" s="55"/>
      <c r="J136" s="55"/>
      <c r="K136" s="55"/>
      <c r="L136" s="55"/>
      <c r="M136" s="55"/>
      <c r="N136" s="55"/>
      <c r="O136" s="55"/>
      <c r="P136" s="55"/>
      <c r="Q136" s="55"/>
      <c r="R136" s="55"/>
      <c r="S136" s="55"/>
      <c r="T136" s="55"/>
    </row>
    <row r="137" spans="1:20" s="34" customFormat="1" x14ac:dyDescent="0.3">
      <c r="A137" s="7"/>
      <c r="B137" s="55" t="s">
        <v>201</v>
      </c>
      <c r="C137" s="55"/>
      <c r="D137" s="55"/>
      <c r="E137" s="55"/>
      <c r="F137" s="55"/>
      <c r="G137" s="55"/>
      <c r="H137" s="55"/>
      <c r="I137" s="55"/>
      <c r="J137" s="55"/>
      <c r="K137" s="55"/>
      <c r="L137" s="55"/>
      <c r="M137" s="55"/>
      <c r="N137" s="55"/>
      <c r="O137" s="55"/>
      <c r="P137" s="55"/>
      <c r="Q137" s="55"/>
      <c r="R137" s="55"/>
      <c r="S137" s="55"/>
      <c r="T137" s="55"/>
    </row>
    <row r="138" spans="1:20" s="34" customFormat="1" x14ac:dyDescent="0.3">
      <c r="A138" s="7"/>
      <c r="B138" s="55" t="s">
        <v>202</v>
      </c>
      <c r="C138" s="55"/>
      <c r="D138" s="55"/>
      <c r="E138" s="55"/>
      <c r="F138" s="55"/>
      <c r="G138" s="55"/>
      <c r="H138" s="55"/>
      <c r="I138" s="55"/>
      <c r="J138" s="55"/>
      <c r="K138" s="55"/>
      <c r="L138" s="55"/>
      <c r="M138" s="55"/>
      <c r="N138" s="55"/>
      <c r="O138" s="55"/>
      <c r="P138" s="55"/>
      <c r="Q138" s="55"/>
      <c r="R138" s="55"/>
      <c r="S138" s="55"/>
      <c r="T138" s="55"/>
    </row>
    <row r="139" spans="1:20" s="34" customFormat="1" x14ac:dyDescent="0.3">
      <c r="A139" s="7"/>
      <c r="B139" s="55"/>
      <c r="C139" s="55"/>
      <c r="D139" s="55"/>
      <c r="E139" s="55"/>
      <c r="F139" s="55"/>
      <c r="G139" s="55"/>
      <c r="H139" s="55"/>
      <c r="I139" s="55"/>
      <c r="J139" s="55"/>
      <c r="K139" s="55"/>
      <c r="L139" s="55"/>
      <c r="M139" s="55"/>
      <c r="N139" s="55"/>
      <c r="O139" s="55"/>
      <c r="P139" s="55"/>
      <c r="Q139" s="55"/>
      <c r="R139" s="55"/>
      <c r="S139" s="55"/>
      <c r="T139" s="55"/>
    </row>
    <row r="140" spans="1:20" s="34" customFormat="1" x14ac:dyDescent="0.3">
      <c r="A140" s="7"/>
      <c r="B140" s="55"/>
      <c r="C140" s="55"/>
      <c r="D140" s="55"/>
      <c r="E140" s="55"/>
      <c r="F140" s="55"/>
      <c r="G140" s="55"/>
      <c r="H140" s="55"/>
      <c r="I140" s="55"/>
      <c r="J140" s="55"/>
      <c r="K140" s="55"/>
      <c r="L140" s="55"/>
      <c r="M140" s="55"/>
      <c r="N140" s="55"/>
      <c r="O140" s="55"/>
      <c r="P140" s="55"/>
      <c r="Q140" s="55"/>
      <c r="R140" s="55"/>
      <c r="S140" s="55"/>
      <c r="T140" s="55"/>
    </row>
    <row r="141" spans="1:20" s="34" customFormat="1" x14ac:dyDescent="0.3">
      <c r="A141" s="7"/>
      <c r="B141" s="57" t="s">
        <v>203</v>
      </c>
      <c r="C141" s="57"/>
      <c r="D141" s="57"/>
      <c r="E141" s="57"/>
      <c r="F141" s="57"/>
      <c r="G141" s="57"/>
      <c r="H141" s="57"/>
      <c r="I141" s="57"/>
      <c r="J141" s="57"/>
      <c r="K141" s="57"/>
      <c r="L141" s="57"/>
      <c r="M141" s="57"/>
      <c r="N141" s="57"/>
      <c r="O141" s="57"/>
      <c r="P141" s="57"/>
      <c r="Q141" s="57"/>
      <c r="R141" s="57"/>
      <c r="S141" s="57"/>
      <c r="T141" s="57"/>
    </row>
    <row r="142" spans="1:20" s="34" customFormat="1" x14ac:dyDescent="0.3">
      <c r="A142" s="7"/>
      <c r="B142" s="55" t="s">
        <v>204</v>
      </c>
      <c r="C142" s="55"/>
      <c r="D142" s="55"/>
      <c r="E142" s="55"/>
      <c r="F142" s="55"/>
      <c r="G142" s="55"/>
      <c r="H142" s="55"/>
      <c r="I142" s="55"/>
      <c r="J142" s="55"/>
      <c r="K142" s="55"/>
      <c r="L142" s="55"/>
      <c r="M142" s="55"/>
      <c r="N142" s="55"/>
      <c r="O142" s="55"/>
      <c r="P142" s="55"/>
      <c r="Q142" s="55"/>
      <c r="R142" s="55"/>
      <c r="S142" s="55"/>
      <c r="T142" s="55"/>
    </row>
    <row r="143" spans="1:20" s="34" customFormat="1" x14ac:dyDescent="0.3">
      <c r="A143" s="7"/>
      <c r="B143" s="55" t="s">
        <v>205</v>
      </c>
      <c r="C143" s="55"/>
      <c r="D143" s="55"/>
      <c r="E143" s="55"/>
      <c r="F143" s="55"/>
      <c r="G143" s="55"/>
      <c r="H143" s="55"/>
      <c r="I143" s="55"/>
      <c r="J143" s="55"/>
      <c r="K143" s="55"/>
      <c r="L143" s="55"/>
      <c r="M143" s="55"/>
      <c r="N143" s="55"/>
      <c r="O143" s="55"/>
      <c r="P143" s="55"/>
      <c r="Q143" s="55"/>
      <c r="R143" s="55"/>
      <c r="S143" s="55"/>
      <c r="T143" s="55"/>
    </row>
    <row r="144" spans="1:20" s="34" customFormat="1" x14ac:dyDescent="0.3">
      <c r="A144" s="7"/>
      <c r="B144" s="55" t="s">
        <v>206</v>
      </c>
      <c r="C144" s="55"/>
      <c r="D144" s="55"/>
      <c r="E144" s="55"/>
      <c r="F144" s="55"/>
      <c r="G144" s="55"/>
      <c r="H144" s="55"/>
      <c r="I144" s="55"/>
      <c r="J144" s="55"/>
      <c r="K144" s="55"/>
      <c r="L144" s="55"/>
      <c r="M144" s="55"/>
      <c r="N144" s="55"/>
      <c r="O144" s="55"/>
      <c r="P144" s="55"/>
      <c r="Q144" s="55"/>
      <c r="R144" s="55"/>
      <c r="S144" s="55"/>
      <c r="T144" s="55"/>
    </row>
    <row r="145" spans="1:20" s="34" customFormat="1" x14ac:dyDescent="0.3">
      <c r="A145" s="7"/>
      <c r="B145" s="55" t="s">
        <v>207</v>
      </c>
      <c r="C145" s="55"/>
      <c r="D145" s="55"/>
      <c r="E145" s="55"/>
      <c r="F145" s="55"/>
      <c r="G145" s="55"/>
      <c r="H145" s="55"/>
      <c r="I145" s="55"/>
      <c r="J145" s="55"/>
      <c r="K145" s="55"/>
      <c r="L145" s="55"/>
      <c r="M145" s="55"/>
      <c r="N145" s="55"/>
      <c r="O145" s="55"/>
      <c r="P145" s="55"/>
      <c r="Q145" s="55"/>
      <c r="R145" s="55"/>
      <c r="S145" s="55"/>
      <c r="T145" s="55"/>
    </row>
    <row r="146" spans="1:20" s="34" customFormat="1" x14ac:dyDescent="0.3">
      <c r="A146" s="7"/>
      <c r="B146" s="55" t="s">
        <v>208</v>
      </c>
      <c r="C146" s="55"/>
      <c r="D146" s="55"/>
      <c r="E146" s="55"/>
      <c r="F146" s="55"/>
      <c r="G146" s="55"/>
      <c r="H146" s="55"/>
      <c r="I146" s="55"/>
      <c r="J146" s="55"/>
      <c r="K146" s="55"/>
      <c r="L146" s="55"/>
      <c r="M146" s="55"/>
      <c r="N146" s="55"/>
      <c r="O146" s="55"/>
      <c r="P146" s="55"/>
      <c r="Q146" s="55"/>
      <c r="R146" s="55"/>
      <c r="S146" s="55"/>
      <c r="T146" s="55"/>
    </row>
    <row r="147" spans="1:20" s="34" customFormat="1" x14ac:dyDescent="0.3">
      <c r="A147" s="7"/>
      <c r="B147" s="55" t="s">
        <v>209</v>
      </c>
      <c r="C147" s="55"/>
      <c r="D147" s="55"/>
      <c r="E147" s="55"/>
      <c r="F147" s="55"/>
      <c r="G147" s="55"/>
      <c r="H147" s="55"/>
      <c r="I147" s="55"/>
      <c r="J147" s="55"/>
      <c r="K147" s="55"/>
      <c r="L147" s="55"/>
      <c r="M147" s="55"/>
      <c r="N147" s="55"/>
      <c r="O147" s="55"/>
      <c r="P147" s="55"/>
      <c r="Q147" s="55"/>
      <c r="R147" s="55"/>
      <c r="S147" s="55"/>
      <c r="T147" s="55"/>
    </row>
    <row r="148" spans="1:20" s="34" customFormat="1" x14ac:dyDescent="0.3">
      <c r="A148" s="7"/>
      <c r="B148" s="55" t="s">
        <v>210</v>
      </c>
      <c r="C148" s="55"/>
      <c r="D148" s="55"/>
      <c r="E148" s="55"/>
      <c r="F148" s="55"/>
      <c r="G148" s="55"/>
      <c r="H148" s="55"/>
      <c r="I148" s="55"/>
      <c r="J148" s="55"/>
      <c r="K148" s="55"/>
      <c r="L148" s="55"/>
      <c r="M148" s="55"/>
      <c r="N148" s="55"/>
      <c r="O148" s="55"/>
      <c r="P148" s="55"/>
      <c r="Q148" s="55"/>
      <c r="R148" s="55"/>
      <c r="S148" s="55"/>
      <c r="T148" s="55"/>
    </row>
    <row r="149" spans="1:20" s="34" customFormat="1" x14ac:dyDescent="0.3">
      <c r="A149" s="7"/>
      <c r="B149" s="55" t="s">
        <v>208</v>
      </c>
      <c r="C149" s="55"/>
      <c r="D149" s="55"/>
      <c r="E149" s="55"/>
      <c r="F149" s="55"/>
      <c r="G149" s="55"/>
      <c r="H149" s="55"/>
      <c r="I149" s="55"/>
      <c r="J149" s="55"/>
      <c r="K149" s="55"/>
      <c r="L149" s="55"/>
      <c r="M149" s="55"/>
      <c r="N149" s="55"/>
      <c r="O149" s="55"/>
      <c r="P149" s="55"/>
      <c r="Q149" s="55"/>
      <c r="R149" s="55"/>
      <c r="S149" s="55"/>
      <c r="T149" s="55"/>
    </row>
    <row r="150" spans="1:20" s="34" customFormat="1" x14ac:dyDescent="0.3">
      <c r="A150" s="7"/>
      <c r="B150" s="55" t="s">
        <v>211</v>
      </c>
      <c r="C150" s="55"/>
      <c r="D150" s="55"/>
      <c r="E150" s="55"/>
      <c r="F150" s="55"/>
      <c r="G150" s="55"/>
      <c r="H150" s="55"/>
      <c r="I150" s="55"/>
      <c r="J150" s="55"/>
      <c r="K150" s="55"/>
      <c r="L150" s="55"/>
      <c r="M150" s="55"/>
      <c r="N150" s="55"/>
      <c r="O150" s="55"/>
      <c r="P150" s="55"/>
      <c r="Q150" s="55"/>
      <c r="R150" s="55"/>
      <c r="S150" s="55"/>
      <c r="T150" s="55"/>
    </row>
    <row r="151" spans="1:20" s="34" customFormat="1" x14ac:dyDescent="0.3">
      <c r="A151" s="4"/>
      <c r="B151" s="48"/>
      <c r="C151" s="48"/>
      <c r="D151" s="48"/>
      <c r="E151" s="48"/>
      <c r="F151" s="48"/>
      <c r="G151" s="48"/>
      <c r="H151" s="48"/>
      <c r="I151" s="48"/>
      <c r="J151" s="48"/>
      <c r="K151" s="48"/>
      <c r="L151" s="48"/>
      <c r="M151" s="48"/>
      <c r="N151" s="48"/>
      <c r="O151" s="48"/>
      <c r="P151" s="48"/>
      <c r="Q151" s="48"/>
      <c r="R151" s="48"/>
      <c r="S151" s="48"/>
      <c r="T151" s="48"/>
    </row>
    <row r="152" spans="1:20" s="2" customFormat="1" x14ac:dyDescent="0.3">
      <c r="A152" s="4"/>
      <c r="B152" s="48"/>
      <c r="C152" s="48"/>
      <c r="D152" s="48"/>
      <c r="E152" s="48"/>
      <c r="F152" s="48"/>
      <c r="G152" s="48"/>
      <c r="H152" s="48"/>
      <c r="I152" s="48"/>
      <c r="J152" s="48"/>
      <c r="K152" s="48"/>
      <c r="L152" s="48"/>
      <c r="M152" s="48"/>
      <c r="N152" s="48"/>
      <c r="O152" s="48"/>
      <c r="P152" s="48"/>
      <c r="Q152" s="48"/>
      <c r="R152" s="48"/>
      <c r="S152" s="48"/>
      <c r="T152" s="48"/>
    </row>
    <row r="153" spans="1:20" s="2" customFormat="1" ht="15.05" customHeight="1" x14ac:dyDescent="0.3">
      <c r="A153" s="10">
        <f>A87+1</f>
        <v>4</v>
      </c>
      <c r="B153" s="98" t="s">
        <v>43</v>
      </c>
      <c r="C153" s="99"/>
      <c r="D153" s="99"/>
      <c r="E153" s="99"/>
      <c r="F153" s="99"/>
      <c r="G153" s="99"/>
      <c r="H153" s="99"/>
      <c r="I153" s="99"/>
      <c r="J153" s="99"/>
      <c r="K153" s="99"/>
      <c r="L153" s="99"/>
      <c r="M153" s="99"/>
      <c r="N153" s="99"/>
      <c r="O153" s="99"/>
      <c r="P153" s="99"/>
      <c r="Q153" s="99"/>
      <c r="R153" s="99"/>
      <c r="S153" s="99"/>
      <c r="T153" s="100"/>
    </row>
    <row r="154" spans="1:20" s="2" customFormat="1" ht="12.8" customHeight="1" x14ac:dyDescent="0.3">
      <c r="A154" s="7"/>
      <c r="B154" s="51" t="s">
        <v>221</v>
      </c>
      <c r="C154" s="52"/>
      <c r="D154" s="52"/>
      <c r="E154" s="52"/>
      <c r="F154" s="52"/>
      <c r="G154" s="52"/>
      <c r="H154" s="52"/>
      <c r="I154" s="52"/>
      <c r="J154" s="52"/>
      <c r="K154" s="52"/>
      <c r="L154" s="52"/>
      <c r="M154" s="52"/>
      <c r="N154" s="52"/>
      <c r="O154" s="52"/>
      <c r="P154" s="52"/>
      <c r="Q154" s="52"/>
      <c r="R154" s="52"/>
      <c r="S154" s="52"/>
      <c r="T154" s="53"/>
    </row>
    <row r="155" spans="1:20" s="2" customFormat="1" x14ac:dyDescent="0.3">
      <c r="A155" s="7"/>
      <c r="B155" s="51"/>
      <c r="C155" s="52"/>
      <c r="D155" s="52"/>
      <c r="E155" s="52"/>
      <c r="F155" s="52"/>
      <c r="G155" s="52"/>
      <c r="H155" s="52"/>
      <c r="I155" s="52"/>
      <c r="J155" s="52"/>
      <c r="K155" s="52"/>
      <c r="L155" s="52"/>
      <c r="M155" s="52"/>
      <c r="N155" s="52"/>
      <c r="O155" s="52"/>
      <c r="P155" s="52"/>
      <c r="Q155" s="52"/>
      <c r="R155" s="52"/>
      <c r="S155" s="52"/>
      <c r="T155" s="53"/>
    </row>
    <row r="156" spans="1:20" s="2" customFormat="1" x14ac:dyDescent="0.3">
      <c r="A156" s="7"/>
      <c r="B156" s="51"/>
      <c r="C156" s="52"/>
      <c r="D156" s="52"/>
      <c r="E156" s="52"/>
      <c r="F156" s="52"/>
      <c r="G156" s="52"/>
      <c r="H156" s="52"/>
      <c r="I156" s="52"/>
      <c r="J156" s="52"/>
      <c r="K156" s="52"/>
      <c r="L156" s="52"/>
      <c r="M156" s="52"/>
      <c r="N156" s="52"/>
      <c r="O156" s="52"/>
      <c r="P156" s="52"/>
      <c r="Q156" s="52"/>
      <c r="R156" s="52"/>
      <c r="S156" s="52"/>
      <c r="T156" s="53"/>
    </row>
    <row r="157" spans="1:20" s="2" customFormat="1" x14ac:dyDescent="0.3">
      <c r="A157" s="7"/>
      <c r="B157" s="51"/>
      <c r="C157" s="52"/>
      <c r="D157" s="52"/>
      <c r="E157" s="52"/>
      <c r="F157" s="52"/>
      <c r="G157" s="52"/>
      <c r="H157" s="52"/>
      <c r="I157" s="52"/>
      <c r="J157" s="52"/>
      <c r="K157" s="52"/>
      <c r="L157" s="52"/>
      <c r="M157" s="52"/>
      <c r="N157" s="52"/>
      <c r="O157" s="52"/>
      <c r="P157" s="52"/>
      <c r="Q157" s="52"/>
      <c r="R157" s="52"/>
      <c r="S157" s="52"/>
      <c r="T157" s="53"/>
    </row>
    <row r="158" spans="1:20" s="2" customFormat="1" x14ac:dyDescent="0.3">
      <c r="A158" s="4"/>
      <c r="B158" s="48"/>
      <c r="C158" s="48"/>
      <c r="D158" s="48"/>
      <c r="E158" s="48"/>
      <c r="F158" s="48"/>
      <c r="G158" s="48"/>
      <c r="H158" s="48"/>
      <c r="I158" s="48"/>
      <c r="J158" s="48"/>
      <c r="K158" s="48"/>
      <c r="L158" s="48"/>
      <c r="M158" s="48"/>
      <c r="N158" s="48"/>
      <c r="O158" s="48"/>
      <c r="P158" s="48"/>
      <c r="Q158" s="48"/>
      <c r="R158" s="48"/>
      <c r="S158" s="48"/>
      <c r="T158" s="48"/>
    </row>
    <row r="159" spans="1:20" s="2" customFormat="1" x14ac:dyDescent="0.3">
      <c r="A159" s="3"/>
      <c r="B159" s="56"/>
      <c r="C159" s="56"/>
      <c r="D159" s="56"/>
      <c r="E159" s="56"/>
      <c r="F159" s="56"/>
      <c r="G159" s="56"/>
      <c r="H159" s="56"/>
      <c r="I159" s="56"/>
      <c r="J159" s="56"/>
      <c r="K159" s="56"/>
      <c r="L159" s="56"/>
      <c r="M159" s="56"/>
      <c r="N159" s="56"/>
      <c r="O159" s="56"/>
      <c r="P159" s="56"/>
      <c r="Q159" s="56"/>
      <c r="R159" s="56"/>
      <c r="S159" s="56"/>
      <c r="T159" s="56"/>
    </row>
    <row r="160" spans="1:20" s="2" customFormat="1" ht="15.75" x14ac:dyDescent="0.3">
      <c r="A160" s="11">
        <f>A153+1</f>
        <v>5</v>
      </c>
      <c r="B160" s="70" t="s">
        <v>124</v>
      </c>
      <c r="C160" s="71"/>
      <c r="D160" s="71"/>
      <c r="E160" s="71"/>
      <c r="F160" s="71"/>
      <c r="G160" s="71"/>
      <c r="H160" s="71"/>
      <c r="I160" s="71"/>
      <c r="J160" s="71"/>
      <c r="K160" s="71"/>
      <c r="L160" s="71"/>
      <c r="M160" s="71"/>
      <c r="N160" s="71"/>
      <c r="O160" s="71"/>
      <c r="P160" s="71"/>
      <c r="Q160" s="71"/>
      <c r="R160" s="71"/>
      <c r="S160" s="71"/>
      <c r="T160" s="72"/>
    </row>
    <row r="161" spans="1:20" s="2" customFormat="1" x14ac:dyDescent="0.3">
      <c r="A161" s="7"/>
      <c r="B161" s="51"/>
      <c r="C161" s="52"/>
      <c r="D161" s="52"/>
      <c r="E161" s="52"/>
      <c r="F161" s="52"/>
      <c r="G161" s="52"/>
      <c r="H161" s="52"/>
      <c r="I161" s="52"/>
      <c r="J161" s="52"/>
      <c r="K161" s="52"/>
      <c r="L161" s="52"/>
      <c r="M161" s="52"/>
      <c r="N161" s="52"/>
      <c r="O161" s="52"/>
      <c r="P161" s="52"/>
      <c r="Q161" s="52"/>
      <c r="R161" s="52"/>
      <c r="S161" s="52"/>
      <c r="T161" s="53"/>
    </row>
    <row r="162" spans="1:20" s="2" customFormat="1" x14ac:dyDescent="0.3">
      <c r="A162" s="7"/>
      <c r="B162" s="51"/>
      <c r="C162" s="52"/>
      <c r="D162" s="52"/>
      <c r="E162" s="52"/>
      <c r="F162" s="52"/>
      <c r="G162" s="52"/>
      <c r="H162" s="52"/>
      <c r="I162" s="52"/>
      <c r="J162" s="52"/>
      <c r="K162" s="52"/>
      <c r="L162" s="52"/>
      <c r="M162" s="52"/>
      <c r="N162" s="52"/>
      <c r="O162" s="52"/>
      <c r="P162" s="52"/>
      <c r="Q162" s="52"/>
      <c r="R162" s="52"/>
      <c r="S162" s="52"/>
      <c r="T162" s="53"/>
    </row>
    <row r="163" spans="1:20" s="2" customFormat="1" x14ac:dyDescent="0.3">
      <c r="A163" s="7"/>
      <c r="B163" s="51"/>
      <c r="C163" s="52"/>
      <c r="D163" s="52"/>
      <c r="E163" s="52"/>
      <c r="F163" s="52"/>
      <c r="G163" s="52"/>
      <c r="H163" s="52"/>
      <c r="I163" s="52"/>
      <c r="J163" s="52"/>
      <c r="K163" s="52"/>
      <c r="L163" s="52"/>
      <c r="M163" s="52"/>
      <c r="N163" s="52"/>
      <c r="O163" s="52"/>
      <c r="P163" s="52"/>
      <c r="Q163" s="52"/>
      <c r="R163" s="52"/>
      <c r="S163" s="52"/>
      <c r="T163" s="53"/>
    </row>
    <row r="164" spans="1:20" s="2" customFormat="1" x14ac:dyDescent="0.3">
      <c r="A164" s="7"/>
      <c r="B164" s="51"/>
      <c r="C164" s="52"/>
      <c r="D164" s="52"/>
      <c r="E164" s="52"/>
      <c r="F164" s="52"/>
      <c r="G164" s="52"/>
      <c r="H164" s="52"/>
      <c r="I164" s="52"/>
      <c r="J164" s="52"/>
      <c r="K164" s="52"/>
      <c r="L164" s="52"/>
      <c r="M164" s="52"/>
      <c r="N164" s="52"/>
      <c r="O164" s="52"/>
      <c r="P164" s="52"/>
      <c r="Q164" s="52"/>
      <c r="R164" s="52"/>
      <c r="S164" s="52"/>
      <c r="T164" s="53"/>
    </row>
    <row r="165" spans="1:20" s="2" customFormat="1" x14ac:dyDescent="0.3">
      <c r="A165" s="4"/>
      <c r="B165" s="48"/>
      <c r="C165" s="48"/>
      <c r="D165" s="48"/>
      <c r="E165" s="48"/>
      <c r="F165" s="48"/>
      <c r="G165" s="48"/>
      <c r="H165" s="48"/>
      <c r="I165" s="48"/>
      <c r="J165" s="48"/>
      <c r="K165" s="48"/>
      <c r="L165" s="48"/>
      <c r="M165" s="48"/>
      <c r="N165" s="48"/>
      <c r="O165" s="48"/>
      <c r="P165" s="48"/>
      <c r="Q165" s="48"/>
      <c r="R165" s="48"/>
      <c r="S165" s="48"/>
      <c r="T165" s="48"/>
    </row>
    <row r="166" spans="1:20" s="2" customFormat="1" x14ac:dyDescent="0.3">
      <c r="A166" s="4"/>
      <c r="B166" s="48"/>
      <c r="C166" s="48"/>
      <c r="D166" s="48"/>
      <c r="E166" s="48"/>
      <c r="F166" s="48"/>
      <c r="G166" s="48"/>
      <c r="H166" s="48"/>
      <c r="I166" s="48"/>
      <c r="J166" s="48"/>
      <c r="K166" s="48"/>
      <c r="L166" s="48"/>
      <c r="M166" s="48"/>
      <c r="N166" s="48"/>
      <c r="O166" s="48"/>
      <c r="P166" s="48"/>
      <c r="Q166" s="48"/>
      <c r="R166" s="48"/>
      <c r="S166" s="48"/>
      <c r="T166" s="48"/>
    </row>
    <row r="167" spans="1:20" s="2" customFormat="1" ht="15.75" x14ac:dyDescent="0.3">
      <c r="A167" s="11">
        <f>A160+1</f>
        <v>6</v>
      </c>
      <c r="B167" s="70" t="s">
        <v>174</v>
      </c>
      <c r="C167" s="71"/>
      <c r="D167" s="71"/>
      <c r="E167" s="71"/>
      <c r="F167" s="71"/>
      <c r="G167" s="71"/>
      <c r="H167" s="71"/>
      <c r="I167" s="71"/>
      <c r="J167" s="71"/>
      <c r="K167" s="71"/>
      <c r="L167" s="71"/>
      <c r="M167" s="71"/>
      <c r="N167" s="71"/>
      <c r="O167" s="71"/>
      <c r="P167" s="71"/>
      <c r="Q167" s="71"/>
      <c r="R167" s="71"/>
      <c r="S167" s="71"/>
      <c r="T167" s="72"/>
    </row>
    <row r="168" spans="1:20" s="2" customFormat="1" x14ac:dyDescent="0.3">
      <c r="A168" s="7">
        <v>1</v>
      </c>
      <c r="B168" s="51" t="s">
        <v>213</v>
      </c>
      <c r="C168" s="52"/>
      <c r="D168" s="52"/>
      <c r="E168" s="52"/>
      <c r="F168" s="52"/>
      <c r="G168" s="52"/>
      <c r="H168" s="52"/>
      <c r="I168" s="52"/>
      <c r="J168" s="52"/>
      <c r="K168" s="52"/>
      <c r="L168" s="52"/>
      <c r="M168" s="52"/>
      <c r="N168" s="52"/>
      <c r="O168" s="52"/>
      <c r="P168" s="52"/>
      <c r="Q168" s="52"/>
      <c r="R168" s="52"/>
      <c r="S168" s="52"/>
      <c r="T168" s="53"/>
    </row>
    <row r="169" spans="1:20" s="2" customFormat="1" x14ac:dyDescent="0.3">
      <c r="A169" s="7">
        <v>2</v>
      </c>
      <c r="B169" s="51" t="s">
        <v>219</v>
      </c>
      <c r="C169" s="52"/>
      <c r="D169" s="52"/>
      <c r="E169" s="52"/>
      <c r="F169" s="52"/>
      <c r="G169" s="52"/>
      <c r="H169" s="52"/>
      <c r="I169" s="52"/>
      <c r="J169" s="52"/>
      <c r="K169" s="52"/>
      <c r="L169" s="52"/>
      <c r="M169" s="52"/>
      <c r="N169" s="52"/>
      <c r="O169" s="52"/>
      <c r="P169" s="52"/>
      <c r="Q169" s="52"/>
      <c r="R169" s="52"/>
      <c r="S169" s="52"/>
      <c r="T169" s="53"/>
    </row>
    <row r="170" spans="1:20" s="2" customFormat="1" x14ac:dyDescent="0.3">
      <c r="A170" s="7">
        <v>3</v>
      </c>
      <c r="B170" s="51" t="s">
        <v>214</v>
      </c>
      <c r="C170" s="52"/>
      <c r="D170" s="52"/>
      <c r="E170" s="52"/>
      <c r="F170" s="52"/>
      <c r="G170" s="52"/>
      <c r="H170" s="52"/>
      <c r="I170" s="52"/>
      <c r="J170" s="52"/>
      <c r="K170" s="52"/>
      <c r="L170" s="52"/>
      <c r="M170" s="52"/>
      <c r="N170" s="52"/>
      <c r="O170" s="52"/>
      <c r="P170" s="52"/>
      <c r="Q170" s="52"/>
      <c r="R170" s="52"/>
      <c r="S170" s="52"/>
      <c r="T170" s="53"/>
    </row>
    <row r="171" spans="1:20" s="2" customFormat="1" x14ac:dyDescent="0.3">
      <c r="A171" s="7">
        <v>4</v>
      </c>
      <c r="B171" s="51" t="s">
        <v>215</v>
      </c>
      <c r="C171" s="52"/>
      <c r="D171" s="52"/>
      <c r="E171" s="52"/>
      <c r="F171" s="52"/>
      <c r="G171" s="52"/>
      <c r="H171" s="52"/>
      <c r="I171" s="52"/>
      <c r="J171" s="52"/>
      <c r="K171" s="52"/>
      <c r="L171" s="52"/>
      <c r="M171" s="52"/>
      <c r="N171" s="52"/>
      <c r="O171" s="52"/>
      <c r="P171" s="52"/>
      <c r="Q171" s="52"/>
      <c r="R171" s="52"/>
      <c r="S171" s="52"/>
      <c r="T171" s="53"/>
    </row>
    <row r="172" spans="1:20" s="2" customFormat="1" x14ac:dyDescent="0.3">
      <c r="A172" s="7">
        <v>5</v>
      </c>
      <c r="B172" s="51" t="s">
        <v>218</v>
      </c>
      <c r="C172" s="52"/>
      <c r="D172" s="52"/>
      <c r="E172" s="52"/>
      <c r="F172" s="52"/>
      <c r="G172" s="52"/>
      <c r="H172" s="52"/>
      <c r="I172" s="52"/>
      <c r="J172" s="52"/>
      <c r="K172" s="52"/>
      <c r="L172" s="52"/>
      <c r="M172" s="52"/>
      <c r="N172" s="52"/>
      <c r="O172" s="52"/>
      <c r="P172" s="52"/>
      <c r="Q172" s="52"/>
      <c r="R172" s="52"/>
      <c r="S172" s="52"/>
      <c r="T172" s="53"/>
    </row>
    <row r="173" spans="1:20" s="2" customFormat="1" x14ac:dyDescent="0.3">
      <c r="A173" s="7">
        <v>6</v>
      </c>
      <c r="B173" s="51" t="s">
        <v>220</v>
      </c>
      <c r="C173" s="52"/>
      <c r="D173" s="52"/>
      <c r="E173" s="52"/>
      <c r="F173" s="52"/>
      <c r="G173" s="52"/>
      <c r="H173" s="52"/>
      <c r="I173" s="52"/>
      <c r="J173" s="52"/>
      <c r="K173" s="52"/>
      <c r="L173" s="52"/>
      <c r="M173" s="52"/>
      <c r="N173" s="52"/>
      <c r="O173" s="52"/>
      <c r="P173" s="52"/>
      <c r="Q173" s="52"/>
      <c r="R173" s="52"/>
      <c r="S173" s="52"/>
      <c r="T173" s="53"/>
    </row>
    <row r="174" spans="1:20" s="2" customFormat="1" x14ac:dyDescent="0.3">
      <c r="A174" s="36">
        <v>7</v>
      </c>
      <c r="B174" s="103" t="s">
        <v>216</v>
      </c>
      <c r="C174" s="104"/>
      <c r="D174" s="104"/>
      <c r="E174" s="104"/>
      <c r="F174" s="104"/>
      <c r="G174" s="104"/>
      <c r="H174" s="104"/>
      <c r="I174" s="104"/>
      <c r="J174" s="104"/>
      <c r="K174" s="104"/>
      <c r="L174" s="104"/>
      <c r="M174" s="104"/>
      <c r="N174" s="104"/>
      <c r="O174" s="104"/>
      <c r="P174" s="104"/>
      <c r="Q174" s="104"/>
      <c r="R174" s="104"/>
      <c r="S174" s="104"/>
      <c r="T174" s="105"/>
    </row>
    <row r="175" spans="1:20" s="2" customFormat="1" x14ac:dyDescent="0.3">
      <c r="A175" s="36">
        <v>8</v>
      </c>
      <c r="B175" s="103" t="s">
        <v>217</v>
      </c>
      <c r="C175" s="104"/>
      <c r="D175" s="104"/>
      <c r="E175" s="104"/>
      <c r="F175" s="104"/>
      <c r="G175" s="104"/>
      <c r="H175" s="104"/>
      <c r="I175" s="104"/>
      <c r="J175" s="104"/>
      <c r="K175" s="104"/>
      <c r="L175" s="104"/>
      <c r="M175" s="104"/>
      <c r="N175" s="104"/>
      <c r="O175" s="104"/>
      <c r="P175" s="104"/>
      <c r="Q175" s="104"/>
      <c r="R175" s="104"/>
      <c r="S175" s="104"/>
      <c r="T175" s="105"/>
    </row>
    <row r="176" spans="1:20" s="2" customFormat="1" x14ac:dyDescent="0.3">
      <c r="A176" s="4"/>
      <c r="B176" s="48"/>
      <c r="C176" s="48"/>
      <c r="D176" s="48"/>
      <c r="E176" s="48"/>
      <c r="F176" s="48"/>
      <c r="G176" s="48"/>
      <c r="H176" s="48"/>
      <c r="I176" s="48"/>
      <c r="J176" s="48"/>
      <c r="K176" s="48"/>
      <c r="L176" s="48"/>
      <c r="M176" s="48"/>
      <c r="N176" s="48"/>
      <c r="O176" s="48"/>
      <c r="P176" s="48"/>
      <c r="Q176" s="48"/>
      <c r="R176" s="48"/>
      <c r="S176" s="48"/>
      <c r="T176" s="48"/>
    </row>
    <row r="177" spans="1:20" s="2" customFormat="1" x14ac:dyDescent="0.3">
      <c r="A177" s="4"/>
      <c r="B177" s="48"/>
      <c r="C177" s="48"/>
      <c r="D177" s="48"/>
      <c r="E177" s="48"/>
      <c r="F177" s="48"/>
      <c r="G177" s="48"/>
      <c r="H177" s="48"/>
      <c r="I177" s="48"/>
      <c r="J177" s="48"/>
      <c r="K177" s="48"/>
      <c r="L177" s="48"/>
      <c r="M177" s="48"/>
      <c r="N177" s="48"/>
      <c r="O177" s="48"/>
      <c r="P177" s="48"/>
      <c r="Q177" s="48"/>
      <c r="R177" s="48"/>
      <c r="S177" s="48"/>
      <c r="T177" s="48"/>
    </row>
    <row r="178" spans="1:20" s="2" customFormat="1" ht="15.75" x14ac:dyDescent="0.3">
      <c r="A178" s="8">
        <f>A167+1</f>
        <v>7</v>
      </c>
      <c r="B178" s="84" t="s">
        <v>122</v>
      </c>
      <c r="C178" s="84"/>
      <c r="D178" s="84"/>
      <c r="E178" s="84"/>
      <c r="F178" s="84"/>
      <c r="G178" s="84"/>
      <c r="H178" s="84"/>
      <c r="I178" s="84"/>
      <c r="J178" s="84"/>
      <c r="K178" s="84"/>
      <c r="L178" s="84"/>
      <c r="M178" s="84"/>
      <c r="N178" s="84"/>
      <c r="O178" s="84"/>
      <c r="P178" s="84"/>
      <c r="Q178" s="84"/>
      <c r="R178" s="84"/>
      <c r="S178" s="84"/>
      <c r="T178" s="84"/>
    </row>
    <row r="179" spans="1:20" s="2" customFormat="1" ht="25.55" customHeight="1" x14ac:dyDescent="0.3">
      <c r="A179" s="6" t="s">
        <v>6</v>
      </c>
      <c r="B179" s="55" t="s">
        <v>223</v>
      </c>
      <c r="C179" s="55"/>
      <c r="D179" s="55"/>
      <c r="E179" s="55"/>
      <c r="F179" s="55"/>
      <c r="G179" s="55"/>
      <c r="H179" s="55"/>
      <c r="I179" s="55"/>
      <c r="J179" s="55"/>
      <c r="K179" s="55"/>
      <c r="L179" s="55"/>
      <c r="M179" s="55"/>
      <c r="N179" s="55"/>
      <c r="O179" s="55"/>
      <c r="P179" s="55"/>
      <c r="Q179" s="55"/>
      <c r="R179" s="55"/>
      <c r="S179" s="55"/>
      <c r="T179" s="55"/>
    </row>
    <row r="180" spans="1:20" s="2" customFormat="1" ht="25.55" customHeight="1" x14ac:dyDescent="0.3">
      <c r="A180" s="35" t="s">
        <v>7</v>
      </c>
      <c r="B180" s="55" t="s">
        <v>127</v>
      </c>
      <c r="C180" s="55"/>
      <c r="D180" s="55"/>
      <c r="E180" s="55"/>
      <c r="F180" s="55"/>
      <c r="G180" s="55"/>
      <c r="H180" s="55"/>
      <c r="I180" s="55"/>
      <c r="J180" s="55"/>
      <c r="K180" s="55"/>
      <c r="L180" s="55"/>
      <c r="M180" s="55"/>
      <c r="N180" s="55"/>
      <c r="O180" s="55"/>
      <c r="P180" s="55"/>
      <c r="Q180" s="55"/>
      <c r="R180" s="55"/>
      <c r="S180" s="55"/>
      <c r="T180" s="55"/>
    </row>
    <row r="181" spans="1:20" s="2" customFormat="1" ht="25.55" customHeight="1" x14ac:dyDescent="0.3">
      <c r="A181" s="35" t="s">
        <v>12</v>
      </c>
      <c r="B181" s="55" t="s">
        <v>143</v>
      </c>
      <c r="C181" s="55"/>
      <c r="D181" s="55"/>
      <c r="E181" s="55"/>
      <c r="F181" s="55"/>
      <c r="G181" s="55"/>
      <c r="H181" s="55"/>
      <c r="I181" s="55"/>
      <c r="J181" s="55"/>
      <c r="K181" s="55"/>
      <c r="L181" s="55"/>
      <c r="M181" s="55"/>
      <c r="N181" s="55"/>
      <c r="O181" s="55"/>
      <c r="P181" s="55"/>
      <c r="Q181" s="55"/>
      <c r="R181" s="55"/>
      <c r="S181" s="55"/>
      <c r="T181" s="55"/>
    </row>
    <row r="182" spans="1:20" s="2" customFormat="1" ht="25.55" customHeight="1" x14ac:dyDescent="0.3">
      <c r="A182" s="6" t="s">
        <v>14</v>
      </c>
      <c r="B182" s="55" t="s">
        <v>128</v>
      </c>
      <c r="C182" s="55"/>
      <c r="D182" s="55"/>
      <c r="E182" s="55"/>
      <c r="F182" s="55"/>
      <c r="G182" s="55"/>
      <c r="H182" s="55"/>
      <c r="I182" s="55"/>
      <c r="J182" s="55"/>
      <c r="K182" s="55"/>
      <c r="L182" s="55"/>
      <c r="M182" s="55"/>
      <c r="N182" s="55"/>
      <c r="O182" s="55"/>
      <c r="P182" s="55"/>
      <c r="Q182" s="55"/>
      <c r="R182" s="55"/>
      <c r="S182" s="55"/>
      <c r="T182" s="55"/>
    </row>
    <row r="183" spans="1:20" s="2" customFormat="1" ht="25.55" customHeight="1" x14ac:dyDescent="0.3">
      <c r="A183" s="6" t="s">
        <v>79</v>
      </c>
      <c r="B183" s="55" t="s">
        <v>129</v>
      </c>
      <c r="C183" s="55"/>
      <c r="D183" s="55"/>
      <c r="E183" s="55"/>
      <c r="F183" s="55"/>
      <c r="G183" s="55"/>
      <c r="H183" s="55"/>
      <c r="I183" s="55"/>
      <c r="J183" s="55"/>
      <c r="K183" s="55"/>
      <c r="L183" s="55"/>
      <c r="M183" s="55"/>
      <c r="N183" s="55"/>
      <c r="O183" s="55"/>
      <c r="P183" s="55"/>
      <c r="Q183" s="55"/>
      <c r="R183" s="55"/>
      <c r="S183" s="55"/>
      <c r="T183" s="55"/>
    </row>
    <row r="184" spans="1:20" s="2" customFormat="1" ht="25.55" customHeight="1" x14ac:dyDescent="0.3">
      <c r="A184" s="6" t="s">
        <v>81</v>
      </c>
      <c r="B184" s="55" t="s">
        <v>142</v>
      </c>
      <c r="C184" s="55"/>
      <c r="D184" s="55"/>
      <c r="E184" s="55"/>
      <c r="F184" s="55"/>
      <c r="G184" s="55"/>
      <c r="H184" s="55"/>
      <c r="I184" s="55"/>
      <c r="J184" s="55"/>
      <c r="K184" s="55"/>
      <c r="L184" s="55"/>
      <c r="M184" s="55"/>
      <c r="N184" s="55"/>
      <c r="O184" s="55"/>
      <c r="P184" s="55"/>
      <c r="Q184" s="55"/>
      <c r="R184" s="55"/>
      <c r="S184" s="55"/>
      <c r="T184" s="55"/>
    </row>
    <row r="185" spans="1:20" s="2" customFormat="1" ht="25.55" customHeight="1" x14ac:dyDescent="0.3">
      <c r="A185" s="6" t="s">
        <v>82</v>
      </c>
      <c r="B185" s="57" t="s">
        <v>131</v>
      </c>
      <c r="C185" s="55"/>
      <c r="D185" s="55"/>
      <c r="E185" s="55"/>
      <c r="F185" s="55"/>
      <c r="G185" s="55"/>
      <c r="H185" s="55"/>
      <c r="I185" s="55"/>
      <c r="J185" s="55"/>
      <c r="K185" s="55"/>
      <c r="L185" s="55"/>
      <c r="M185" s="55"/>
      <c r="N185" s="55"/>
      <c r="O185" s="55"/>
      <c r="P185" s="55"/>
      <c r="Q185" s="55"/>
      <c r="R185" s="55"/>
      <c r="S185" s="55"/>
      <c r="T185" s="55"/>
    </row>
    <row r="186" spans="1:20" s="2" customFormat="1" ht="25.55" customHeight="1" x14ac:dyDescent="0.3">
      <c r="A186" s="6" t="s">
        <v>83</v>
      </c>
      <c r="B186" s="57" t="s">
        <v>134</v>
      </c>
      <c r="C186" s="55"/>
      <c r="D186" s="55"/>
      <c r="E186" s="55"/>
      <c r="F186" s="55"/>
      <c r="G186" s="55"/>
      <c r="H186" s="55"/>
      <c r="I186" s="55"/>
      <c r="J186" s="55"/>
      <c r="K186" s="55"/>
      <c r="L186" s="55"/>
      <c r="M186" s="55"/>
      <c r="N186" s="55"/>
      <c r="O186" s="55"/>
      <c r="P186" s="55"/>
      <c r="Q186" s="55"/>
      <c r="R186" s="55"/>
      <c r="S186" s="55"/>
      <c r="T186" s="55"/>
    </row>
    <row r="187" spans="1:20" s="2" customFormat="1" ht="25.55" customHeight="1" x14ac:dyDescent="0.3">
      <c r="A187" s="6" t="s">
        <v>130</v>
      </c>
      <c r="B187" s="57" t="s">
        <v>132</v>
      </c>
      <c r="C187" s="55"/>
      <c r="D187" s="55"/>
      <c r="E187" s="55"/>
      <c r="F187" s="55"/>
      <c r="G187" s="55"/>
      <c r="H187" s="55"/>
      <c r="I187" s="55"/>
      <c r="J187" s="55"/>
      <c r="K187" s="55"/>
      <c r="L187" s="55"/>
      <c r="M187" s="55"/>
      <c r="N187" s="55"/>
      <c r="O187" s="55"/>
      <c r="P187" s="55"/>
      <c r="Q187" s="55"/>
      <c r="R187" s="55"/>
      <c r="S187" s="55"/>
      <c r="T187" s="55"/>
    </row>
    <row r="188" spans="1:20" s="2" customFormat="1" ht="25.55" customHeight="1" x14ac:dyDescent="0.3">
      <c r="A188" s="6" t="s">
        <v>133</v>
      </c>
      <c r="B188" s="57" t="s">
        <v>139</v>
      </c>
      <c r="C188" s="55"/>
      <c r="D188" s="55"/>
      <c r="E188" s="55"/>
      <c r="F188" s="55"/>
      <c r="G188" s="55"/>
      <c r="H188" s="55"/>
      <c r="I188" s="55"/>
      <c r="J188" s="55"/>
      <c r="K188" s="55"/>
      <c r="L188" s="55"/>
      <c r="M188" s="55"/>
      <c r="N188" s="55"/>
      <c r="O188" s="55"/>
      <c r="P188" s="55"/>
      <c r="Q188" s="55"/>
      <c r="R188" s="55"/>
      <c r="S188" s="55"/>
      <c r="T188" s="55"/>
    </row>
    <row r="189" spans="1:20" s="2" customFormat="1" ht="25.55" customHeight="1" x14ac:dyDescent="0.3">
      <c r="A189" s="6" t="s">
        <v>135</v>
      </c>
      <c r="B189" s="57" t="s">
        <v>138</v>
      </c>
      <c r="C189" s="55"/>
      <c r="D189" s="55"/>
      <c r="E189" s="55"/>
      <c r="F189" s="55"/>
      <c r="G189" s="55"/>
      <c r="H189" s="55"/>
      <c r="I189" s="55"/>
      <c r="J189" s="55"/>
      <c r="K189" s="55"/>
      <c r="L189" s="55"/>
      <c r="M189" s="55"/>
      <c r="N189" s="55"/>
      <c r="O189" s="55"/>
      <c r="P189" s="55"/>
      <c r="Q189" s="55"/>
      <c r="R189" s="55"/>
      <c r="S189" s="55"/>
      <c r="T189" s="55"/>
    </row>
    <row r="190" spans="1:20" s="2" customFormat="1" ht="25.55" customHeight="1" x14ac:dyDescent="0.3">
      <c r="A190" s="6" t="s">
        <v>136</v>
      </c>
      <c r="B190" s="57" t="s">
        <v>137</v>
      </c>
      <c r="C190" s="55"/>
      <c r="D190" s="55"/>
      <c r="E190" s="55"/>
      <c r="F190" s="55"/>
      <c r="G190" s="55"/>
      <c r="H190" s="55"/>
      <c r="I190" s="55"/>
      <c r="J190" s="55"/>
      <c r="K190" s="55"/>
      <c r="L190" s="55"/>
      <c r="M190" s="55"/>
      <c r="N190" s="55"/>
      <c r="O190" s="55"/>
      <c r="P190" s="55"/>
      <c r="Q190" s="55"/>
      <c r="R190" s="55"/>
      <c r="S190" s="55"/>
      <c r="T190" s="55"/>
    </row>
    <row r="191" spans="1:20" s="2" customFormat="1" x14ac:dyDescent="0.3">
      <c r="A191" s="5"/>
      <c r="B191" s="48"/>
      <c r="C191" s="48"/>
      <c r="D191" s="48"/>
      <c r="E191" s="48"/>
      <c r="F191" s="48"/>
      <c r="G191" s="48"/>
      <c r="H191" s="48"/>
      <c r="I191" s="48"/>
      <c r="J191" s="48"/>
      <c r="K191" s="48"/>
      <c r="L191" s="48"/>
      <c r="M191" s="48"/>
      <c r="N191" s="48"/>
      <c r="O191" s="48"/>
      <c r="P191" s="48"/>
      <c r="Q191" s="48"/>
      <c r="R191" s="48"/>
      <c r="S191" s="48"/>
      <c r="T191" s="48"/>
    </row>
    <row r="192" spans="1:20" s="2" customFormat="1" x14ac:dyDescent="0.3">
      <c r="A192" s="5"/>
      <c r="B192" s="48"/>
      <c r="C192" s="48"/>
      <c r="D192" s="48"/>
      <c r="E192" s="48"/>
      <c r="F192" s="48"/>
      <c r="G192" s="48"/>
      <c r="H192" s="48"/>
      <c r="I192" s="48"/>
      <c r="J192" s="48"/>
      <c r="K192" s="48"/>
      <c r="L192" s="48"/>
      <c r="M192" s="48"/>
      <c r="N192" s="48"/>
      <c r="O192" s="48"/>
      <c r="P192" s="48"/>
      <c r="Q192" s="48"/>
      <c r="R192" s="48"/>
      <c r="S192" s="48"/>
      <c r="T192" s="48"/>
    </row>
    <row r="193" spans="1:20" s="2" customFormat="1" ht="15.75" x14ac:dyDescent="0.3">
      <c r="A193" s="11">
        <f>A178+1</f>
        <v>8</v>
      </c>
      <c r="B193" s="88" t="s">
        <v>120</v>
      </c>
      <c r="C193" s="88"/>
      <c r="D193" s="88"/>
      <c r="E193" s="88"/>
      <c r="F193" s="88"/>
      <c r="G193" s="88"/>
      <c r="H193" s="88"/>
      <c r="I193" s="88"/>
      <c r="J193" s="88"/>
      <c r="K193" s="88"/>
      <c r="L193" s="88"/>
      <c r="M193" s="88"/>
      <c r="N193" s="88"/>
      <c r="O193" s="88"/>
      <c r="P193" s="88"/>
      <c r="Q193" s="88"/>
      <c r="R193" s="88"/>
      <c r="S193" s="88"/>
      <c r="T193" s="88"/>
    </row>
    <row r="194" spans="1:20" s="2" customFormat="1" ht="38.950000000000003" customHeight="1" x14ac:dyDescent="0.3">
      <c r="A194" s="6" t="s">
        <v>6</v>
      </c>
      <c r="B194" s="55" t="s">
        <v>87</v>
      </c>
      <c r="C194" s="55"/>
      <c r="D194" s="55"/>
      <c r="E194" s="55"/>
      <c r="F194" s="55"/>
      <c r="G194" s="55"/>
      <c r="H194" s="55"/>
      <c r="I194" s="55"/>
      <c r="J194" s="55"/>
      <c r="K194" s="55"/>
      <c r="L194" s="55"/>
      <c r="M194" s="55"/>
      <c r="N194" s="55"/>
      <c r="O194" s="55"/>
      <c r="P194" s="55"/>
      <c r="Q194" s="55"/>
      <c r="R194" s="55"/>
      <c r="S194" s="55"/>
      <c r="T194" s="55"/>
    </row>
    <row r="195" spans="1:20" s="2" customFormat="1" ht="38.950000000000003" customHeight="1" x14ac:dyDescent="0.3">
      <c r="A195" s="6" t="s">
        <v>7</v>
      </c>
      <c r="B195" s="55" t="s">
        <v>86</v>
      </c>
      <c r="C195" s="55"/>
      <c r="D195" s="55"/>
      <c r="E195" s="55"/>
      <c r="F195" s="55"/>
      <c r="G195" s="55"/>
      <c r="H195" s="55"/>
      <c r="I195" s="55"/>
      <c r="J195" s="55"/>
      <c r="K195" s="55"/>
      <c r="L195" s="55"/>
      <c r="M195" s="55"/>
      <c r="N195" s="55"/>
      <c r="O195" s="55"/>
      <c r="P195" s="55"/>
      <c r="Q195" s="55"/>
      <c r="R195" s="55"/>
      <c r="S195" s="55"/>
      <c r="T195" s="55"/>
    </row>
    <row r="196" spans="1:20" s="2" customFormat="1" ht="102.8" customHeight="1" x14ac:dyDescent="0.3">
      <c r="A196" s="6" t="s">
        <v>12</v>
      </c>
      <c r="B196" s="55" t="s">
        <v>89</v>
      </c>
      <c r="C196" s="55"/>
      <c r="D196" s="55"/>
      <c r="E196" s="55"/>
      <c r="F196" s="55"/>
      <c r="G196" s="55"/>
      <c r="H196" s="55"/>
      <c r="I196" s="55"/>
      <c r="J196" s="55"/>
      <c r="K196" s="55"/>
      <c r="L196" s="55"/>
      <c r="M196" s="55"/>
      <c r="N196" s="55"/>
      <c r="O196" s="55"/>
      <c r="P196" s="55"/>
      <c r="Q196" s="55"/>
      <c r="R196" s="55"/>
      <c r="S196" s="55"/>
      <c r="T196" s="55"/>
    </row>
    <row r="197" spans="1:20" s="2" customFormat="1" ht="78.05" customHeight="1" x14ac:dyDescent="0.3">
      <c r="A197" s="35" t="s">
        <v>14</v>
      </c>
      <c r="B197" s="55" t="s">
        <v>90</v>
      </c>
      <c r="C197" s="55"/>
      <c r="D197" s="55"/>
      <c r="E197" s="55"/>
      <c r="F197" s="55"/>
      <c r="G197" s="55"/>
      <c r="H197" s="55"/>
      <c r="I197" s="55"/>
      <c r="J197" s="55"/>
      <c r="K197" s="55"/>
      <c r="L197" s="55"/>
      <c r="M197" s="55"/>
      <c r="N197" s="55"/>
      <c r="O197" s="55"/>
      <c r="P197" s="55"/>
      <c r="Q197" s="55"/>
      <c r="R197" s="55"/>
      <c r="S197" s="55"/>
      <c r="T197" s="55"/>
    </row>
    <row r="198" spans="1:20" s="2" customFormat="1" ht="53.2" customHeight="1" x14ac:dyDescent="0.3">
      <c r="A198" s="35" t="s">
        <v>79</v>
      </c>
      <c r="B198" s="55" t="s">
        <v>80</v>
      </c>
      <c r="C198" s="55"/>
      <c r="D198" s="55"/>
      <c r="E198" s="55"/>
      <c r="F198" s="55"/>
      <c r="G198" s="55"/>
      <c r="H198" s="55"/>
      <c r="I198" s="55"/>
      <c r="J198" s="55"/>
      <c r="K198" s="55"/>
      <c r="L198" s="55"/>
      <c r="M198" s="55"/>
      <c r="N198" s="55"/>
      <c r="O198" s="55"/>
      <c r="P198" s="55"/>
      <c r="Q198" s="55"/>
      <c r="R198" s="55"/>
      <c r="S198" s="55"/>
      <c r="T198" s="55"/>
    </row>
    <row r="199" spans="1:20" s="2" customFormat="1" ht="27.85" customHeight="1" x14ac:dyDescent="0.3">
      <c r="A199" s="35" t="s">
        <v>81</v>
      </c>
      <c r="B199" s="55" t="s">
        <v>125</v>
      </c>
      <c r="C199" s="55"/>
      <c r="D199" s="55"/>
      <c r="E199" s="55"/>
      <c r="F199" s="55"/>
      <c r="G199" s="55"/>
      <c r="H199" s="55"/>
      <c r="I199" s="55"/>
      <c r="J199" s="55"/>
      <c r="K199" s="55"/>
      <c r="L199" s="55"/>
      <c r="M199" s="55"/>
      <c r="N199" s="55"/>
      <c r="O199" s="55"/>
      <c r="P199" s="55"/>
      <c r="Q199" s="55"/>
      <c r="R199" s="55"/>
      <c r="S199" s="55"/>
      <c r="T199" s="55"/>
    </row>
    <row r="200" spans="1:20" s="2" customFormat="1" ht="129.80000000000001" customHeight="1" x14ac:dyDescent="0.3">
      <c r="A200" s="35" t="s">
        <v>82</v>
      </c>
      <c r="B200" s="55" t="s">
        <v>84</v>
      </c>
      <c r="C200" s="55"/>
      <c r="D200" s="55"/>
      <c r="E200" s="55"/>
      <c r="F200" s="55"/>
      <c r="G200" s="55"/>
      <c r="H200" s="55"/>
      <c r="I200" s="55"/>
      <c r="J200" s="55"/>
      <c r="K200" s="55"/>
      <c r="L200" s="55"/>
      <c r="M200" s="55"/>
      <c r="N200" s="55"/>
      <c r="O200" s="55"/>
      <c r="P200" s="55"/>
      <c r="Q200" s="55"/>
      <c r="R200" s="55"/>
      <c r="S200" s="55"/>
      <c r="T200" s="55"/>
    </row>
    <row r="201" spans="1:20" s="2" customFormat="1" ht="24.05" customHeight="1" x14ac:dyDescent="0.3">
      <c r="A201" s="6" t="s">
        <v>83</v>
      </c>
      <c r="B201" s="55" t="s">
        <v>85</v>
      </c>
      <c r="C201" s="55"/>
      <c r="D201" s="55"/>
      <c r="E201" s="55"/>
      <c r="F201" s="55"/>
      <c r="G201" s="55"/>
      <c r="H201" s="55"/>
      <c r="I201" s="55"/>
      <c r="J201" s="55"/>
      <c r="K201" s="55"/>
      <c r="L201" s="55"/>
      <c r="M201" s="55"/>
      <c r="N201" s="55"/>
      <c r="O201" s="55"/>
      <c r="P201" s="55"/>
      <c r="Q201" s="55"/>
      <c r="R201" s="55"/>
      <c r="S201" s="55"/>
      <c r="T201" s="55"/>
    </row>
    <row r="202" spans="1:20" s="2" customFormat="1" ht="26.2" customHeight="1" x14ac:dyDescent="0.3">
      <c r="A202" s="6" t="s">
        <v>130</v>
      </c>
      <c r="B202" s="55" t="s">
        <v>92</v>
      </c>
      <c r="C202" s="55"/>
      <c r="D202" s="55"/>
      <c r="E202" s="55"/>
      <c r="F202" s="55"/>
      <c r="G202" s="55"/>
      <c r="H202" s="55"/>
      <c r="I202" s="55"/>
      <c r="J202" s="55"/>
      <c r="K202" s="55"/>
      <c r="L202" s="55"/>
      <c r="M202" s="55"/>
      <c r="N202" s="55"/>
      <c r="O202" s="55"/>
      <c r="P202" s="55"/>
      <c r="Q202" s="55"/>
      <c r="R202" s="55"/>
      <c r="S202" s="55"/>
      <c r="T202" s="55"/>
    </row>
    <row r="203" spans="1:20" s="2" customFormat="1" ht="40.6" customHeight="1" x14ac:dyDescent="0.3">
      <c r="A203" s="6" t="s">
        <v>133</v>
      </c>
      <c r="B203" s="55" t="s">
        <v>93</v>
      </c>
      <c r="C203" s="55"/>
      <c r="D203" s="55"/>
      <c r="E203" s="55"/>
      <c r="F203" s="55"/>
      <c r="G203" s="55"/>
      <c r="H203" s="55"/>
      <c r="I203" s="55"/>
      <c r="J203" s="55"/>
      <c r="K203" s="55"/>
      <c r="L203" s="55"/>
      <c r="M203" s="55"/>
      <c r="N203" s="55"/>
      <c r="O203" s="55"/>
      <c r="P203" s="55"/>
      <c r="Q203" s="55"/>
      <c r="R203" s="55"/>
      <c r="S203" s="55"/>
      <c r="T203" s="55"/>
    </row>
    <row r="204" spans="1:20" s="2" customFormat="1" x14ac:dyDescent="0.3">
      <c r="A204" s="4"/>
      <c r="B204" s="48"/>
      <c r="C204" s="48"/>
      <c r="D204" s="48"/>
      <c r="E204" s="48"/>
      <c r="F204" s="48"/>
      <c r="G204" s="48"/>
      <c r="H204" s="48"/>
      <c r="I204" s="48"/>
      <c r="J204" s="48"/>
      <c r="K204" s="48"/>
      <c r="L204" s="48"/>
      <c r="M204" s="48"/>
      <c r="N204" s="48"/>
      <c r="O204" s="48"/>
      <c r="P204" s="48"/>
      <c r="Q204" s="48"/>
      <c r="R204" s="48"/>
      <c r="S204" s="48"/>
      <c r="T204" s="48"/>
    </row>
    <row r="205" spans="1:20" s="2" customFormat="1" x14ac:dyDescent="0.3">
      <c r="A205" s="3"/>
      <c r="B205" s="48"/>
      <c r="C205" s="48"/>
      <c r="D205" s="48"/>
      <c r="E205" s="48"/>
      <c r="F205" s="48"/>
      <c r="G205" s="48"/>
      <c r="H205" s="48"/>
      <c r="I205" s="48"/>
      <c r="J205" s="48"/>
      <c r="K205" s="48"/>
      <c r="L205" s="48"/>
      <c r="M205" s="48"/>
      <c r="N205" s="48"/>
      <c r="O205" s="48"/>
      <c r="P205" s="48"/>
      <c r="Q205" s="48"/>
      <c r="R205" s="48"/>
      <c r="S205" s="48"/>
      <c r="T205" s="48"/>
    </row>
    <row r="206" spans="1:20" s="2" customFormat="1" ht="15.75" x14ac:dyDescent="0.3">
      <c r="A206" s="8">
        <f>A193+1</f>
        <v>9</v>
      </c>
      <c r="B206" s="84" t="s">
        <v>123</v>
      </c>
      <c r="C206" s="84"/>
      <c r="D206" s="84"/>
      <c r="E206" s="84"/>
      <c r="F206" s="84"/>
      <c r="G206" s="84"/>
      <c r="H206" s="84"/>
      <c r="I206" s="84"/>
      <c r="J206" s="84"/>
      <c r="K206" s="84"/>
      <c r="L206" s="84"/>
      <c r="M206" s="84"/>
      <c r="N206" s="84"/>
      <c r="O206" s="84"/>
      <c r="P206" s="84"/>
      <c r="Q206" s="84"/>
      <c r="R206" s="84"/>
      <c r="S206" s="84"/>
      <c r="T206" s="84"/>
    </row>
    <row r="207" spans="1:20" s="2" customFormat="1" ht="25.55" customHeight="1" x14ac:dyDescent="0.3">
      <c r="A207" s="6" t="s">
        <v>6</v>
      </c>
      <c r="B207" s="57" t="s">
        <v>222</v>
      </c>
      <c r="C207" s="57"/>
      <c r="D207" s="57"/>
      <c r="E207" s="57"/>
      <c r="F207" s="57"/>
      <c r="G207" s="57"/>
      <c r="H207" s="57"/>
      <c r="I207" s="57"/>
      <c r="J207" s="57"/>
      <c r="K207" s="57"/>
      <c r="L207" s="57"/>
      <c r="M207" s="57"/>
      <c r="N207" s="57"/>
      <c r="O207" s="57"/>
      <c r="P207" s="57"/>
      <c r="Q207" s="57"/>
      <c r="R207" s="57"/>
      <c r="S207" s="57"/>
      <c r="T207" s="57"/>
    </row>
    <row r="208" spans="1:20" s="2" customFormat="1" ht="25.55" customHeight="1" x14ac:dyDescent="0.3">
      <c r="A208" s="35" t="s">
        <v>7</v>
      </c>
      <c r="B208" s="57" t="s">
        <v>140</v>
      </c>
      <c r="C208" s="57"/>
      <c r="D208" s="57"/>
      <c r="E208" s="57"/>
      <c r="F208" s="57"/>
      <c r="G208" s="57"/>
      <c r="H208" s="57"/>
      <c r="I208" s="57"/>
      <c r="J208" s="57"/>
      <c r="K208" s="57"/>
      <c r="L208" s="57"/>
      <c r="M208" s="57"/>
      <c r="N208" s="57"/>
      <c r="O208" s="57"/>
      <c r="P208" s="57"/>
      <c r="Q208" s="57"/>
      <c r="R208" s="57"/>
      <c r="S208" s="57"/>
      <c r="T208" s="57"/>
    </row>
    <row r="209" spans="1:20" s="2" customFormat="1" ht="25.55" customHeight="1" x14ac:dyDescent="0.3">
      <c r="A209" s="35" t="s">
        <v>12</v>
      </c>
      <c r="B209" s="57" t="s">
        <v>141</v>
      </c>
      <c r="C209" s="57"/>
      <c r="D209" s="57"/>
      <c r="E209" s="57"/>
      <c r="F209" s="57"/>
      <c r="G209" s="57"/>
      <c r="H209" s="57"/>
      <c r="I209" s="57"/>
      <c r="J209" s="57"/>
      <c r="K209" s="57"/>
      <c r="L209" s="57"/>
      <c r="M209" s="57"/>
      <c r="N209" s="57"/>
      <c r="O209" s="57"/>
      <c r="P209" s="57"/>
      <c r="Q209" s="57"/>
      <c r="R209" s="57"/>
      <c r="S209" s="57"/>
      <c r="T209" s="57"/>
    </row>
    <row r="210" spans="1:20" s="2" customFormat="1" ht="25.55" customHeight="1" x14ac:dyDescent="0.3">
      <c r="A210" s="6" t="s">
        <v>14</v>
      </c>
      <c r="B210" s="57" t="s">
        <v>144</v>
      </c>
      <c r="C210" s="57"/>
      <c r="D210" s="57"/>
      <c r="E210" s="57"/>
      <c r="F210" s="57"/>
      <c r="G210" s="57"/>
      <c r="H210" s="57"/>
      <c r="I210" s="57"/>
      <c r="J210" s="57"/>
      <c r="K210" s="57"/>
      <c r="L210" s="57"/>
      <c r="M210" s="57"/>
      <c r="N210" s="57"/>
      <c r="O210" s="57"/>
      <c r="P210" s="57"/>
      <c r="Q210" s="57"/>
      <c r="R210" s="57"/>
      <c r="S210" s="57"/>
      <c r="T210" s="57"/>
    </row>
    <row r="211" spans="1:20" s="2" customFormat="1" ht="25.55" customHeight="1" x14ac:dyDescent="0.3">
      <c r="A211" s="6" t="s">
        <v>79</v>
      </c>
      <c r="B211" s="57" t="s">
        <v>145</v>
      </c>
      <c r="C211" s="57"/>
      <c r="D211" s="57"/>
      <c r="E211" s="57"/>
      <c r="F211" s="57"/>
      <c r="G211" s="57"/>
      <c r="H211" s="57"/>
      <c r="I211" s="57"/>
      <c r="J211" s="57"/>
      <c r="K211" s="57"/>
      <c r="L211" s="57"/>
      <c r="M211" s="57"/>
      <c r="N211" s="57"/>
      <c r="O211" s="57"/>
      <c r="P211" s="57"/>
      <c r="Q211" s="57"/>
      <c r="R211" s="57"/>
      <c r="S211" s="57"/>
      <c r="T211" s="57"/>
    </row>
    <row r="212" spans="1:20" s="2" customFormat="1" ht="25.55" customHeight="1" x14ac:dyDescent="0.3">
      <c r="A212" s="6" t="s">
        <v>81</v>
      </c>
      <c r="B212" s="57" t="s">
        <v>146</v>
      </c>
      <c r="C212" s="57"/>
      <c r="D212" s="57"/>
      <c r="E212" s="57"/>
      <c r="F212" s="57"/>
      <c r="G212" s="57"/>
      <c r="H212" s="57"/>
      <c r="I212" s="57"/>
      <c r="J212" s="57"/>
      <c r="K212" s="57"/>
      <c r="L212" s="57"/>
      <c r="M212" s="57"/>
      <c r="N212" s="57"/>
      <c r="O212" s="57"/>
      <c r="P212" s="57"/>
      <c r="Q212" s="57"/>
      <c r="R212" s="57"/>
      <c r="S212" s="57"/>
      <c r="T212" s="57"/>
    </row>
    <row r="213" spans="1:20" s="2" customFormat="1" ht="25.55" customHeight="1" x14ac:dyDescent="0.3">
      <c r="A213" s="6" t="s">
        <v>82</v>
      </c>
      <c r="B213" s="57" t="s">
        <v>147</v>
      </c>
      <c r="C213" s="57"/>
      <c r="D213" s="57"/>
      <c r="E213" s="57"/>
      <c r="F213" s="57"/>
      <c r="G213" s="57"/>
      <c r="H213" s="57"/>
      <c r="I213" s="57"/>
      <c r="J213" s="57"/>
      <c r="K213" s="57"/>
      <c r="L213" s="57"/>
      <c r="M213" s="57"/>
      <c r="N213" s="57"/>
      <c r="O213" s="57"/>
      <c r="P213" s="57"/>
      <c r="Q213" s="57"/>
      <c r="R213" s="57"/>
      <c r="S213" s="57"/>
      <c r="T213" s="57"/>
    </row>
    <row r="214" spans="1:20" s="2" customFormat="1" ht="25.55" customHeight="1" x14ac:dyDescent="0.3">
      <c r="A214" s="6" t="s">
        <v>83</v>
      </c>
      <c r="B214" s="57" t="s">
        <v>148</v>
      </c>
      <c r="C214" s="57"/>
      <c r="D214" s="57"/>
      <c r="E214" s="57"/>
      <c r="F214" s="57"/>
      <c r="G214" s="57"/>
      <c r="H214" s="57"/>
      <c r="I214" s="57"/>
      <c r="J214" s="57"/>
      <c r="K214" s="57"/>
      <c r="L214" s="57"/>
      <c r="M214" s="57"/>
      <c r="N214" s="57"/>
      <c r="O214" s="57"/>
      <c r="P214" s="57"/>
      <c r="Q214" s="57"/>
      <c r="R214" s="57"/>
      <c r="S214" s="57"/>
      <c r="T214" s="57"/>
    </row>
    <row r="215" spans="1:20" s="2" customFormat="1" ht="25.55" customHeight="1" x14ac:dyDescent="0.3">
      <c r="A215" s="6" t="s">
        <v>130</v>
      </c>
      <c r="B215" s="57" t="s">
        <v>149</v>
      </c>
      <c r="C215" s="57"/>
      <c r="D215" s="57"/>
      <c r="E215" s="57"/>
      <c r="F215" s="57"/>
      <c r="G215" s="57"/>
      <c r="H215" s="57"/>
      <c r="I215" s="57"/>
      <c r="J215" s="57"/>
      <c r="K215" s="57"/>
      <c r="L215" s="57"/>
      <c r="M215" s="57"/>
      <c r="N215" s="57"/>
      <c r="O215" s="57"/>
      <c r="P215" s="57"/>
      <c r="Q215" s="57"/>
      <c r="R215" s="57"/>
      <c r="S215" s="57"/>
      <c r="T215" s="57"/>
    </row>
    <row r="216" spans="1:20" s="2" customFormat="1" ht="25.55" customHeight="1" x14ac:dyDescent="0.3">
      <c r="A216" s="6" t="s">
        <v>133</v>
      </c>
      <c r="B216" s="57" t="s">
        <v>150</v>
      </c>
      <c r="C216" s="57"/>
      <c r="D216" s="57"/>
      <c r="E216" s="57"/>
      <c r="F216" s="57"/>
      <c r="G216" s="57"/>
      <c r="H216" s="57"/>
      <c r="I216" s="57"/>
      <c r="J216" s="57"/>
      <c r="K216" s="57"/>
      <c r="L216" s="57"/>
      <c r="M216" s="57"/>
      <c r="N216" s="57"/>
      <c r="O216" s="57"/>
      <c r="P216" s="57"/>
      <c r="Q216" s="57"/>
      <c r="R216" s="57"/>
      <c r="S216" s="57"/>
      <c r="T216" s="57"/>
    </row>
    <row r="217" spans="1:20" s="2" customFormat="1" ht="25.55" customHeight="1" x14ac:dyDescent="0.3">
      <c r="A217" s="6" t="s">
        <v>135</v>
      </c>
      <c r="B217" s="57" t="s">
        <v>151</v>
      </c>
      <c r="C217" s="57"/>
      <c r="D217" s="57"/>
      <c r="E217" s="57"/>
      <c r="F217" s="57"/>
      <c r="G217" s="57"/>
      <c r="H217" s="57"/>
      <c r="I217" s="57"/>
      <c r="J217" s="57"/>
      <c r="K217" s="57"/>
      <c r="L217" s="57"/>
      <c r="M217" s="57"/>
      <c r="N217" s="57"/>
      <c r="O217" s="57"/>
      <c r="P217" s="57"/>
      <c r="Q217" s="57"/>
      <c r="R217" s="57"/>
      <c r="S217" s="57"/>
      <c r="T217" s="57"/>
    </row>
    <row r="218" spans="1:20" s="2" customFormat="1" ht="25.55" customHeight="1" x14ac:dyDescent="0.3">
      <c r="A218" s="6" t="s">
        <v>136</v>
      </c>
      <c r="B218" s="57" t="s">
        <v>152</v>
      </c>
      <c r="C218" s="57"/>
      <c r="D218" s="57"/>
      <c r="E218" s="57"/>
      <c r="F218" s="57"/>
      <c r="G218" s="57"/>
      <c r="H218" s="57"/>
      <c r="I218" s="57"/>
      <c r="J218" s="57"/>
      <c r="K218" s="57"/>
      <c r="L218" s="57"/>
      <c r="M218" s="57"/>
      <c r="N218" s="57"/>
      <c r="O218" s="57"/>
      <c r="P218" s="57"/>
      <c r="Q218" s="57"/>
      <c r="R218" s="57"/>
      <c r="S218" s="57"/>
      <c r="T218" s="57"/>
    </row>
    <row r="219" spans="1:20" s="2" customFormat="1" x14ac:dyDescent="0.3">
      <c r="A219" s="5"/>
      <c r="B219" s="48"/>
      <c r="C219" s="48"/>
      <c r="D219" s="48"/>
      <c r="E219" s="48"/>
      <c r="F219" s="48"/>
      <c r="G219" s="48"/>
      <c r="H219" s="48"/>
      <c r="I219" s="48"/>
      <c r="J219" s="48"/>
      <c r="K219" s="48"/>
      <c r="L219" s="48"/>
      <c r="M219" s="48"/>
      <c r="N219" s="48"/>
      <c r="O219" s="48"/>
      <c r="P219" s="48"/>
      <c r="Q219" s="48"/>
      <c r="R219" s="48"/>
      <c r="S219" s="48"/>
      <c r="T219" s="48"/>
    </row>
    <row r="220" spans="1:20" s="2" customFormat="1" x14ac:dyDescent="0.3">
      <c r="A220" s="5"/>
      <c r="B220" s="48"/>
      <c r="C220" s="48"/>
      <c r="D220" s="48"/>
      <c r="E220" s="48"/>
      <c r="F220" s="48"/>
      <c r="G220" s="48"/>
      <c r="H220" s="48"/>
      <c r="I220" s="48"/>
      <c r="J220" s="48"/>
      <c r="K220" s="48"/>
      <c r="L220" s="48"/>
      <c r="M220" s="48"/>
      <c r="N220" s="48"/>
      <c r="O220" s="48"/>
      <c r="P220" s="48"/>
      <c r="Q220" s="48"/>
      <c r="R220" s="48"/>
      <c r="S220" s="48"/>
      <c r="T220" s="48"/>
    </row>
    <row r="221" spans="1:20" s="2" customFormat="1" x14ac:dyDescent="0.3">
      <c r="A221" s="5"/>
      <c r="B221" s="48"/>
      <c r="C221" s="48"/>
      <c r="D221" s="48"/>
      <c r="E221" s="48"/>
      <c r="F221" s="48"/>
      <c r="G221" s="48"/>
      <c r="H221" s="48"/>
      <c r="I221" s="48"/>
      <c r="J221" s="48"/>
      <c r="K221" s="48"/>
      <c r="L221" s="48"/>
      <c r="M221" s="48"/>
      <c r="N221" s="48"/>
      <c r="O221" s="48"/>
      <c r="P221" s="48"/>
      <c r="Q221" s="48"/>
      <c r="R221" s="48"/>
      <c r="S221" s="48"/>
      <c r="T221" s="48"/>
    </row>
    <row r="222" spans="1:20" s="2" customFormat="1" ht="15.75" x14ac:dyDescent="0.3">
      <c r="A222" s="11">
        <f>A206+1</f>
        <v>10</v>
      </c>
      <c r="B222" s="88" t="s">
        <v>121</v>
      </c>
      <c r="C222" s="88"/>
      <c r="D222" s="88"/>
      <c r="E222" s="88"/>
      <c r="F222" s="88"/>
      <c r="G222" s="88"/>
      <c r="H222" s="88"/>
      <c r="I222" s="88"/>
      <c r="J222" s="88"/>
      <c r="K222" s="88"/>
      <c r="L222" s="88"/>
      <c r="M222" s="88"/>
      <c r="N222" s="88"/>
      <c r="O222" s="88"/>
      <c r="P222" s="88"/>
      <c r="Q222" s="88"/>
      <c r="R222" s="88"/>
      <c r="S222" s="88"/>
      <c r="T222" s="88"/>
    </row>
    <row r="223" spans="1:20" s="2" customFormat="1" ht="38.950000000000003" customHeight="1" x14ac:dyDescent="0.3">
      <c r="A223" s="6" t="s">
        <v>6</v>
      </c>
      <c r="B223" s="55" t="s">
        <v>87</v>
      </c>
      <c r="C223" s="55"/>
      <c r="D223" s="55"/>
      <c r="E223" s="55"/>
      <c r="F223" s="55"/>
      <c r="G223" s="55"/>
      <c r="H223" s="55"/>
      <c r="I223" s="55"/>
      <c r="J223" s="55"/>
      <c r="K223" s="55"/>
      <c r="L223" s="55"/>
      <c r="M223" s="55"/>
      <c r="N223" s="55"/>
      <c r="O223" s="55"/>
      <c r="P223" s="55"/>
      <c r="Q223" s="55"/>
      <c r="R223" s="55"/>
      <c r="S223" s="55"/>
      <c r="T223" s="55"/>
    </row>
    <row r="224" spans="1:20" s="2" customFormat="1" ht="38.950000000000003" customHeight="1" x14ac:dyDescent="0.3">
      <c r="A224" s="6" t="s">
        <v>7</v>
      </c>
      <c r="B224" s="55" t="s">
        <v>86</v>
      </c>
      <c r="C224" s="55"/>
      <c r="D224" s="55"/>
      <c r="E224" s="55"/>
      <c r="F224" s="55"/>
      <c r="G224" s="55"/>
      <c r="H224" s="55"/>
      <c r="I224" s="55"/>
      <c r="J224" s="55"/>
      <c r="K224" s="55"/>
      <c r="L224" s="55"/>
      <c r="M224" s="55"/>
      <c r="N224" s="55"/>
      <c r="O224" s="55"/>
      <c r="P224" s="55"/>
      <c r="Q224" s="55"/>
      <c r="R224" s="55"/>
      <c r="S224" s="55"/>
      <c r="T224" s="55"/>
    </row>
    <row r="225" spans="1:20" s="2" customFormat="1" ht="103.6" customHeight="1" x14ac:dyDescent="0.3">
      <c r="A225" s="6" t="s">
        <v>12</v>
      </c>
      <c r="B225" s="55" t="s">
        <v>88</v>
      </c>
      <c r="C225" s="55"/>
      <c r="D225" s="55"/>
      <c r="E225" s="55"/>
      <c r="F225" s="55"/>
      <c r="G225" s="55"/>
      <c r="H225" s="55"/>
      <c r="I225" s="55"/>
      <c r="J225" s="55"/>
      <c r="K225" s="55"/>
      <c r="L225" s="55"/>
      <c r="M225" s="55"/>
      <c r="N225" s="55"/>
      <c r="O225" s="55"/>
      <c r="P225" s="55"/>
      <c r="Q225" s="55"/>
      <c r="R225" s="55"/>
      <c r="S225" s="55"/>
      <c r="T225" s="55"/>
    </row>
    <row r="226" spans="1:20" s="2" customFormat="1" ht="78.05" customHeight="1" x14ac:dyDescent="0.3">
      <c r="A226" s="35" t="s">
        <v>14</v>
      </c>
      <c r="B226" s="55" t="s">
        <v>90</v>
      </c>
      <c r="C226" s="55"/>
      <c r="D226" s="55"/>
      <c r="E226" s="55"/>
      <c r="F226" s="55"/>
      <c r="G226" s="55"/>
      <c r="H226" s="55"/>
      <c r="I226" s="55"/>
      <c r="J226" s="55"/>
      <c r="K226" s="55"/>
      <c r="L226" s="55"/>
      <c r="M226" s="55"/>
      <c r="N226" s="55"/>
      <c r="O226" s="55"/>
      <c r="P226" s="55"/>
      <c r="Q226" s="55"/>
      <c r="R226" s="55"/>
      <c r="S226" s="55"/>
      <c r="T226" s="55"/>
    </row>
    <row r="227" spans="1:20" s="2" customFormat="1" ht="53.2" customHeight="1" x14ac:dyDescent="0.3">
      <c r="A227" s="35" t="s">
        <v>79</v>
      </c>
      <c r="B227" s="55" t="s">
        <v>80</v>
      </c>
      <c r="C227" s="55"/>
      <c r="D227" s="55"/>
      <c r="E227" s="55"/>
      <c r="F227" s="55"/>
      <c r="G227" s="55"/>
      <c r="H227" s="55"/>
      <c r="I227" s="55"/>
      <c r="J227" s="55"/>
      <c r="K227" s="55"/>
      <c r="L227" s="55"/>
      <c r="M227" s="55"/>
      <c r="N227" s="55"/>
      <c r="O227" s="55"/>
      <c r="P227" s="55"/>
      <c r="Q227" s="55"/>
      <c r="R227" s="55"/>
      <c r="S227" s="55"/>
      <c r="T227" s="55"/>
    </row>
    <row r="228" spans="1:20" s="2" customFormat="1" ht="27" customHeight="1" x14ac:dyDescent="0.3">
      <c r="A228" s="35" t="s">
        <v>81</v>
      </c>
      <c r="B228" s="55" t="s">
        <v>126</v>
      </c>
      <c r="C228" s="55"/>
      <c r="D228" s="55"/>
      <c r="E228" s="55"/>
      <c r="F228" s="55"/>
      <c r="G228" s="55"/>
      <c r="H228" s="55"/>
      <c r="I228" s="55"/>
      <c r="J228" s="55"/>
      <c r="K228" s="55"/>
      <c r="L228" s="55"/>
      <c r="M228" s="55"/>
      <c r="N228" s="55"/>
      <c r="O228" s="55"/>
      <c r="P228" s="55"/>
      <c r="Q228" s="55"/>
      <c r="R228" s="55"/>
      <c r="S228" s="55"/>
      <c r="T228" s="55"/>
    </row>
    <row r="229" spans="1:20" s="2" customFormat="1" ht="129.80000000000001" customHeight="1" x14ac:dyDescent="0.3">
      <c r="A229" s="35" t="s">
        <v>82</v>
      </c>
      <c r="B229" s="55" t="s">
        <v>84</v>
      </c>
      <c r="C229" s="55"/>
      <c r="D229" s="55"/>
      <c r="E229" s="55"/>
      <c r="F229" s="55"/>
      <c r="G229" s="55"/>
      <c r="H229" s="55"/>
      <c r="I229" s="55"/>
      <c r="J229" s="55"/>
      <c r="K229" s="55"/>
      <c r="L229" s="55"/>
      <c r="M229" s="55"/>
      <c r="N229" s="55"/>
      <c r="O229" s="55"/>
      <c r="P229" s="55"/>
      <c r="Q229" s="55"/>
      <c r="R229" s="55"/>
      <c r="S229" s="55"/>
      <c r="T229" s="55"/>
    </row>
    <row r="230" spans="1:20" s="2" customFormat="1" ht="25.55" customHeight="1" x14ac:dyDescent="0.3">
      <c r="A230" s="6" t="s">
        <v>83</v>
      </c>
      <c r="B230" s="55" t="s">
        <v>91</v>
      </c>
      <c r="C230" s="55"/>
      <c r="D230" s="55"/>
      <c r="E230" s="55"/>
      <c r="F230" s="55"/>
      <c r="G230" s="55"/>
      <c r="H230" s="55"/>
      <c r="I230" s="55"/>
      <c r="J230" s="55"/>
      <c r="K230" s="55"/>
      <c r="L230" s="55"/>
      <c r="M230" s="55"/>
      <c r="N230" s="55"/>
      <c r="O230" s="55"/>
      <c r="P230" s="55"/>
      <c r="Q230" s="55"/>
      <c r="R230" s="55"/>
      <c r="S230" s="55"/>
      <c r="T230" s="55"/>
    </row>
    <row r="231" spans="1:20" s="2" customFormat="1" ht="26.2" customHeight="1" x14ac:dyDescent="0.3">
      <c r="A231" s="6" t="s">
        <v>130</v>
      </c>
      <c r="B231" s="55" t="s">
        <v>92</v>
      </c>
      <c r="C231" s="55"/>
      <c r="D231" s="55"/>
      <c r="E231" s="55"/>
      <c r="F231" s="55"/>
      <c r="G231" s="55"/>
      <c r="H231" s="55"/>
      <c r="I231" s="55"/>
      <c r="J231" s="55"/>
      <c r="K231" s="55"/>
      <c r="L231" s="55"/>
      <c r="M231" s="55"/>
      <c r="N231" s="55"/>
      <c r="O231" s="55"/>
      <c r="P231" s="55"/>
      <c r="Q231" s="55"/>
      <c r="R231" s="55"/>
      <c r="S231" s="55"/>
      <c r="T231" s="55"/>
    </row>
    <row r="232" spans="1:20" s="2" customFormat="1" ht="40.6" customHeight="1" x14ac:dyDescent="0.3">
      <c r="A232" s="6" t="s">
        <v>133</v>
      </c>
      <c r="B232" s="55" t="s">
        <v>94</v>
      </c>
      <c r="C232" s="55"/>
      <c r="D232" s="55"/>
      <c r="E232" s="55"/>
      <c r="F232" s="55"/>
      <c r="G232" s="55"/>
      <c r="H232" s="55"/>
      <c r="I232" s="55"/>
      <c r="J232" s="55"/>
      <c r="K232" s="55"/>
      <c r="L232" s="55"/>
      <c r="M232" s="55"/>
      <c r="N232" s="55"/>
      <c r="O232" s="55"/>
      <c r="P232" s="55"/>
      <c r="Q232" s="55"/>
      <c r="R232" s="55"/>
      <c r="S232" s="55"/>
      <c r="T232" s="55"/>
    </row>
    <row r="233" spans="1:20" s="2" customFormat="1" x14ac:dyDescent="0.3">
      <c r="A233" s="4"/>
      <c r="B233" s="48"/>
      <c r="C233" s="48"/>
      <c r="D233" s="48"/>
      <c r="E233" s="48"/>
      <c r="F233" s="48"/>
      <c r="G233" s="48"/>
      <c r="H233" s="48"/>
      <c r="I233" s="48"/>
      <c r="J233" s="48"/>
      <c r="K233" s="48"/>
      <c r="L233" s="48"/>
      <c r="M233" s="48"/>
      <c r="N233" s="48"/>
      <c r="O233" s="48"/>
      <c r="P233" s="48"/>
      <c r="Q233" s="48"/>
      <c r="R233" s="48"/>
      <c r="S233" s="48"/>
      <c r="T233" s="48"/>
    </row>
    <row r="234" spans="1:20" s="2" customFormat="1" x14ac:dyDescent="0.3">
      <c r="A234" s="4"/>
      <c r="B234" s="48"/>
      <c r="C234" s="48"/>
      <c r="D234" s="48"/>
      <c r="E234" s="48"/>
      <c r="F234" s="48"/>
      <c r="G234" s="48"/>
      <c r="H234" s="48"/>
      <c r="I234" s="48"/>
      <c r="J234" s="48"/>
      <c r="K234" s="48"/>
      <c r="L234" s="48"/>
      <c r="M234" s="48"/>
      <c r="N234" s="48"/>
      <c r="O234" s="48"/>
      <c r="P234" s="48"/>
      <c r="Q234" s="48"/>
      <c r="R234" s="48"/>
      <c r="S234" s="48"/>
      <c r="T234" s="48"/>
    </row>
    <row r="235" spans="1:20" s="2" customFormat="1" ht="18.350000000000001" x14ac:dyDescent="0.3">
      <c r="A235" s="12" t="s">
        <v>159</v>
      </c>
      <c r="B235" s="91" t="s">
        <v>73</v>
      </c>
      <c r="C235" s="91"/>
      <c r="D235" s="91"/>
      <c r="E235" s="91"/>
      <c r="F235" s="91"/>
      <c r="G235" s="91"/>
      <c r="H235" s="91"/>
      <c r="I235" s="91"/>
      <c r="J235" s="91"/>
      <c r="K235" s="91"/>
      <c r="L235" s="91"/>
      <c r="M235" s="91"/>
      <c r="N235" s="91"/>
      <c r="O235" s="91"/>
      <c r="P235" s="91"/>
      <c r="Q235" s="91"/>
      <c r="R235" s="91"/>
      <c r="S235" s="91"/>
      <c r="T235" s="91"/>
    </row>
    <row r="236" spans="1:20" s="2" customFormat="1" x14ac:dyDescent="0.3">
      <c r="A236" s="6">
        <v>1</v>
      </c>
      <c r="B236" s="57" t="s">
        <v>66</v>
      </c>
      <c r="C236" s="57"/>
      <c r="D236" s="57"/>
      <c r="E236" s="57"/>
      <c r="F236" s="57"/>
      <c r="G236" s="57"/>
      <c r="H236" s="78"/>
      <c r="I236" s="79"/>
      <c r="J236" s="79"/>
      <c r="K236" s="79"/>
      <c r="L236" s="79"/>
      <c r="M236" s="79"/>
      <c r="N236" s="79"/>
      <c r="O236" s="79"/>
      <c r="P236" s="79"/>
      <c r="Q236" s="79"/>
      <c r="R236" s="79"/>
      <c r="S236" s="79"/>
      <c r="T236" s="79"/>
    </row>
    <row r="237" spans="1:20" s="2" customFormat="1" x14ac:dyDescent="0.3">
      <c r="A237" s="6">
        <f>A236+1</f>
        <v>2</v>
      </c>
      <c r="B237" s="57" t="s">
        <v>67</v>
      </c>
      <c r="C237" s="57"/>
      <c r="D237" s="57"/>
      <c r="E237" s="57"/>
      <c r="F237" s="57"/>
      <c r="G237" s="57"/>
      <c r="H237" s="78"/>
      <c r="I237" s="79"/>
      <c r="J237" s="79"/>
      <c r="K237" s="79"/>
      <c r="L237" s="79"/>
      <c r="M237" s="79"/>
      <c r="N237" s="79"/>
      <c r="O237" s="79"/>
      <c r="P237" s="79"/>
      <c r="Q237" s="79"/>
      <c r="R237" s="79"/>
      <c r="S237" s="79"/>
      <c r="T237" s="79"/>
    </row>
    <row r="238" spans="1:20" s="2" customFormat="1" x14ac:dyDescent="0.3">
      <c r="A238" s="6">
        <f t="shared" ref="A238:A242" si="21">A237+1</f>
        <v>3</v>
      </c>
      <c r="B238" s="57" t="s">
        <v>68</v>
      </c>
      <c r="C238" s="57"/>
      <c r="D238" s="57"/>
      <c r="E238" s="57"/>
      <c r="F238" s="57"/>
      <c r="G238" s="57"/>
      <c r="H238" s="78"/>
      <c r="I238" s="79"/>
      <c r="J238" s="79"/>
      <c r="K238" s="79"/>
      <c r="L238" s="79"/>
      <c r="M238" s="79"/>
      <c r="N238" s="79"/>
      <c r="O238" s="79"/>
      <c r="P238" s="79"/>
      <c r="Q238" s="79"/>
      <c r="R238" s="79"/>
      <c r="S238" s="79"/>
      <c r="T238" s="79"/>
    </row>
    <row r="239" spans="1:20" s="2" customFormat="1" x14ac:dyDescent="0.3">
      <c r="A239" s="6">
        <f t="shared" si="21"/>
        <v>4</v>
      </c>
      <c r="B239" s="57" t="s">
        <v>69</v>
      </c>
      <c r="C239" s="57"/>
      <c r="D239" s="57"/>
      <c r="E239" s="57"/>
      <c r="F239" s="57"/>
      <c r="G239" s="57"/>
      <c r="H239" s="78"/>
      <c r="I239" s="79"/>
      <c r="J239" s="79"/>
      <c r="K239" s="79"/>
      <c r="L239" s="79"/>
      <c r="M239" s="79"/>
      <c r="N239" s="79"/>
      <c r="O239" s="79"/>
      <c r="P239" s="79"/>
      <c r="Q239" s="79"/>
      <c r="R239" s="79"/>
      <c r="S239" s="79"/>
      <c r="T239" s="79"/>
    </row>
    <row r="240" spans="1:20" s="2" customFormat="1" x14ac:dyDescent="0.3">
      <c r="A240" s="6">
        <f t="shared" si="21"/>
        <v>5</v>
      </c>
      <c r="B240" s="57" t="s">
        <v>70</v>
      </c>
      <c r="C240" s="57"/>
      <c r="D240" s="57"/>
      <c r="E240" s="57"/>
      <c r="F240" s="57"/>
      <c r="G240" s="57"/>
      <c r="H240" s="78"/>
      <c r="I240" s="79"/>
      <c r="J240" s="79"/>
      <c r="K240" s="79"/>
      <c r="L240" s="79"/>
      <c r="M240" s="79"/>
      <c r="N240" s="79"/>
      <c r="O240" s="79"/>
      <c r="P240" s="79"/>
      <c r="Q240" s="79"/>
      <c r="R240" s="79"/>
      <c r="S240" s="79"/>
      <c r="T240" s="79"/>
    </row>
    <row r="241" spans="1:20" s="2" customFormat="1" x14ac:dyDescent="0.3">
      <c r="A241" s="6">
        <f t="shared" si="21"/>
        <v>6</v>
      </c>
      <c r="B241" s="57" t="s">
        <v>71</v>
      </c>
      <c r="C241" s="57"/>
      <c r="D241" s="57"/>
      <c r="E241" s="57"/>
      <c r="F241" s="57"/>
      <c r="G241" s="57"/>
      <c r="H241" s="78"/>
      <c r="I241" s="79"/>
      <c r="J241" s="79"/>
      <c r="K241" s="79"/>
      <c r="L241" s="79"/>
      <c r="M241" s="79"/>
      <c r="N241" s="79"/>
      <c r="O241" s="79"/>
      <c r="P241" s="79"/>
      <c r="Q241" s="79"/>
      <c r="R241" s="79"/>
      <c r="S241" s="79"/>
      <c r="T241" s="79"/>
    </row>
    <row r="242" spans="1:20" s="2" customFormat="1" x14ac:dyDescent="0.3">
      <c r="A242" s="6">
        <f t="shared" si="21"/>
        <v>7</v>
      </c>
      <c r="B242" s="57" t="s">
        <v>72</v>
      </c>
      <c r="C242" s="57"/>
      <c r="D242" s="57"/>
      <c r="E242" s="57"/>
      <c r="F242" s="57"/>
      <c r="G242" s="57"/>
      <c r="H242" s="78"/>
      <c r="I242" s="79"/>
      <c r="J242" s="79"/>
      <c r="K242" s="79"/>
      <c r="L242" s="79"/>
      <c r="M242" s="79"/>
      <c r="N242" s="79"/>
      <c r="O242" s="79"/>
      <c r="P242" s="79"/>
      <c r="Q242" s="79"/>
      <c r="R242" s="79"/>
      <c r="S242" s="79"/>
      <c r="T242" s="79"/>
    </row>
    <row r="243" spans="1:20" s="2" customFormat="1" x14ac:dyDescent="0.3">
      <c r="A243" s="4"/>
      <c r="B243" s="48"/>
      <c r="C243" s="48"/>
      <c r="D243" s="48"/>
      <c r="E243" s="48"/>
      <c r="F243" s="48"/>
      <c r="G243" s="48"/>
      <c r="H243" s="48"/>
      <c r="I243" s="48"/>
      <c r="J243" s="48"/>
      <c r="K243" s="48"/>
      <c r="L243" s="48"/>
      <c r="M243" s="48"/>
      <c r="N243" s="48"/>
      <c r="O243" s="48"/>
      <c r="P243" s="48"/>
      <c r="Q243" s="48"/>
      <c r="R243" s="48"/>
      <c r="S243" s="48"/>
      <c r="T243" s="48"/>
    </row>
    <row r="244" spans="1:20" s="2" customFormat="1" x14ac:dyDescent="0.3">
      <c r="A244" s="4"/>
      <c r="B244" s="48"/>
      <c r="C244" s="48"/>
      <c r="D244" s="48"/>
      <c r="E244" s="48"/>
      <c r="F244" s="48"/>
      <c r="G244" s="48"/>
      <c r="H244" s="48"/>
      <c r="I244" s="48"/>
      <c r="J244" s="48"/>
      <c r="K244" s="48"/>
      <c r="L244" s="48"/>
      <c r="M244" s="48"/>
      <c r="N244" s="48"/>
      <c r="O244" s="48"/>
      <c r="P244" s="48"/>
      <c r="Q244" s="48"/>
      <c r="R244" s="48"/>
      <c r="S244" s="48"/>
      <c r="T244" s="48"/>
    </row>
    <row r="245" spans="1:20" s="2" customFormat="1" ht="18.350000000000001" x14ac:dyDescent="0.3">
      <c r="A245" s="12" t="s">
        <v>160</v>
      </c>
      <c r="B245" s="91" t="s">
        <v>39</v>
      </c>
      <c r="C245" s="91"/>
      <c r="D245" s="91"/>
      <c r="E245" s="91"/>
      <c r="F245" s="91"/>
      <c r="G245" s="91"/>
      <c r="H245" s="91"/>
      <c r="I245" s="91"/>
      <c r="J245" s="91"/>
      <c r="K245" s="91"/>
      <c r="L245" s="91"/>
      <c r="M245" s="91"/>
      <c r="N245" s="91"/>
      <c r="O245" s="91"/>
      <c r="P245" s="91"/>
      <c r="Q245" s="91"/>
      <c r="R245" s="91"/>
      <c r="S245" s="91"/>
      <c r="T245" s="91"/>
    </row>
    <row r="246" spans="1:20" s="2" customFormat="1" ht="14.4" x14ac:dyDescent="0.3">
      <c r="A246" s="4"/>
      <c r="B246" s="96" t="s">
        <v>77</v>
      </c>
      <c r="C246" s="96"/>
      <c r="D246" s="96"/>
      <c r="E246" s="96"/>
      <c r="F246" s="96"/>
      <c r="G246" s="96"/>
      <c r="H246" s="96"/>
      <c r="I246" s="96"/>
      <c r="J246" s="96"/>
      <c r="K246" s="96"/>
      <c r="L246" s="96"/>
      <c r="M246" s="96"/>
      <c r="N246" s="96"/>
      <c r="O246" s="96"/>
      <c r="P246" s="96"/>
      <c r="Q246" s="96"/>
      <c r="R246" s="96"/>
      <c r="S246" s="96"/>
      <c r="T246" s="96"/>
    </row>
    <row r="247" spans="1:20" s="2" customFormat="1" ht="12.8" customHeight="1" x14ac:dyDescent="0.3">
      <c r="A247" s="6">
        <v>1</v>
      </c>
      <c r="B247" s="57" t="s">
        <v>61</v>
      </c>
      <c r="C247" s="57"/>
      <c r="D247" s="57"/>
      <c r="E247" s="57"/>
      <c r="F247" s="57"/>
      <c r="G247" s="57"/>
      <c r="H247" s="9" t="s">
        <v>60</v>
      </c>
      <c r="I247" s="83" t="s">
        <v>63</v>
      </c>
      <c r="J247" s="83"/>
      <c r="K247" s="80"/>
      <c r="L247" s="81"/>
      <c r="M247" s="81"/>
      <c r="N247" s="81"/>
      <c r="O247" s="81"/>
      <c r="P247" s="81"/>
      <c r="Q247" s="81"/>
      <c r="R247" s="81"/>
      <c r="S247" s="81"/>
      <c r="T247" s="81"/>
    </row>
    <row r="248" spans="1:20" s="2" customFormat="1" ht="12.8" customHeight="1" x14ac:dyDescent="0.3">
      <c r="A248" s="6">
        <f>A247+1</f>
        <v>2</v>
      </c>
      <c r="B248" s="57" t="s">
        <v>40</v>
      </c>
      <c r="C248" s="57"/>
      <c r="D248" s="57"/>
      <c r="E248" s="57"/>
      <c r="F248" s="57"/>
      <c r="G248" s="57"/>
      <c r="H248" s="9" t="s">
        <v>60</v>
      </c>
      <c r="I248" s="101">
        <v>0.2</v>
      </c>
      <c r="J248" s="101"/>
      <c r="K248" s="80"/>
      <c r="L248" s="81"/>
      <c r="M248" s="81"/>
      <c r="N248" s="81"/>
      <c r="O248" s="81"/>
      <c r="P248" s="81"/>
      <c r="Q248" s="81"/>
      <c r="R248" s="81"/>
      <c r="S248" s="81"/>
      <c r="T248" s="81"/>
    </row>
    <row r="249" spans="1:20" s="2" customFormat="1" ht="12.8" customHeight="1" x14ac:dyDescent="0.3">
      <c r="A249" s="6">
        <f t="shared" ref="A249:A262" si="22">A248+1</f>
        <v>3</v>
      </c>
      <c r="B249" s="57" t="s">
        <v>41</v>
      </c>
      <c r="C249" s="57"/>
      <c r="D249" s="57"/>
      <c r="E249" s="57"/>
      <c r="F249" s="57"/>
      <c r="G249" s="57"/>
      <c r="H249" s="9" t="s">
        <v>60</v>
      </c>
      <c r="I249" s="101">
        <v>0.02</v>
      </c>
      <c r="J249" s="101"/>
      <c r="K249" s="80"/>
      <c r="L249" s="81"/>
      <c r="M249" s="81"/>
      <c r="N249" s="81"/>
      <c r="O249" s="81"/>
      <c r="P249" s="81"/>
      <c r="Q249" s="81"/>
      <c r="R249" s="81"/>
      <c r="S249" s="81"/>
      <c r="T249" s="81"/>
    </row>
    <row r="250" spans="1:20" s="2" customFormat="1" ht="12.8" customHeight="1" x14ac:dyDescent="0.3">
      <c r="A250" s="6">
        <f t="shared" si="22"/>
        <v>4</v>
      </c>
      <c r="B250" s="57" t="s">
        <v>42</v>
      </c>
      <c r="C250" s="57"/>
      <c r="D250" s="57"/>
      <c r="E250" s="57"/>
      <c r="F250" s="57"/>
      <c r="G250" s="57"/>
      <c r="H250" s="9" t="s">
        <v>60</v>
      </c>
      <c r="I250" s="101">
        <v>-0.1</v>
      </c>
      <c r="J250" s="101"/>
      <c r="K250" s="80"/>
      <c r="L250" s="81"/>
      <c r="M250" s="81"/>
      <c r="N250" s="81"/>
      <c r="O250" s="81"/>
      <c r="P250" s="81"/>
      <c r="Q250" s="81"/>
      <c r="R250" s="81"/>
      <c r="S250" s="81"/>
      <c r="T250" s="81"/>
    </row>
    <row r="251" spans="1:20" s="2" customFormat="1" ht="12.8" customHeight="1" x14ac:dyDescent="0.3">
      <c r="A251" s="6">
        <f t="shared" si="22"/>
        <v>5</v>
      </c>
      <c r="B251" s="57" t="s">
        <v>44</v>
      </c>
      <c r="C251" s="57"/>
      <c r="D251" s="57"/>
      <c r="E251" s="57"/>
      <c r="F251" s="57"/>
      <c r="G251" s="57"/>
      <c r="H251" s="9" t="s">
        <v>60</v>
      </c>
      <c r="I251" s="83" t="s">
        <v>62</v>
      </c>
      <c r="J251" s="83"/>
      <c r="K251" s="80"/>
      <c r="L251" s="81"/>
      <c r="M251" s="81"/>
      <c r="N251" s="81"/>
      <c r="O251" s="81"/>
      <c r="P251" s="81"/>
      <c r="Q251" s="81"/>
      <c r="R251" s="81"/>
      <c r="S251" s="81"/>
      <c r="T251" s="81"/>
    </row>
    <row r="252" spans="1:20" s="2" customFormat="1" ht="12.8" customHeight="1" x14ac:dyDescent="0.3">
      <c r="A252" s="6">
        <f t="shared" si="22"/>
        <v>6</v>
      </c>
      <c r="B252" s="57" t="s">
        <v>45</v>
      </c>
      <c r="C252" s="57"/>
      <c r="D252" s="57"/>
      <c r="E252" s="57"/>
      <c r="F252" s="57"/>
      <c r="G252" s="57"/>
      <c r="H252" s="9" t="s">
        <v>60</v>
      </c>
      <c r="I252" s="83">
        <v>2</v>
      </c>
      <c r="J252" s="83"/>
      <c r="K252" s="80"/>
      <c r="L252" s="81"/>
      <c r="M252" s="81"/>
      <c r="N252" s="81"/>
      <c r="O252" s="81"/>
      <c r="P252" s="81"/>
      <c r="Q252" s="81"/>
      <c r="R252" s="81"/>
      <c r="S252" s="81"/>
      <c r="T252" s="81"/>
    </row>
    <row r="253" spans="1:20" s="2" customFormat="1" ht="12.8" customHeight="1" x14ac:dyDescent="0.3">
      <c r="A253" s="6">
        <f t="shared" si="22"/>
        <v>7</v>
      </c>
      <c r="B253" s="57" t="s">
        <v>46</v>
      </c>
      <c r="C253" s="57"/>
      <c r="D253" s="57"/>
      <c r="E253" s="57"/>
      <c r="F253" s="57"/>
      <c r="G253" s="57"/>
      <c r="H253" s="9" t="s">
        <v>60</v>
      </c>
      <c r="I253" s="83">
        <v>0.6018</v>
      </c>
      <c r="J253" s="83"/>
      <c r="K253" s="80"/>
      <c r="L253" s="81"/>
      <c r="M253" s="81"/>
      <c r="N253" s="81"/>
      <c r="O253" s="81"/>
      <c r="P253" s="81"/>
      <c r="Q253" s="81"/>
      <c r="R253" s="81"/>
      <c r="S253" s="81"/>
      <c r="T253" s="81"/>
    </row>
    <row r="254" spans="1:20" s="2" customFormat="1" ht="12.8" customHeight="1" x14ac:dyDescent="0.3">
      <c r="A254" s="6">
        <f t="shared" si="22"/>
        <v>8</v>
      </c>
      <c r="B254" s="57" t="s">
        <v>47</v>
      </c>
      <c r="C254" s="57"/>
      <c r="D254" s="57"/>
      <c r="E254" s="57"/>
      <c r="F254" s="57"/>
      <c r="G254" s="57"/>
      <c r="H254" s="9" t="s">
        <v>60</v>
      </c>
      <c r="I254" s="83">
        <v>3</v>
      </c>
      <c r="J254" s="83"/>
      <c r="K254" s="80"/>
      <c r="L254" s="81"/>
      <c r="M254" s="81"/>
      <c r="N254" s="81"/>
      <c r="O254" s="81"/>
      <c r="P254" s="81"/>
      <c r="Q254" s="81"/>
      <c r="R254" s="81"/>
      <c r="S254" s="81"/>
      <c r="T254" s="81"/>
    </row>
    <row r="255" spans="1:20" s="2" customFormat="1" ht="12.8" customHeight="1" x14ac:dyDescent="0.3">
      <c r="A255" s="6">
        <f t="shared" si="22"/>
        <v>9</v>
      </c>
      <c r="B255" s="57" t="s">
        <v>48</v>
      </c>
      <c r="C255" s="57"/>
      <c r="D255" s="57"/>
      <c r="E255" s="57"/>
      <c r="F255" s="57"/>
      <c r="G255" s="57"/>
      <c r="H255" s="9" t="s">
        <v>60</v>
      </c>
      <c r="I255" s="97">
        <v>100000000</v>
      </c>
      <c r="J255" s="97"/>
      <c r="K255" s="80"/>
      <c r="L255" s="81"/>
      <c r="M255" s="81"/>
      <c r="N255" s="81"/>
      <c r="O255" s="81"/>
      <c r="P255" s="81"/>
      <c r="Q255" s="81"/>
      <c r="R255" s="81"/>
      <c r="S255" s="81"/>
      <c r="T255" s="81"/>
    </row>
    <row r="256" spans="1:20" s="2" customFormat="1" ht="12.8" customHeight="1" x14ac:dyDescent="0.3">
      <c r="A256" s="6">
        <f t="shared" si="22"/>
        <v>10</v>
      </c>
      <c r="B256" s="57" t="s">
        <v>49</v>
      </c>
      <c r="C256" s="57"/>
      <c r="D256" s="57"/>
      <c r="E256" s="57"/>
      <c r="F256" s="57"/>
      <c r="G256" s="57"/>
      <c r="H256" s="9" t="s">
        <v>60</v>
      </c>
      <c r="I256" s="82">
        <v>0.9</v>
      </c>
      <c r="J256" s="82"/>
      <c r="K256" s="80"/>
      <c r="L256" s="81"/>
      <c r="M256" s="81"/>
      <c r="N256" s="81"/>
      <c r="O256" s="81"/>
      <c r="P256" s="81"/>
      <c r="Q256" s="81"/>
      <c r="R256" s="81"/>
      <c r="S256" s="81"/>
      <c r="T256" s="81"/>
    </row>
    <row r="257" spans="1:20" s="2" customFormat="1" ht="12.8" customHeight="1" x14ac:dyDescent="0.3">
      <c r="A257" s="6">
        <f t="shared" si="22"/>
        <v>11</v>
      </c>
      <c r="B257" s="57" t="s">
        <v>50</v>
      </c>
      <c r="C257" s="57"/>
      <c r="D257" s="57"/>
      <c r="E257" s="57"/>
      <c r="F257" s="57"/>
      <c r="G257" s="57"/>
      <c r="H257" s="9" t="s">
        <v>60</v>
      </c>
      <c r="I257" s="82">
        <v>4.0000000000000002E-4</v>
      </c>
      <c r="J257" s="83"/>
      <c r="K257" s="80"/>
      <c r="L257" s="81"/>
      <c r="M257" s="81"/>
      <c r="N257" s="81"/>
      <c r="O257" s="81"/>
      <c r="P257" s="81"/>
      <c r="Q257" s="81"/>
      <c r="R257" s="81"/>
      <c r="S257" s="81"/>
      <c r="T257" s="81"/>
    </row>
    <row r="258" spans="1:20" s="2" customFormat="1" ht="12.8" customHeight="1" x14ac:dyDescent="0.3">
      <c r="A258" s="6">
        <f t="shared" si="22"/>
        <v>12</v>
      </c>
      <c r="B258" s="57" t="s">
        <v>51</v>
      </c>
      <c r="C258" s="57"/>
      <c r="D258" s="57"/>
      <c r="E258" s="57"/>
      <c r="F258" s="57"/>
      <c r="G258" s="57"/>
      <c r="H258" s="9" t="s">
        <v>60</v>
      </c>
      <c r="I258" s="82">
        <v>0.02</v>
      </c>
      <c r="J258" s="82"/>
      <c r="K258" s="80"/>
      <c r="L258" s="81"/>
      <c r="M258" s="81"/>
      <c r="N258" s="81"/>
      <c r="O258" s="81"/>
      <c r="P258" s="81"/>
      <c r="Q258" s="81"/>
      <c r="R258" s="81"/>
      <c r="S258" s="81"/>
      <c r="T258" s="81"/>
    </row>
    <row r="259" spans="1:20" s="2" customFormat="1" ht="12.8" customHeight="1" x14ac:dyDescent="0.3">
      <c r="A259" s="6">
        <f t="shared" si="22"/>
        <v>13</v>
      </c>
      <c r="B259" s="57" t="s">
        <v>52</v>
      </c>
      <c r="C259" s="57"/>
      <c r="D259" s="57"/>
      <c r="E259" s="57"/>
      <c r="F259" s="57"/>
      <c r="G259" s="57"/>
      <c r="H259" s="9" t="s">
        <v>60</v>
      </c>
      <c r="I259" s="82">
        <v>0.2</v>
      </c>
      <c r="J259" s="82"/>
      <c r="K259" s="80"/>
      <c r="L259" s="81"/>
      <c r="M259" s="81"/>
      <c r="N259" s="81"/>
      <c r="O259" s="81"/>
      <c r="P259" s="81"/>
      <c r="Q259" s="81"/>
      <c r="R259" s="81"/>
      <c r="S259" s="81"/>
      <c r="T259" s="81"/>
    </row>
    <row r="260" spans="1:20" s="2" customFormat="1" ht="12.8" customHeight="1" x14ac:dyDescent="0.3">
      <c r="A260" s="6">
        <f t="shared" si="22"/>
        <v>14</v>
      </c>
      <c r="B260" s="57" t="s">
        <v>53</v>
      </c>
      <c r="C260" s="57"/>
      <c r="D260" s="57"/>
      <c r="E260" s="57"/>
      <c r="F260" s="57"/>
      <c r="G260" s="57"/>
      <c r="H260" s="9" t="s">
        <v>60</v>
      </c>
      <c r="I260" s="82">
        <v>0.04</v>
      </c>
      <c r="J260" s="82"/>
      <c r="K260" s="80"/>
      <c r="L260" s="81"/>
      <c r="M260" s="81"/>
      <c r="N260" s="81"/>
      <c r="O260" s="81"/>
      <c r="P260" s="81"/>
      <c r="Q260" s="81"/>
      <c r="R260" s="81"/>
      <c r="S260" s="81"/>
      <c r="T260" s="81"/>
    </row>
    <row r="261" spans="1:20" s="2" customFormat="1" ht="12.8" customHeight="1" x14ac:dyDescent="0.3">
      <c r="A261" s="6">
        <f t="shared" si="22"/>
        <v>15</v>
      </c>
      <c r="B261" s="57" t="s">
        <v>64</v>
      </c>
      <c r="C261" s="57"/>
      <c r="D261" s="57"/>
      <c r="E261" s="57"/>
      <c r="F261" s="57"/>
      <c r="G261" s="57"/>
      <c r="H261" s="9" t="s">
        <v>60</v>
      </c>
      <c r="I261" s="83"/>
      <c r="J261" s="83"/>
      <c r="K261" s="80"/>
      <c r="L261" s="81"/>
      <c r="M261" s="81"/>
      <c r="N261" s="81"/>
      <c r="O261" s="81"/>
      <c r="P261" s="81"/>
      <c r="Q261" s="81"/>
      <c r="R261" s="81"/>
      <c r="S261" s="81"/>
      <c r="T261" s="81"/>
    </row>
    <row r="262" spans="1:20" s="2" customFormat="1" x14ac:dyDescent="0.3">
      <c r="A262" s="6">
        <f t="shared" si="22"/>
        <v>16</v>
      </c>
      <c r="B262" s="57" t="s">
        <v>65</v>
      </c>
      <c r="C262" s="57"/>
      <c r="D262" s="57"/>
      <c r="E262" s="57"/>
      <c r="F262" s="57"/>
      <c r="G262" s="57"/>
      <c r="H262" s="9" t="s">
        <v>60</v>
      </c>
      <c r="I262" s="83"/>
      <c r="J262" s="83"/>
      <c r="K262" s="80"/>
      <c r="L262" s="81"/>
      <c r="M262" s="81"/>
      <c r="N262" s="81"/>
      <c r="O262" s="81"/>
      <c r="P262" s="81"/>
      <c r="Q262" s="81"/>
      <c r="R262" s="81"/>
      <c r="S262" s="81"/>
      <c r="T262" s="81"/>
    </row>
    <row r="263" spans="1:20" s="2" customFormat="1" x14ac:dyDescent="0.3">
      <c r="A263" s="4"/>
      <c r="B263" s="48"/>
      <c r="C263" s="48"/>
      <c r="D263" s="48"/>
      <c r="E263" s="48"/>
      <c r="F263" s="48"/>
      <c r="G263" s="48"/>
      <c r="H263" s="48"/>
      <c r="I263" s="48"/>
      <c r="J263" s="48"/>
      <c r="K263" s="48"/>
      <c r="L263" s="48"/>
      <c r="M263" s="48"/>
      <c r="N263" s="48"/>
      <c r="O263" s="48"/>
      <c r="P263" s="48"/>
      <c r="Q263" s="48"/>
      <c r="R263" s="48"/>
      <c r="S263" s="48"/>
      <c r="T263" s="48"/>
    </row>
    <row r="264" spans="1:20" s="2" customFormat="1" x14ac:dyDescent="0.3">
      <c r="A264" s="4"/>
      <c r="B264" s="48"/>
      <c r="C264" s="48"/>
      <c r="D264" s="48"/>
      <c r="E264" s="48"/>
      <c r="F264" s="48"/>
      <c r="G264" s="48"/>
      <c r="H264" s="48"/>
      <c r="I264" s="48"/>
      <c r="J264" s="48"/>
      <c r="K264" s="48"/>
      <c r="L264" s="48"/>
      <c r="M264" s="48"/>
      <c r="N264" s="48"/>
      <c r="O264" s="48"/>
      <c r="P264" s="48"/>
      <c r="Q264" s="48"/>
      <c r="R264" s="48"/>
      <c r="S264" s="48"/>
      <c r="T264" s="48"/>
    </row>
    <row r="265" spans="1:20" s="2" customFormat="1" x14ac:dyDescent="0.3">
      <c r="A265" s="4"/>
      <c r="B265" s="48"/>
      <c r="C265" s="48"/>
      <c r="D265" s="48"/>
      <c r="E265" s="48"/>
      <c r="F265" s="48"/>
      <c r="G265" s="48"/>
      <c r="H265" s="48"/>
      <c r="I265" s="48"/>
      <c r="J265" s="48"/>
      <c r="K265" s="48"/>
      <c r="L265" s="48"/>
      <c r="M265" s="48"/>
      <c r="N265" s="48"/>
      <c r="O265" s="48"/>
      <c r="P265" s="48"/>
      <c r="Q265" s="48"/>
      <c r="R265" s="48"/>
      <c r="S265" s="48"/>
      <c r="T265" s="48"/>
    </row>
    <row r="266" spans="1:20" s="2" customFormat="1" x14ac:dyDescent="0.3">
      <c r="A266" s="4"/>
      <c r="B266" s="48"/>
      <c r="C266" s="48"/>
      <c r="D266" s="48"/>
      <c r="E266" s="48"/>
      <c r="F266" s="48"/>
      <c r="G266" s="48"/>
      <c r="H266" s="48"/>
      <c r="I266" s="48"/>
      <c r="J266" s="48"/>
      <c r="K266" s="48"/>
      <c r="L266" s="48"/>
      <c r="M266" s="48"/>
      <c r="N266" s="48"/>
      <c r="O266" s="48"/>
      <c r="P266" s="48"/>
      <c r="Q266" s="48"/>
      <c r="R266" s="48"/>
      <c r="S266" s="48"/>
      <c r="T266" s="48"/>
    </row>
    <row r="267" spans="1:20" s="2" customFormat="1" x14ac:dyDescent="0.3">
      <c r="A267" s="4"/>
    </row>
    <row r="268" spans="1:20" s="2" customFormat="1" x14ac:dyDescent="0.3">
      <c r="A268" s="4"/>
    </row>
  </sheetData>
  <mergeCells count="338">
    <mergeCell ref="B137:T137"/>
    <mergeCell ref="B147:T147"/>
    <mergeCell ref="B148:T148"/>
    <mergeCell ref="B149:T149"/>
    <mergeCell ref="B150:T150"/>
    <mergeCell ref="B151:T151"/>
    <mergeCell ref="B138:T138"/>
    <mergeCell ref="B139:T139"/>
    <mergeCell ref="B140:T140"/>
    <mergeCell ref="B141:T141"/>
    <mergeCell ref="B142:T142"/>
    <mergeCell ref="B143:T143"/>
    <mergeCell ref="B144:T144"/>
    <mergeCell ref="B145:T145"/>
    <mergeCell ref="B146:T146"/>
    <mergeCell ref="A1:T1"/>
    <mergeCell ref="B3:T3"/>
    <mergeCell ref="B235:T235"/>
    <mergeCell ref="B236:G236"/>
    <mergeCell ref="B238:G238"/>
    <mergeCell ref="B58:T58"/>
    <mergeCell ref="B94:T94"/>
    <mergeCell ref="B85:T85"/>
    <mergeCell ref="B65:T65"/>
    <mergeCell ref="B56:T56"/>
    <mergeCell ref="B61:T61"/>
    <mergeCell ref="B60:T60"/>
    <mergeCell ref="B62:T62"/>
    <mergeCell ref="B66:T66"/>
    <mergeCell ref="B80:T80"/>
    <mergeCell ref="B86:T86"/>
    <mergeCell ref="B95:T95"/>
    <mergeCell ref="B96:T96"/>
    <mergeCell ref="B97:T97"/>
    <mergeCell ref="B98:T98"/>
    <mergeCell ref="B106:T106"/>
    <mergeCell ref="B107:T107"/>
    <mergeCell ref="B108:T108"/>
    <mergeCell ref="B109:T109"/>
    <mergeCell ref="B213:T213"/>
    <mergeCell ref="B214:T214"/>
    <mergeCell ref="B215:T215"/>
    <mergeCell ref="B218:T218"/>
    <mergeCell ref="B228:T228"/>
    <mergeCell ref="B219:T219"/>
    <mergeCell ref="B53:T53"/>
    <mergeCell ref="B59:T59"/>
    <mergeCell ref="B63:T63"/>
    <mergeCell ref="B64:T64"/>
    <mergeCell ref="B174:T174"/>
    <mergeCell ref="B175:T175"/>
    <mergeCell ref="B172:T172"/>
    <mergeCell ref="B173:T173"/>
    <mergeCell ref="B110:T110"/>
    <mergeCell ref="B111:T111"/>
    <mergeCell ref="B112:T112"/>
    <mergeCell ref="B113:T113"/>
    <mergeCell ref="B114:T114"/>
    <mergeCell ref="B115:T115"/>
    <mergeCell ref="B133:T133"/>
    <mergeCell ref="B134:T134"/>
    <mergeCell ref="B135:T135"/>
    <mergeCell ref="B136:T136"/>
    <mergeCell ref="B25:C25"/>
    <mergeCell ref="D25:E25"/>
    <mergeCell ref="F25:G25"/>
    <mergeCell ref="B5:T5"/>
    <mergeCell ref="I261:J261"/>
    <mergeCell ref="B262:G262"/>
    <mergeCell ref="I262:J262"/>
    <mergeCell ref="B260:G260"/>
    <mergeCell ref="B261:G261"/>
    <mergeCell ref="I247:J247"/>
    <mergeCell ref="I248:J248"/>
    <mergeCell ref="I249:J249"/>
    <mergeCell ref="I250:J250"/>
    <mergeCell ref="I251:J251"/>
    <mergeCell ref="B258:G258"/>
    <mergeCell ref="B259:G259"/>
    <mergeCell ref="B244:T244"/>
    <mergeCell ref="B195:T195"/>
    <mergeCell ref="B196:T196"/>
    <mergeCell ref="B197:T197"/>
    <mergeCell ref="B198:T198"/>
    <mergeCell ref="B10:T10"/>
    <mergeCell ref="H18:H19"/>
    <mergeCell ref="B220:T220"/>
    <mergeCell ref="B247:G247"/>
    <mergeCell ref="B237:G237"/>
    <mergeCell ref="B248:G248"/>
    <mergeCell ref="B249:G249"/>
    <mergeCell ref="B210:T210"/>
    <mergeCell ref="B211:T211"/>
    <mergeCell ref="B212:T212"/>
    <mergeCell ref="B199:T199"/>
    <mergeCell ref="B200:T200"/>
    <mergeCell ref="B201:T201"/>
    <mergeCell ref="B216:T216"/>
    <mergeCell ref="B217:T217"/>
    <mergeCell ref="B239:G239"/>
    <mergeCell ref="B240:G240"/>
    <mergeCell ref="B241:G241"/>
    <mergeCell ref="B242:G242"/>
    <mergeCell ref="B229:T229"/>
    <mergeCell ref="B230:T230"/>
    <mergeCell ref="B233:T233"/>
    <mergeCell ref="B231:T231"/>
    <mergeCell ref="B232:T232"/>
    <mergeCell ref="H236:T236"/>
    <mergeCell ref="H238:T238"/>
    <mergeCell ref="B221:T221"/>
    <mergeCell ref="B72:T72"/>
    <mergeCell ref="B70:T70"/>
    <mergeCell ref="B71:T71"/>
    <mergeCell ref="B73:T73"/>
    <mergeCell ref="B74:T74"/>
    <mergeCell ref="B67:T67"/>
    <mergeCell ref="B68:T68"/>
    <mergeCell ref="B69:T69"/>
    <mergeCell ref="B191:T191"/>
    <mergeCell ref="B87:T87"/>
    <mergeCell ref="B88:T88"/>
    <mergeCell ref="B89:T89"/>
    <mergeCell ref="B90:T90"/>
    <mergeCell ref="B103:T103"/>
    <mergeCell ref="B104:T104"/>
    <mergeCell ref="B92:T92"/>
    <mergeCell ref="B152:T152"/>
    <mergeCell ref="B157:T157"/>
    <mergeCell ref="B160:T160"/>
    <mergeCell ref="B161:T161"/>
    <mergeCell ref="B129:T129"/>
    <mergeCell ref="B130:T130"/>
    <mergeCell ref="B131:T131"/>
    <mergeCell ref="B132:T132"/>
    <mergeCell ref="B266:T266"/>
    <mergeCell ref="B163:T163"/>
    <mergeCell ref="B75:T75"/>
    <mergeCell ref="B164:T164"/>
    <mergeCell ref="B245:T245"/>
    <mergeCell ref="B153:T153"/>
    <mergeCell ref="B165:T165"/>
    <mergeCell ref="B166:T166"/>
    <mergeCell ref="B243:T243"/>
    <mergeCell ref="B234:T234"/>
    <mergeCell ref="B78:T78"/>
    <mergeCell ref="B82:T82"/>
    <mergeCell ref="B83:T83"/>
    <mergeCell ref="B84:T84"/>
    <mergeCell ref="B77:T77"/>
    <mergeCell ref="B202:T202"/>
    <mergeCell ref="B203:T203"/>
    <mergeCell ref="B76:T76"/>
    <mergeCell ref="B79:T79"/>
    <mergeCell ref="B81:T81"/>
    <mergeCell ref="B91:T91"/>
    <mergeCell ref="B93:T93"/>
    <mergeCell ref="B263:T263"/>
    <mergeCell ref="B192:T192"/>
    <mergeCell ref="B122:T122"/>
    <mergeCell ref="B123:T123"/>
    <mergeCell ref="B124:T124"/>
    <mergeCell ref="B125:T125"/>
    <mergeCell ref="B126:T126"/>
    <mergeCell ref="B127:T127"/>
    <mergeCell ref="B128:T128"/>
    <mergeCell ref="B264:T264"/>
    <mergeCell ref="B265:T265"/>
    <mergeCell ref="B246:T246"/>
    <mergeCell ref="B194:T194"/>
    <mergeCell ref="B255:G255"/>
    <mergeCell ref="B256:G256"/>
    <mergeCell ref="B257:G257"/>
    <mergeCell ref="B250:G250"/>
    <mergeCell ref="B251:G251"/>
    <mergeCell ref="B252:G252"/>
    <mergeCell ref="B253:G253"/>
    <mergeCell ref="B254:G254"/>
    <mergeCell ref="I252:J252"/>
    <mergeCell ref="I253:J253"/>
    <mergeCell ref="I254:J254"/>
    <mergeCell ref="I255:J255"/>
    <mergeCell ref="I256:J256"/>
    <mergeCell ref="B4:T4"/>
    <mergeCell ref="B16:T16"/>
    <mergeCell ref="B17:T17"/>
    <mergeCell ref="B8:T8"/>
    <mergeCell ref="B55:T55"/>
    <mergeCell ref="B57:T57"/>
    <mergeCell ref="B6:T6"/>
    <mergeCell ref="B39:T39"/>
    <mergeCell ref="B40:T40"/>
    <mergeCell ref="E15:T15"/>
    <mergeCell ref="B47:T47"/>
    <mergeCell ref="B48:T48"/>
    <mergeCell ref="B52:T52"/>
    <mergeCell ref="B15:C15"/>
    <mergeCell ref="B51:T51"/>
    <mergeCell ref="B54:T54"/>
    <mergeCell ref="B41:T41"/>
    <mergeCell ref="B42:T42"/>
    <mergeCell ref="B43:T43"/>
    <mergeCell ref="B45:T45"/>
    <mergeCell ref="B9:T9"/>
    <mergeCell ref="B46:T46"/>
    <mergeCell ref="B49:T49"/>
    <mergeCell ref="B50:T50"/>
    <mergeCell ref="B182:T182"/>
    <mergeCell ref="B183:T183"/>
    <mergeCell ref="B184:T184"/>
    <mergeCell ref="B185:T185"/>
    <mergeCell ref="B186:T186"/>
    <mergeCell ref="B187:T187"/>
    <mergeCell ref="B190:T190"/>
    <mergeCell ref="B207:T207"/>
    <mergeCell ref="B208:T208"/>
    <mergeCell ref="B204:T204"/>
    <mergeCell ref="B206:T206"/>
    <mergeCell ref="B193:T193"/>
    <mergeCell ref="B178:T178"/>
    <mergeCell ref="B179:T179"/>
    <mergeCell ref="B180:T180"/>
    <mergeCell ref="B181:T181"/>
    <mergeCell ref="B205:T205"/>
    <mergeCell ref="B209:T209"/>
    <mergeCell ref="A2:T2"/>
    <mergeCell ref="K258:T258"/>
    <mergeCell ref="K259:T259"/>
    <mergeCell ref="B222:T222"/>
    <mergeCell ref="B223:T223"/>
    <mergeCell ref="B224:T224"/>
    <mergeCell ref="B225:T225"/>
    <mergeCell ref="B226:T226"/>
    <mergeCell ref="B227:T227"/>
    <mergeCell ref="F33:G33"/>
    <mergeCell ref="B12:T12"/>
    <mergeCell ref="B188:T188"/>
    <mergeCell ref="B189:T189"/>
    <mergeCell ref="B29:C29"/>
    <mergeCell ref="F29:G29"/>
    <mergeCell ref="B30:C30"/>
    <mergeCell ref="F30:G30"/>
    <mergeCell ref="D20:E20"/>
    <mergeCell ref="H239:T239"/>
    <mergeCell ref="H240:T240"/>
    <mergeCell ref="H241:T241"/>
    <mergeCell ref="H242:T242"/>
    <mergeCell ref="H237:T237"/>
    <mergeCell ref="K247:T247"/>
    <mergeCell ref="K248:T248"/>
    <mergeCell ref="K262:T262"/>
    <mergeCell ref="K249:T249"/>
    <mergeCell ref="K250:T250"/>
    <mergeCell ref="K251:T251"/>
    <mergeCell ref="K252:T252"/>
    <mergeCell ref="K253:T253"/>
    <mergeCell ref="K254:T254"/>
    <mergeCell ref="K255:T255"/>
    <mergeCell ref="K256:T256"/>
    <mergeCell ref="K257:T257"/>
    <mergeCell ref="K260:T260"/>
    <mergeCell ref="K261:T261"/>
    <mergeCell ref="I257:J257"/>
    <mergeCell ref="I258:J258"/>
    <mergeCell ref="I259:J259"/>
    <mergeCell ref="I260:J260"/>
    <mergeCell ref="B7:T7"/>
    <mergeCell ref="J18:S18"/>
    <mergeCell ref="B167:T167"/>
    <mergeCell ref="B168:T168"/>
    <mergeCell ref="B169:T169"/>
    <mergeCell ref="B18:E19"/>
    <mergeCell ref="B34:T34"/>
    <mergeCell ref="B31:C31"/>
    <mergeCell ref="D31:E31"/>
    <mergeCell ref="F31:G31"/>
    <mergeCell ref="B32:C32"/>
    <mergeCell ref="D32:E32"/>
    <mergeCell ref="B11:T11"/>
    <mergeCell ref="B13:T13"/>
    <mergeCell ref="B14:T14"/>
    <mergeCell ref="B44:T44"/>
    <mergeCell ref="B28:C28"/>
    <mergeCell ref="D28:E28"/>
    <mergeCell ref="F28:G28"/>
    <mergeCell ref="F20:G20"/>
    <mergeCell ref="B26:C26"/>
    <mergeCell ref="F32:G32"/>
    <mergeCell ref="F26:G26"/>
    <mergeCell ref="B20:C20"/>
    <mergeCell ref="B177:T177"/>
    <mergeCell ref="A18:A19"/>
    <mergeCell ref="F18:G19"/>
    <mergeCell ref="I18:I19"/>
    <mergeCell ref="D21:E21"/>
    <mergeCell ref="F21:G21"/>
    <mergeCell ref="B21:C21"/>
    <mergeCell ref="D26:E26"/>
    <mergeCell ref="D29:E29"/>
    <mergeCell ref="D30:E30"/>
    <mergeCell ref="D22:E22"/>
    <mergeCell ref="F22:G22"/>
    <mergeCell ref="B23:C23"/>
    <mergeCell ref="D23:E23"/>
    <mergeCell ref="F23:G23"/>
    <mergeCell ref="B24:C24"/>
    <mergeCell ref="D24:E24"/>
    <mergeCell ref="F24:G24"/>
    <mergeCell ref="B27:C27"/>
    <mergeCell ref="D27:E27"/>
    <mergeCell ref="D33:E33"/>
    <mergeCell ref="B33:C33"/>
    <mergeCell ref="B162:T162"/>
    <mergeCell ref="B99:T99"/>
    <mergeCell ref="B35:T35"/>
    <mergeCell ref="B36:T36"/>
    <mergeCell ref="B37:T37"/>
    <mergeCell ref="B38:T38"/>
    <mergeCell ref="B22:C22"/>
    <mergeCell ref="F27:G27"/>
    <mergeCell ref="B170:T170"/>
    <mergeCell ref="B171:T171"/>
    <mergeCell ref="B176:T176"/>
    <mergeCell ref="B100:T100"/>
    <mergeCell ref="B101:T101"/>
    <mergeCell ref="B102:T102"/>
    <mergeCell ref="B105:T105"/>
    <mergeCell ref="B158:T158"/>
    <mergeCell ref="B159:T159"/>
    <mergeCell ref="B154:T154"/>
    <mergeCell ref="B155:T155"/>
    <mergeCell ref="B156:T156"/>
    <mergeCell ref="B116:T116"/>
    <mergeCell ref="B117:T117"/>
    <mergeCell ref="B118:T118"/>
    <mergeCell ref="B119:T119"/>
    <mergeCell ref="B120:T120"/>
    <mergeCell ref="B121:T121"/>
  </mergeCells>
  <printOptions horizontalCentered="1"/>
  <pageMargins left="0.5" right="0.5" top="0.5" bottom="0.5" header="0.25" footer="0.25"/>
  <pageSetup paperSize="5" scale="95" fitToHeight="13" orientation="landscape" horizontalDpi="4294967294" verticalDpi="0" r:id="rId1"/>
  <headerFooter>
    <oddFooter>Page &amp;P&amp;R&amp;Z&amp;F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5"/>
  <sheetViews>
    <sheetView workbookViewId="0">
      <selection activeCell="C37" sqref="C37"/>
    </sheetView>
  </sheetViews>
  <sheetFormatPr defaultRowHeight="15.05" x14ac:dyDescent="0.3"/>
  <cols>
    <col min="1" max="2" width="53.44140625" bestFit="1" customWidth="1"/>
  </cols>
  <sheetData>
    <row r="1" spans="1:2" ht="15.75" thickBot="1" x14ac:dyDescent="0.35">
      <c r="A1" s="46" t="s">
        <v>259</v>
      </c>
      <c r="B1" s="47" t="s">
        <v>260</v>
      </c>
    </row>
    <row r="2" spans="1:2" ht="15.75" thickBot="1" x14ac:dyDescent="0.35">
      <c r="A2" s="37"/>
      <c r="B2" s="37"/>
    </row>
    <row r="3" spans="1:2" ht="15.75" thickBot="1" x14ac:dyDescent="0.35">
      <c r="A3" s="46" t="s">
        <v>261</v>
      </c>
      <c r="B3" s="47" t="s">
        <v>262</v>
      </c>
    </row>
    <row r="4" spans="1:2" x14ac:dyDescent="0.3">
      <c r="A4" s="43" t="s">
        <v>225</v>
      </c>
      <c r="B4" s="39" t="s">
        <v>250</v>
      </c>
    </row>
    <row r="5" spans="1:2" x14ac:dyDescent="0.3">
      <c r="A5" s="44" t="s">
        <v>226</v>
      </c>
      <c r="B5" s="40" t="s">
        <v>226</v>
      </c>
    </row>
    <row r="6" spans="1:2" x14ac:dyDescent="0.3">
      <c r="A6" s="44" t="s">
        <v>227</v>
      </c>
      <c r="B6" s="40" t="s">
        <v>227</v>
      </c>
    </row>
    <row r="7" spans="1:2" x14ac:dyDescent="0.3">
      <c r="A7" s="44" t="s">
        <v>228</v>
      </c>
      <c r="B7" s="40" t="s">
        <v>228</v>
      </c>
    </row>
    <row r="8" spans="1:2" x14ac:dyDescent="0.3">
      <c r="A8" s="44" t="s">
        <v>229</v>
      </c>
      <c r="B8" s="40" t="s">
        <v>229</v>
      </c>
    </row>
    <row r="9" spans="1:2" x14ac:dyDescent="0.3">
      <c r="A9" s="44" t="s">
        <v>230</v>
      </c>
      <c r="B9" s="40" t="s">
        <v>230</v>
      </c>
    </row>
    <row r="10" spans="1:2" x14ac:dyDescent="0.3">
      <c r="A10" s="44" t="s">
        <v>231</v>
      </c>
      <c r="B10" s="40" t="s">
        <v>231</v>
      </c>
    </row>
    <row r="11" spans="1:2" x14ac:dyDescent="0.3">
      <c r="A11" s="44" t="s">
        <v>232</v>
      </c>
      <c r="B11" s="40" t="s">
        <v>232</v>
      </c>
    </row>
    <row r="12" spans="1:2" x14ac:dyDescent="0.3">
      <c r="A12" s="44" t="s">
        <v>233</v>
      </c>
      <c r="B12" s="40" t="s">
        <v>251</v>
      </c>
    </row>
    <row r="13" spans="1:2" x14ac:dyDescent="0.3">
      <c r="A13" s="44" t="s">
        <v>234</v>
      </c>
      <c r="B13" s="40" t="s">
        <v>252</v>
      </c>
    </row>
    <row r="14" spans="1:2" x14ac:dyDescent="0.3">
      <c r="A14" s="44" t="s">
        <v>235</v>
      </c>
      <c r="B14" s="40" t="s">
        <v>253</v>
      </c>
    </row>
    <row r="15" spans="1:2" x14ac:dyDescent="0.3">
      <c r="A15" s="44" t="s">
        <v>236</v>
      </c>
      <c r="B15" s="40" t="s">
        <v>254</v>
      </c>
    </row>
    <row r="16" spans="1:2" x14ac:dyDescent="0.3">
      <c r="A16" s="44" t="s">
        <v>237</v>
      </c>
      <c r="B16" s="41"/>
    </row>
    <row r="17" spans="1:2" x14ac:dyDescent="0.3">
      <c r="A17" s="44" t="s">
        <v>238</v>
      </c>
      <c r="B17" s="41"/>
    </row>
    <row r="18" spans="1:2" x14ac:dyDescent="0.3">
      <c r="A18" s="44" t="s">
        <v>239</v>
      </c>
      <c r="B18" s="41"/>
    </row>
    <row r="19" spans="1:2" ht="15.75" thickBot="1" x14ac:dyDescent="0.35">
      <c r="A19" s="45" t="s">
        <v>240</v>
      </c>
      <c r="B19" s="42"/>
    </row>
    <row r="20" spans="1:2" ht="15.75" thickBot="1" x14ac:dyDescent="0.35">
      <c r="A20" s="34"/>
    </row>
    <row r="21" spans="1:2" ht="15.75" thickBot="1" x14ac:dyDescent="0.35">
      <c r="A21" s="46" t="s">
        <v>263</v>
      </c>
      <c r="B21" s="47" t="s">
        <v>264</v>
      </c>
    </row>
    <row r="22" spans="1:2" x14ac:dyDescent="0.3">
      <c r="A22" s="43" t="s">
        <v>241</v>
      </c>
      <c r="B22" s="39" t="s">
        <v>255</v>
      </c>
    </row>
    <row r="23" spans="1:2" x14ac:dyDescent="0.3">
      <c r="A23" s="44" t="s">
        <v>226</v>
      </c>
      <c r="B23" s="40" t="s">
        <v>226</v>
      </c>
    </row>
    <row r="24" spans="1:2" x14ac:dyDescent="0.3">
      <c r="A24" s="44" t="s">
        <v>227</v>
      </c>
      <c r="B24" s="40" t="s">
        <v>227</v>
      </c>
    </row>
    <row r="25" spans="1:2" x14ac:dyDescent="0.3">
      <c r="A25" s="44" t="s">
        <v>242</v>
      </c>
      <c r="B25" s="40" t="s">
        <v>242</v>
      </c>
    </row>
    <row r="26" spans="1:2" x14ac:dyDescent="0.3">
      <c r="A26" s="44" t="s">
        <v>243</v>
      </c>
      <c r="B26" s="40" t="s">
        <v>243</v>
      </c>
    </row>
    <row r="27" spans="1:2" x14ac:dyDescent="0.3">
      <c r="A27" s="44" t="s">
        <v>244</v>
      </c>
      <c r="B27" s="40" t="s">
        <v>244</v>
      </c>
    </row>
    <row r="28" spans="1:2" x14ac:dyDescent="0.3">
      <c r="A28" s="44" t="s">
        <v>231</v>
      </c>
      <c r="B28" s="40" t="s">
        <v>231</v>
      </c>
    </row>
    <row r="29" spans="1:2" x14ac:dyDescent="0.3">
      <c r="A29" s="44" t="s">
        <v>232</v>
      </c>
      <c r="B29" s="40" t="s">
        <v>232</v>
      </c>
    </row>
    <row r="30" spans="1:2" x14ac:dyDescent="0.3">
      <c r="A30" s="44" t="s">
        <v>245</v>
      </c>
      <c r="B30" s="40" t="s">
        <v>256</v>
      </c>
    </row>
    <row r="31" spans="1:2" x14ac:dyDescent="0.3">
      <c r="A31" s="44" t="s">
        <v>246</v>
      </c>
      <c r="B31" s="40" t="s">
        <v>257</v>
      </c>
    </row>
    <row r="32" spans="1:2" x14ac:dyDescent="0.3">
      <c r="A32" s="44" t="s">
        <v>247</v>
      </c>
      <c r="B32" s="40" t="s">
        <v>258</v>
      </c>
    </row>
    <row r="33" spans="1:2" x14ac:dyDescent="0.3">
      <c r="A33" s="44" t="s">
        <v>248</v>
      </c>
      <c r="B33" s="40" t="s">
        <v>254</v>
      </c>
    </row>
    <row r="34" spans="1:2" x14ac:dyDescent="0.3">
      <c r="A34" s="44" t="s">
        <v>249</v>
      </c>
      <c r="B34" s="41"/>
    </row>
    <row r="35" spans="1:2" x14ac:dyDescent="0.3">
      <c r="A35" s="44" t="s">
        <v>238</v>
      </c>
      <c r="B35" s="41"/>
    </row>
    <row r="36" spans="1:2" x14ac:dyDescent="0.3">
      <c r="A36" s="44" t="s">
        <v>239</v>
      </c>
      <c r="B36" s="41"/>
    </row>
    <row r="37" spans="1:2" ht="15.75" thickBot="1" x14ac:dyDescent="0.35">
      <c r="A37" s="45" t="s">
        <v>240</v>
      </c>
      <c r="B37" s="42"/>
    </row>
    <row r="38" spans="1:2" x14ac:dyDescent="0.3">
      <c r="A38" s="34"/>
    </row>
    <row r="39" spans="1:2" x14ac:dyDescent="0.3">
      <c r="A39" s="34"/>
    </row>
    <row r="55" spans="1:1" x14ac:dyDescent="0.3">
      <c r="A55" s="3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5.05"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Divergence</vt:lpstr>
      <vt:lpstr>Rules at Glance</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Anne Parimal</dc:creator>
  <cp:lastModifiedBy>Rosita Pereira</cp:lastModifiedBy>
  <cp:lastPrinted>2015-07-23T07:47:20Z</cp:lastPrinted>
  <dcterms:created xsi:type="dcterms:W3CDTF">2014-03-19T09:31:52Z</dcterms:created>
  <dcterms:modified xsi:type="dcterms:W3CDTF">2024-10-05T23:40:15Z</dcterms:modified>
</cp:coreProperties>
</file>