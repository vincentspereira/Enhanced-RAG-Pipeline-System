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Vincent\Current Working Files\Trading Files - New\"/>
    </mc:Choice>
  </mc:AlternateContent>
  <xr:revisionPtr revIDLastSave="0" documentId="13_ncr:1_{3C9A7B63-F06A-450E-92EB-74686124908E}" xr6:coauthVersionLast="47" xr6:coauthVersionMax="47" xr10:uidLastSave="{00000000-0000-0000-0000-000000000000}"/>
  <bookViews>
    <workbookView xWindow="-120" yWindow="-120" windowWidth="38640" windowHeight="23520" xr2:uid="{00000000-000D-0000-FFFF-FFFF00000000}"/>
  </bookViews>
  <sheets>
    <sheet name="Risk per Trade Sample" sheetId="4" r:id="rId1"/>
    <sheet name="ORB Rules" sheetId="5" r:id="rId2"/>
    <sheet name="Base Data" sheetId="2" r:id="rId3"/>
    <sheet name="Gap Z, OH-OL &amp; Prev. BO Rules" sheetId="7" r:id="rId4"/>
    <sheet name="ORB" sheetId="3" r:id="rId5"/>
    <sheet name="BNF-Nifty" sheetId="1" r:id="rId6"/>
  </sheets>
  <externalReferences>
    <externalReference r:id="rId7"/>
    <externalReference r:id="rId8"/>
    <externalReference r:id="rId9"/>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Z69" i="1" l="1"/>
  <c r="AU69" i="1"/>
  <c r="AQ69" i="1"/>
  <c r="AP69" i="1"/>
  <c r="AL69" i="1"/>
  <c r="AK69" i="1"/>
  <c r="AG69" i="1"/>
  <c r="AF69" i="1"/>
  <c r="AB69" i="1"/>
  <c r="AA69" i="1"/>
  <c r="X69" i="1"/>
  <c r="R69" i="1"/>
  <c r="AZ67" i="1"/>
  <c r="AU67" i="1"/>
  <c r="AQ67" i="1"/>
  <c r="AP67" i="1"/>
  <c r="AL67" i="1"/>
  <c r="AK67" i="1"/>
  <c r="AG67" i="1"/>
  <c r="AF67" i="1"/>
  <c r="AB67" i="1"/>
  <c r="AA67" i="1"/>
  <c r="X67" i="1"/>
  <c r="R67" i="1"/>
  <c r="BC65" i="1"/>
  <c r="BB65" i="1"/>
  <c r="BA65" i="1"/>
  <c r="AZ65" i="1"/>
  <c r="AY65" i="1"/>
  <c r="AX65" i="1"/>
  <c r="AW65" i="1"/>
  <c r="AV65" i="1"/>
  <c r="AU65" i="1"/>
  <c r="AT65" i="1"/>
  <c r="AS65" i="1"/>
  <c r="AR65" i="1"/>
  <c r="AQ65" i="1"/>
  <c r="AP65" i="1"/>
  <c r="AO65" i="1"/>
  <c r="AN65" i="1"/>
  <c r="AM65" i="1"/>
  <c r="AL65" i="1"/>
  <c r="AK65" i="1"/>
  <c r="AJ65" i="1"/>
  <c r="AI65" i="1"/>
  <c r="AH65" i="1"/>
  <c r="AG65" i="1"/>
  <c r="AF65" i="1"/>
  <c r="AE65" i="1"/>
  <c r="AD65" i="1"/>
  <c r="AC65" i="1"/>
  <c r="AB65" i="1"/>
  <c r="AA65" i="1"/>
  <c r="Z65" i="1"/>
  <c r="X65" i="1"/>
  <c r="W65" i="1"/>
  <c r="V65" i="1"/>
  <c r="U65" i="1"/>
  <c r="T65" i="1"/>
  <c r="S65" i="1"/>
  <c r="R65" i="1"/>
  <c r="Q65" i="1"/>
  <c r="P65" i="1"/>
  <c r="O65" i="1"/>
  <c r="N65" i="1"/>
  <c r="M65" i="1"/>
  <c r="L65" i="1"/>
  <c r="BC63" i="1"/>
  <c r="BB63" i="1"/>
  <c r="BA63" i="1"/>
  <c r="AZ63" i="1"/>
  <c r="AY63" i="1"/>
  <c r="AX63" i="1"/>
  <c r="AW63" i="1"/>
  <c r="AV63" i="1"/>
  <c r="AU63" i="1"/>
  <c r="AT63" i="1"/>
  <c r="AS63" i="1"/>
  <c r="AR63" i="1"/>
  <c r="AQ63" i="1"/>
  <c r="AP63" i="1"/>
  <c r="AO63" i="1"/>
  <c r="AN63" i="1"/>
  <c r="AM63" i="1"/>
  <c r="AL63" i="1"/>
  <c r="AK63" i="1"/>
  <c r="AJ63" i="1"/>
  <c r="AI63" i="1"/>
  <c r="AH63" i="1"/>
  <c r="AG63" i="1"/>
  <c r="AF63" i="1"/>
  <c r="AE63" i="1"/>
  <c r="AD63" i="1"/>
  <c r="AC63" i="1"/>
  <c r="AB63" i="1"/>
  <c r="AA63" i="1"/>
  <c r="Z63" i="1"/>
  <c r="X63" i="1"/>
  <c r="W63" i="1"/>
  <c r="V63" i="1"/>
  <c r="U63" i="1"/>
  <c r="T63" i="1"/>
  <c r="S63" i="1"/>
  <c r="R63" i="1"/>
  <c r="Q63" i="1"/>
  <c r="P63" i="1"/>
  <c r="O63" i="1"/>
  <c r="N63" i="1"/>
  <c r="M63" i="1"/>
  <c r="L63" i="1"/>
  <c r="BC62" i="1"/>
  <c r="BB62" i="1"/>
  <c r="BA62" i="1"/>
  <c r="AZ62" i="1"/>
  <c r="AY62" i="1"/>
  <c r="AX62" i="1"/>
  <c r="AW62" i="1"/>
  <c r="AV62" i="1"/>
  <c r="AU62" i="1"/>
  <c r="AT62" i="1"/>
  <c r="AS62" i="1"/>
  <c r="AR62" i="1"/>
  <c r="AQ62" i="1"/>
  <c r="AP62" i="1"/>
  <c r="AO62" i="1"/>
  <c r="AN62" i="1"/>
  <c r="AM62" i="1"/>
  <c r="AL62" i="1"/>
  <c r="AK62" i="1"/>
  <c r="AJ62" i="1"/>
  <c r="AI62" i="1"/>
  <c r="AH62" i="1"/>
  <c r="AG62" i="1"/>
  <c r="AF62" i="1"/>
  <c r="AE62" i="1"/>
  <c r="AD62" i="1"/>
  <c r="AC62" i="1"/>
  <c r="AB62" i="1"/>
  <c r="AA62" i="1"/>
  <c r="Z62" i="1"/>
  <c r="X62" i="1"/>
  <c r="W62" i="1"/>
  <c r="V62" i="1"/>
  <c r="U62" i="1"/>
  <c r="T62" i="1"/>
  <c r="S62" i="1"/>
  <c r="R62" i="1"/>
  <c r="Q62" i="1"/>
  <c r="P62" i="1"/>
  <c r="O62" i="1"/>
  <c r="N62" i="1"/>
  <c r="M62" i="1"/>
  <c r="L62" i="1"/>
  <c r="BC61" i="1"/>
  <c r="BB61" i="1"/>
  <c r="BA61" i="1"/>
  <c r="AZ61" i="1"/>
  <c r="AY61" i="1"/>
  <c r="AX61" i="1"/>
  <c r="AW61" i="1"/>
  <c r="AV61" i="1"/>
  <c r="AU61" i="1"/>
  <c r="AT61" i="1"/>
  <c r="AS61" i="1"/>
  <c r="AR61" i="1"/>
  <c r="AQ61" i="1"/>
  <c r="AP61" i="1"/>
  <c r="AO61" i="1"/>
  <c r="AN61" i="1"/>
  <c r="AM61" i="1"/>
  <c r="AL61" i="1"/>
  <c r="AK61" i="1"/>
  <c r="AJ61" i="1"/>
  <c r="AI61" i="1"/>
  <c r="AH61" i="1"/>
  <c r="AG61" i="1"/>
  <c r="AF61" i="1"/>
  <c r="AE61" i="1"/>
  <c r="AD61" i="1"/>
  <c r="AC61" i="1"/>
  <c r="AB61" i="1"/>
  <c r="AA61" i="1"/>
  <c r="Z61" i="1"/>
  <c r="X61" i="1"/>
  <c r="W61" i="1"/>
  <c r="V61" i="1"/>
  <c r="U61" i="1"/>
  <c r="T61" i="1"/>
  <c r="S61" i="1"/>
  <c r="R61" i="1"/>
  <c r="Q61" i="1"/>
  <c r="P61" i="1"/>
  <c r="O61" i="1"/>
  <c r="N61" i="1"/>
  <c r="M61" i="1"/>
  <c r="L61" i="1"/>
  <c r="BC60" i="1"/>
  <c r="BB60" i="1"/>
  <c r="BA60"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X60" i="1"/>
  <c r="W60" i="1"/>
  <c r="V60" i="1"/>
  <c r="U60" i="1"/>
  <c r="T60" i="1"/>
  <c r="S60" i="1"/>
  <c r="R60" i="1"/>
  <c r="Q60" i="1"/>
  <c r="P60" i="1"/>
  <c r="O60" i="1"/>
  <c r="N60" i="1"/>
  <c r="M60" i="1"/>
  <c r="L60" i="1"/>
  <c r="BC59" i="1"/>
  <c r="BB59" i="1"/>
  <c r="BA59" i="1"/>
  <c r="AZ59" i="1"/>
  <c r="AY59" i="1"/>
  <c r="AX59" i="1"/>
  <c r="AW59" i="1"/>
  <c r="AV59" i="1"/>
  <c r="AU59" i="1"/>
  <c r="AT59" i="1"/>
  <c r="AS59" i="1"/>
  <c r="AR59" i="1"/>
  <c r="AQ59" i="1"/>
  <c r="AP59" i="1"/>
  <c r="AO59" i="1"/>
  <c r="AN59" i="1"/>
  <c r="AM59" i="1"/>
  <c r="AL59" i="1"/>
  <c r="AK59" i="1"/>
  <c r="AJ59" i="1"/>
  <c r="AI59" i="1"/>
  <c r="AH59" i="1"/>
  <c r="AG59" i="1"/>
  <c r="AF59" i="1"/>
  <c r="AE59" i="1"/>
  <c r="AD59" i="1"/>
  <c r="AC59" i="1"/>
  <c r="AB59" i="1"/>
  <c r="AA59" i="1"/>
  <c r="Z59" i="1"/>
  <c r="X59" i="1"/>
  <c r="W59" i="1"/>
  <c r="V59" i="1"/>
  <c r="U59" i="1"/>
  <c r="T59" i="1"/>
  <c r="S59" i="1"/>
  <c r="R59" i="1"/>
  <c r="Q59" i="1"/>
  <c r="P59" i="1"/>
  <c r="O59" i="1"/>
  <c r="N59" i="1"/>
  <c r="M59" i="1"/>
  <c r="L59" i="1"/>
  <c r="BC58" i="1"/>
  <c r="BB58" i="1"/>
  <c r="BA58" i="1"/>
  <c r="AZ58" i="1"/>
  <c r="AY58" i="1"/>
  <c r="AX58" i="1"/>
  <c r="AW58" i="1"/>
  <c r="AV58" i="1"/>
  <c r="AU58" i="1"/>
  <c r="AT58" i="1"/>
  <c r="AS58" i="1"/>
  <c r="AR58" i="1"/>
  <c r="AQ58" i="1"/>
  <c r="AP58" i="1"/>
  <c r="AO58" i="1"/>
  <c r="AN58" i="1"/>
  <c r="AM58" i="1"/>
  <c r="AL58" i="1"/>
  <c r="AK58" i="1"/>
  <c r="AJ58" i="1"/>
  <c r="AI58" i="1"/>
  <c r="AH58" i="1"/>
  <c r="AG58" i="1"/>
  <c r="AF58" i="1"/>
  <c r="AE58" i="1"/>
  <c r="AD58" i="1"/>
  <c r="AC58" i="1"/>
  <c r="AB58" i="1"/>
  <c r="AA58" i="1"/>
  <c r="Z58" i="1"/>
  <c r="X58" i="1"/>
  <c r="W58" i="1"/>
  <c r="V58" i="1"/>
  <c r="U58" i="1"/>
  <c r="T58" i="1"/>
  <c r="S58" i="1"/>
  <c r="R58" i="1"/>
  <c r="Q58" i="1"/>
  <c r="P58" i="1"/>
  <c r="O58" i="1"/>
  <c r="N58" i="1"/>
  <c r="M58" i="1"/>
  <c r="L58" i="1"/>
  <c r="BC57" i="1"/>
  <c r="BB57" i="1"/>
  <c r="BA57" i="1"/>
  <c r="AZ57" i="1"/>
  <c r="AY57" i="1"/>
  <c r="AX57" i="1"/>
  <c r="AW57" i="1"/>
  <c r="AV57" i="1"/>
  <c r="AU57" i="1"/>
  <c r="AT57" i="1"/>
  <c r="AS57" i="1"/>
  <c r="AR57" i="1"/>
  <c r="AQ57" i="1"/>
  <c r="AP57" i="1"/>
  <c r="AO57" i="1"/>
  <c r="AN57" i="1"/>
  <c r="AM57" i="1"/>
  <c r="AL57" i="1"/>
  <c r="AK57" i="1"/>
  <c r="AJ57" i="1"/>
  <c r="AI57" i="1"/>
  <c r="AH57" i="1"/>
  <c r="AG57" i="1"/>
  <c r="AF57" i="1"/>
  <c r="AE57" i="1"/>
  <c r="AD57" i="1"/>
  <c r="AC57" i="1"/>
  <c r="AB57" i="1"/>
  <c r="AA57" i="1"/>
  <c r="Z57" i="1"/>
  <c r="X57" i="1"/>
  <c r="W57" i="1"/>
  <c r="V57" i="1"/>
  <c r="U57" i="1"/>
  <c r="T57" i="1"/>
  <c r="S57" i="1"/>
  <c r="R57" i="1"/>
  <c r="Q57" i="1"/>
  <c r="P57" i="1"/>
  <c r="O57" i="1"/>
  <c r="N57" i="1"/>
  <c r="M57" i="1"/>
  <c r="L57" i="1"/>
  <c r="BC56" i="1"/>
  <c r="BB56" i="1"/>
  <c r="BA56" i="1"/>
  <c r="AZ56" i="1"/>
  <c r="AY56" i="1"/>
  <c r="AX56" i="1"/>
  <c r="AW56" i="1"/>
  <c r="AV56" i="1"/>
  <c r="AU56" i="1"/>
  <c r="AT56" i="1"/>
  <c r="AS56" i="1"/>
  <c r="AR56" i="1"/>
  <c r="AQ56" i="1"/>
  <c r="AP56" i="1"/>
  <c r="AO56" i="1"/>
  <c r="AN56" i="1"/>
  <c r="AM56" i="1"/>
  <c r="AL56" i="1"/>
  <c r="AK56" i="1"/>
  <c r="AJ56" i="1"/>
  <c r="AI56" i="1"/>
  <c r="AH56" i="1"/>
  <c r="AG56" i="1"/>
  <c r="AF56" i="1"/>
  <c r="AE56" i="1"/>
  <c r="AD56" i="1"/>
  <c r="AC56" i="1"/>
  <c r="AB56" i="1"/>
  <c r="AA56" i="1"/>
  <c r="Z56" i="1"/>
  <c r="X56" i="1"/>
  <c r="W56" i="1"/>
  <c r="V56" i="1"/>
  <c r="U56" i="1"/>
  <c r="T56" i="1"/>
  <c r="S56" i="1"/>
  <c r="R56" i="1"/>
  <c r="Q56" i="1"/>
  <c r="P56" i="1"/>
  <c r="O56" i="1"/>
  <c r="N56" i="1"/>
  <c r="M56" i="1"/>
  <c r="L56" i="1"/>
  <c r="BC55" i="1"/>
  <c r="BB55" i="1"/>
  <c r="BA55" i="1"/>
  <c r="AZ55" i="1"/>
  <c r="AY55" i="1"/>
  <c r="AX55" i="1"/>
  <c r="AW55" i="1"/>
  <c r="AV55" i="1"/>
  <c r="AU55" i="1"/>
  <c r="AT55" i="1"/>
  <c r="AS55" i="1"/>
  <c r="AR55" i="1"/>
  <c r="AQ55" i="1"/>
  <c r="AP55" i="1"/>
  <c r="AO55" i="1"/>
  <c r="AN55" i="1"/>
  <c r="AM55" i="1"/>
  <c r="AL55" i="1"/>
  <c r="AK55" i="1"/>
  <c r="AJ55" i="1"/>
  <c r="AI55" i="1"/>
  <c r="AH55" i="1"/>
  <c r="AG55" i="1"/>
  <c r="AF55" i="1"/>
  <c r="AE55" i="1"/>
  <c r="AD55" i="1"/>
  <c r="AC55" i="1"/>
  <c r="AB55" i="1"/>
  <c r="AA55" i="1"/>
  <c r="Z55" i="1"/>
  <c r="X55" i="1"/>
  <c r="W55" i="1"/>
  <c r="V55" i="1"/>
  <c r="U55" i="1"/>
  <c r="T55" i="1"/>
  <c r="S55" i="1"/>
  <c r="R55" i="1"/>
  <c r="Q55" i="1"/>
  <c r="P55" i="1"/>
  <c r="O55" i="1"/>
  <c r="N55" i="1"/>
  <c r="M55" i="1"/>
  <c r="L55" i="1"/>
  <c r="BC54" i="1"/>
  <c r="BB54" i="1"/>
  <c r="BA54" i="1"/>
  <c r="AZ54" i="1"/>
  <c r="AY54" i="1"/>
  <c r="AX54" i="1"/>
  <c r="AW54" i="1"/>
  <c r="AV54" i="1"/>
  <c r="AU54" i="1"/>
  <c r="AT54" i="1"/>
  <c r="AS54" i="1"/>
  <c r="AR54" i="1"/>
  <c r="AQ54" i="1"/>
  <c r="AP54" i="1"/>
  <c r="AO54" i="1"/>
  <c r="AN54" i="1"/>
  <c r="AM54" i="1"/>
  <c r="AL54" i="1"/>
  <c r="AK54" i="1"/>
  <c r="AJ54" i="1"/>
  <c r="AI54" i="1"/>
  <c r="AH54" i="1"/>
  <c r="AG54" i="1"/>
  <c r="AF54" i="1"/>
  <c r="AE54" i="1"/>
  <c r="AD54" i="1"/>
  <c r="AC54" i="1"/>
  <c r="AB54" i="1"/>
  <c r="AA54" i="1"/>
  <c r="Z54" i="1"/>
  <c r="X54" i="1"/>
  <c r="W54" i="1"/>
  <c r="V54" i="1"/>
  <c r="U54" i="1"/>
  <c r="T54" i="1"/>
  <c r="S54" i="1"/>
  <c r="R54" i="1"/>
  <c r="Q54" i="1"/>
  <c r="P54" i="1"/>
  <c r="O54" i="1"/>
  <c r="N54" i="1"/>
  <c r="M54" i="1"/>
  <c r="L54" i="1"/>
  <c r="BC53" i="1"/>
  <c r="BB53" i="1"/>
  <c r="BA53" i="1"/>
  <c r="AZ53" i="1"/>
  <c r="AY53" i="1"/>
  <c r="AX53" i="1"/>
  <c r="AW53" i="1"/>
  <c r="AV53" i="1"/>
  <c r="AU53" i="1"/>
  <c r="AT53" i="1"/>
  <c r="AS53" i="1"/>
  <c r="AR53" i="1"/>
  <c r="AQ53" i="1"/>
  <c r="AP53" i="1"/>
  <c r="AO53" i="1"/>
  <c r="AN53" i="1"/>
  <c r="AM53" i="1"/>
  <c r="AL53" i="1"/>
  <c r="AK53" i="1"/>
  <c r="AJ53" i="1"/>
  <c r="AI53" i="1"/>
  <c r="AH53" i="1"/>
  <c r="AG53" i="1"/>
  <c r="AF53" i="1"/>
  <c r="AE53" i="1"/>
  <c r="AD53" i="1"/>
  <c r="AC53" i="1"/>
  <c r="AB53" i="1"/>
  <c r="AA53" i="1"/>
  <c r="Z53" i="1"/>
  <c r="X53" i="1"/>
  <c r="W53" i="1"/>
  <c r="V53" i="1"/>
  <c r="U53" i="1"/>
  <c r="T53" i="1"/>
  <c r="S53" i="1"/>
  <c r="R53" i="1"/>
  <c r="Q53" i="1"/>
  <c r="P53" i="1"/>
  <c r="O53" i="1"/>
  <c r="N53" i="1"/>
  <c r="M53" i="1"/>
  <c r="L53" i="1"/>
  <c r="BC52" i="1"/>
  <c r="BB52" i="1"/>
  <c r="BA52"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X52" i="1"/>
  <c r="W52" i="1"/>
  <c r="V52" i="1"/>
  <c r="U52" i="1"/>
  <c r="T52" i="1"/>
  <c r="S52" i="1"/>
  <c r="R52" i="1"/>
  <c r="Q52" i="1"/>
  <c r="P52" i="1"/>
  <c r="O52" i="1"/>
  <c r="N52" i="1"/>
  <c r="M52" i="1"/>
  <c r="L52" i="1"/>
  <c r="BC51" i="1"/>
  <c r="BB51" i="1"/>
  <c r="BA51" i="1"/>
  <c r="AZ51" i="1"/>
  <c r="AY51" i="1"/>
  <c r="AX51" i="1"/>
  <c r="AW51" i="1"/>
  <c r="AV51" i="1"/>
  <c r="AU51" i="1"/>
  <c r="AT51" i="1"/>
  <c r="AS51" i="1"/>
  <c r="AR51" i="1"/>
  <c r="AQ51" i="1"/>
  <c r="AP51" i="1"/>
  <c r="AO51" i="1"/>
  <c r="AN51" i="1"/>
  <c r="AM51" i="1"/>
  <c r="AL51" i="1"/>
  <c r="AK51" i="1"/>
  <c r="AJ51" i="1"/>
  <c r="AI51" i="1"/>
  <c r="AH51" i="1"/>
  <c r="AG51" i="1"/>
  <c r="AF51" i="1"/>
  <c r="AE51" i="1"/>
  <c r="AD51" i="1"/>
  <c r="AC51" i="1"/>
  <c r="AB51" i="1"/>
  <c r="AA51" i="1"/>
  <c r="Z51" i="1"/>
  <c r="X51" i="1"/>
  <c r="W51" i="1"/>
  <c r="V51" i="1"/>
  <c r="U51" i="1"/>
  <c r="T51" i="1"/>
  <c r="S51" i="1"/>
  <c r="R51" i="1"/>
  <c r="Q51" i="1"/>
  <c r="P51" i="1"/>
  <c r="O51" i="1"/>
  <c r="N51" i="1"/>
  <c r="M51" i="1"/>
  <c r="L51" i="1"/>
  <c r="BC50" i="1"/>
  <c r="BB50" i="1"/>
  <c r="BA50" i="1"/>
  <c r="AZ50" i="1"/>
  <c r="AY50" i="1"/>
  <c r="AX50" i="1"/>
  <c r="AW50" i="1"/>
  <c r="AV50" i="1"/>
  <c r="AU50" i="1"/>
  <c r="AT50" i="1"/>
  <c r="AS50" i="1"/>
  <c r="AR50" i="1"/>
  <c r="AQ50" i="1"/>
  <c r="AP50" i="1"/>
  <c r="AO50" i="1"/>
  <c r="AN50" i="1"/>
  <c r="AM50" i="1"/>
  <c r="AL50" i="1"/>
  <c r="AK50" i="1"/>
  <c r="AJ50" i="1"/>
  <c r="AI50" i="1"/>
  <c r="AH50" i="1"/>
  <c r="AG50" i="1"/>
  <c r="AF50" i="1"/>
  <c r="AE50" i="1"/>
  <c r="AD50" i="1"/>
  <c r="AC50" i="1"/>
  <c r="AB50" i="1"/>
  <c r="AA50" i="1"/>
  <c r="Z50" i="1"/>
  <c r="X50" i="1"/>
  <c r="W50" i="1"/>
  <c r="V50" i="1"/>
  <c r="U50" i="1"/>
  <c r="T50" i="1"/>
  <c r="S50" i="1"/>
  <c r="R50" i="1"/>
  <c r="Q50" i="1"/>
  <c r="P50" i="1"/>
  <c r="O50" i="1"/>
  <c r="N50" i="1"/>
  <c r="M50" i="1"/>
  <c r="L50" i="1"/>
  <c r="BC49" i="1"/>
  <c r="BB49" i="1"/>
  <c r="BA49" i="1"/>
  <c r="AZ49" i="1"/>
  <c r="AY49" i="1"/>
  <c r="AX49" i="1"/>
  <c r="AW49" i="1"/>
  <c r="AV49" i="1"/>
  <c r="AU49" i="1"/>
  <c r="AT49" i="1"/>
  <c r="AS49" i="1"/>
  <c r="AR49" i="1"/>
  <c r="AQ49" i="1"/>
  <c r="AP49" i="1"/>
  <c r="AO49" i="1"/>
  <c r="AN49" i="1"/>
  <c r="AM49" i="1"/>
  <c r="AL49" i="1"/>
  <c r="AK49" i="1"/>
  <c r="AJ49" i="1"/>
  <c r="AI49" i="1"/>
  <c r="AH49" i="1"/>
  <c r="AG49" i="1"/>
  <c r="AF49" i="1"/>
  <c r="AE49" i="1"/>
  <c r="AD49" i="1"/>
  <c r="AC49" i="1"/>
  <c r="AB49" i="1"/>
  <c r="AA49" i="1"/>
  <c r="Z49" i="1"/>
  <c r="X49" i="1"/>
  <c r="W49" i="1"/>
  <c r="V49" i="1"/>
  <c r="U49" i="1"/>
  <c r="T49" i="1"/>
  <c r="S49" i="1"/>
  <c r="R49" i="1"/>
  <c r="Q49" i="1"/>
  <c r="P49" i="1"/>
  <c r="O49" i="1"/>
  <c r="N49" i="1"/>
  <c r="M49" i="1"/>
  <c r="L49" i="1"/>
  <c r="BC48" i="1"/>
  <c r="BB48" i="1"/>
  <c r="BA48" i="1"/>
  <c r="AZ48" i="1"/>
  <c r="AY48" i="1"/>
  <c r="AX48" i="1"/>
  <c r="AW48" i="1"/>
  <c r="AV48" i="1"/>
  <c r="AU48" i="1"/>
  <c r="AT48" i="1"/>
  <c r="AS48" i="1"/>
  <c r="AR48" i="1"/>
  <c r="AQ48" i="1"/>
  <c r="AP48" i="1"/>
  <c r="AO48" i="1"/>
  <c r="AN48" i="1"/>
  <c r="AM48" i="1"/>
  <c r="AL48" i="1"/>
  <c r="AK48" i="1"/>
  <c r="AJ48" i="1"/>
  <c r="AI48" i="1"/>
  <c r="AH48" i="1"/>
  <c r="AG48" i="1"/>
  <c r="AF48" i="1"/>
  <c r="AE48" i="1"/>
  <c r="AD48" i="1"/>
  <c r="AC48" i="1"/>
  <c r="AB48" i="1"/>
  <c r="AA48" i="1"/>
  <c r="Z48" i="1"/>
  <c r="X48" i="1"/>
  <c r="W48" i="1"/>
  <c r="V48" i="1"/>
  <c r="U48" i="1"/>
  <c r="T48" i="1"/>
  <c r="S48" i="1"/>
  <c r="R48" i="1"/>
  <c r="Q48" i="1"/>
  <c r="P48" i="1"/>
  <c r="O48" i="1"/>
  <c r="N48" i="1"/>
  <c r="M48" i="1"/>
  <c r="L48" i="1"/>
  <c r="BC47" i="1"/>
  <c r="BB47" i="1"/>
  <c r="BA47" i="1"/>
  <c r="AZ47" i="1"/>
  <c r="AY47" i="1"/>
  <c r="AX47" i="1"/>
  <c r="AW47" i="1"/>
  <c r="AV47" i="1"/>
  <c r="AU47" i="1"/>
  <c r="AT47" i="1"/>
  <c r="AS47" i="1"/>
  <c r="AR47" i="1"/>
  <c r="AQ47" i="1"/>
  <c r="AP47" i="1"/>
  <c r="AO47" i="1"/>
  <c r="AN47" i="1"/>
  <c r="AM47" i="1"/>
  <c r="AL47" i="1"/>
  <c r="AK47" i="1"/>
  <c r="AJ47" i="1"/>
  <c r="AI47" i="1"/>
  <c r="AH47" i="1"/>
  <c r="AG47" i="1"/>
  <c r="AF47" i="1"/>
  <c r="AE47" i="1"/>
  <c r="AD47" i="1"/>
  <c r="AC47" i="1"/>
  <c r="AB47" i="1"/>
  <c r="AA47" i="1"/>
  <c r="Z47" i="1"/>
  <c r="X47" i="1"/>
  <c r="W47" i="1"/>
  <c r="V47" i="1"/>
  <c r="U47" i="1"/>
  <c r="T47" i="1"/>
  <c r="S47" i="1"/>
  <c r="R47" i="1"/>
  <c r="Q47" i="1"/>
  <c r="P47" i="1"/>
  <c r="O47" i="1"/>
  <c r="N47" i="1"/>
  <c r="M47" i="1"/>
  <c r="L47" i="1"/>
  <c r="BC46" i="1"/>
  <c r="BB46" i="1"/>
  <c r="BA46" i="1"/>
  <c r="AZ46" i="1"/>
  <c r="AY46" i="1"/>
  <c r="AX46" i="1"/>
  <c r="AW46" i="1"/>
  <c r="AV46" i="1"/>
  <c r="AU46" i="1"/>
  <c r="AT46" i="1"/>
  <c r="AS46" i="1"/>
  <c r="AR46" i="1"/>
  <c r="AQ46" i="1"/>
  <c r="AP46" i="1"/>
  <c r="AO46" i="1"/>
  <c r="AN46" i="1"/>
  <c r="AM46" i="1"/>
  <c r="AL46" i="1"/>
  <c r="AK46" i="1"/>
  <c r="AJ46" i="1"/>
  <c r="AI46" i="1"/>
  <c r="AH46" i="1"/>
  <c r="AG46" i="1"/>
  <c r="AF46" i="1"/>
  <c r="AE46" i="1"/>
  <c r="AD46" i="1"/>
  <c r="AC46" i="1"/>
  <c r="AB46" i="1"/>
  <c r="AA46" i="1"/>
  <c r="Z46" i="1"/>
  <c r="X46" i="1"/>
  <c r="W46" i="1"/>
  <c r="V46" i="1"/>
  <c r="U46" i="1"/>
  <c r="T46" i="1"/>
  <c r="S46" i="1"/>
  <c r="R46" i="1"/>
  <c r="Q46" i="1"/>
  <c r="P46" i="1"/>
  <c r="O46" i="1"/>
  <c r="N46" i="1"/>
  <c r="M46" i="1"/>
  <c r="L46" i="1"/>
  <c r="BC45" i="1"/>
  <c r="BB45" i="1"/>
  <c r="BA45" i="1"/>
  <c r="AZ45" i="1"/>
  <c r="AY45" i="1"/>
  <c r="AX45" i="1"/>
  <c r="AW45" i="1"/>
  <c r="AV45" i="1"/>
  <c r="AU45" i="1"/>
  <c r="AT45" i="1"/>
  <c r="AS45" i="1"/>
  <c r="AR45" i="1"/>
  <c r="AQ45" i="1"/>
  <c r="AP45" i="1"/>
  <c r="AO45" i="1"/>
  <c r="AN45" i="1"/>
  <c r="AM45" i="1"/>
  <c r="AL45" i="1"/>
  <c r="AK45" i="1"/>
  <c r="AJ45" i="1"/>
  <c r="AI45" i="1"/>
  <c r="AH45" i="1"/>
  <c r="AG45" i="1"/>
  <c r="AF45" i="1"/>
  <c r="AE45" i="1"/>
  <c r="AD45" i="1"/>
  <c r="AC45" i="1"/>
  <c r="AB45" i="1"/>
  <c r="AA45" i="1"/>
  <c r="Z45" i="1"/>
  <c r="X45" i="1"/>
  <c r="W45" i="1"/>
  <c r="V45" i="1"/>
  <c r="U45" i="1"/>
  <c r="T45" i="1"/>
  <c r="S45" i="1"/>
  <c r="R45" i="1"/>
  <c r="Q45" i="1"/>
  <c r="P45" i="1"/>
  <c r="O45" i="1"/>
  <c r="N45" i="1"/>
  <c r="M45" i="1"/>
  <c r="L45" i="1"/>
  <c r="BC44" i="1"/>
  <c r="BB44" i="1"/>
  <c r="BA44"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X44" i="1"/>
  <c r="W44" i="1"/>
  <c r="V44" i="1"/>
  <c r="U44" i="1"/>
  <c r="T44" i="1"/>
  <c r="S44" i="1"/>
  <c r="R44" i="1"/>
  <c r="Q44" i="1"/>
  <c r="P44" i="1"/>
  <c r="O44" i="1"/>
  <c r="N44" i="1"/>
  <c r="M44" i="1"/>
  <c r="L44" i="1"/>
  <c r="BC43" i="1"/>
  <c r="BB43" i="1"/>
  <c r="BA43" i="1"/>
  <c r="AZ43" i="1"/>
  <c r="AY43" i="1"/>
  <c r="AX43" i="1"/>
  <c r="AW43" i="1"/>
  <c r="AV43" i="1"/>
  <c r="AU43" i="1"/>
  <c r="AT43" i="1"/>
  <c r="AS43" i="1"/>
  <c r="AR43" i="1"/>
  <c r="AQ43" i="1"/>
  <c r="AP43" i="1"/>
  <c r="AO43" i="1"/>
  <c r="AN43" i="1"/>
  <c r="AM43" i="1"/>
  <c r="AL43" i="1"/>
  <c r="AK43" i="1"/>
  <c r="AJ43" i="1"/>
  <c r="AI43" i="1"/>
  <c r="AH43" i="1"/>
  <c r="AG43" i="1"/>
  <c r="AF43" i="1"/>
  <c r="AE43" i="1"/>
  <c r="AD43" i="1"/>
  <c r="AC43" i="1"/>
  <c r="AB43" i="1"/>
  <c r="AA43" i="1"/>
  <c r="Z43" i="1"/>
  <c r="X43" i="1"/>
  <c r="W43" i="1"/>
  <c r="V43" i="1"/>
  <c r="U43" i="1"/>
  <c r="T43" i="1"/>
  <c r="S43" i="1"/>
  <c r="R43" i="1"/>
  <c r="Q43" i="1"/>
  <c r="P43" i="1"/>
  <c r="O43" i="1"/>
  <c r="N43" i="1"/>
  <c r="M43" i="1"/>
  <c r="L43" i="1"/>
  <c r="BC42" i="1"/>
  <c r="BB42" i="1"/>
  <c r="BA42" i="1"/>
  <c r="AZ42" i="1"/>
  <c r="AY42" i="1"/>
  <c r="AX42" i="1"/>
  <c r="AW42" i="1"/>
  <c r="AV42" i="1"/>
  <c r="AU42" i="1"/>
  <c r="AT42" i="1"/>
  <c r="AS42" i="1"/>
  <c r="AR42" i="1"/>
  <c r="AQ42" i="1"/>
  <c r="AP42" i="1"/>
  <c r="AO42" i="1"/>
  <c r="AN42" i="1"/>
  <c r="AM42" i="1"/>
  <c r="AL42" i="1"/>
  <c r="AK42" i="1"/>
  <c r="AJ42" i="1"/>
  <c r="AI42" i="1"/>
  <c r="AH42" i="1"/>
  <c r="AG42" i="1"/>
  <c r="AF42" i="1"/>
  <c r="AE42" i="1"/>
  <c r="AD42" i="1"/>
  <c r="AC42" i="1"/>
  <c r="AB42" i="1"/>
  <c r="AA42" i="1"/>
  <c r="Z42" i="1"/>
  <c r="X42" i="1"/>
  <c r="W42" i="1"/>
  <c r="V42" i="1"/>
  <c r="U42" i="1"/>
  <c r="T42" i="1"/>
  <c r="S42" i="1"/>
  <c r="R42" i="1"/>
  <c r="Q42" i="1"/>
  <c r="P42" i="1"/>
  <c r="O42" i="1"/>
  <c r="N42" i="1"/>
  <c r="M42" i="1"/>
  <c r="L42" i="1"/>
  <c r="BC41" i="1"/>
  <c r="BB41" i="1"/>
  <c r="BA41" i="1"/>
  <c r="AZ41" i="1"/>
  <c r="AY41" i="1"/>
  <c r="AX41" i="1"/>
  <c r="AW41" i="1"/>
  <c r="AV41" i="1"/>
  <c r="AU41" i="1"/>
  <c r="AT41" i="1"/>
  <c r="AS41" i="1"/>
  <c r="AR41" i="1"/>
  <c r="AQ41" i="1"/>
  <c r="AP41" i="1"/>
  <c r="AO41" i="1"/>
  <c r="AN41" i="1"/>
  <c r="AM41" i="1"/>
  <c r="AL41" i="1"/>
  <c r="AK41" i="1"/>
  <c r="AJ41" i="1"/>
  <c r="AI41" i="1"/>
  <c r="AH41" i="1"/>
  <c r="AG41" i="1"/>
  <c r="AF41" i="1"/>
  <c r="AE41" i="1"/>
  <c r="AD41" i="1"/>
  <c r="AC41" i="1"/>
  <c r="AB41" i="1"/>
  <c r="AA41" i="1"/>
  <c r="Z41" i="1"/>
  <c r="X41" i="1"/>
  <c r="W41" i="1"/>
  <c r="V41" i="1"/>
  <c r="U41" i="1"/>
  <c r="T41" i="1"/>
  <c r="S41" i="1"/>
  <c r="R41" i="1"/>
  <c r="Q41" i="1"/>
  <c r="P41" i="1"/>
  <c r="O41" i="1"/>
  <c r="N41" i="1"/>
  <c r="M41" i="1"/>
  <c r="L41" i="1"/>
  <c r="BC40" i="1"/>
  <c r="BB40" i="1"/>
  <c r="BA40" i="1"/>
  <c r="AZ40" i="1"/>
  <c r="AY40" i="1"/>
  <c r="AX40" i="1"/>
  <c r="AW40" i="1"/>
  <c r="AV40" i="1"/>
  <c r="AU40" i="1"/>
  <c r="AT40" i="1"/>
  <c r="AS40" i="1"/>
  <c r="AR40" i="1"/>
  <c r="AQ40" i="1"/>
  <c r="AP40" i="1"/>
  <c r="AO40" i="1"/>
  <c r="AN40" i="1"/>
  <c r="AM40" i="1"/>
  <c r="AL40" i="1"/>
  <c r="AK40" i="1"/>
  <c r="AJ40" i="1"/>
  <c r="AI40" i="1"/>
  <c r="AH40" i="1"/>
  <c r="AG40" i="1"/>
  <c r="AF40" i="1"/>
  <c r="AE40" i="1"/>
  <c r="AD40" i="1"/>
  <c r="AC40" i="1"/>
  <c r="AB40" i="1"/>
  <c r="AA40" i="1"/>
  <c r="Z40" i="1"/>
  <c r="X40" i="1"/>
  <c r="W40" i="1"/>
  <c r="V40" i="1"/>
  <c r="U40" i="1"/>
  <c r="T40" i="1"/>
  <c r="S40" i="1"/>
  <c r="R40" i="1"/>
  <c r="Q40" i="1"/>
  <c r="P40" i="1"/>
  <c r="O40" i="1"/>
  <c r="N40" i="1"/>
  <c r="M40" i="1"/>
  <c r="L40" i="1"/>
  <c r="BC39" i="1"/>
  <c r="BB39" i="1"/>
  <c r="BA39" i="1"/>
  <c r="AZ39" i="1"/>
  <c r="AY39" i="1"/>
  <c r="AX39" i="1"/>
  <c r="AW39" i="1"/>
  <c r="AV39" i="1"/>
  <c r="AU39" i="1"/>
  <c r="AT39" i="1"/>
  <c r="AS39" i="1"/>
  <c r="AR39" i="1"/>
  <c r="AQ39" i="1"/>
  <c r="AP39" i="1"/>
  <c r="AO39" i="1"/>
  <c r="AN39" i="1"/>
  <c r="AM39" i="1"/>
  <c r="AL39" i="1"/>
  <c r="AK39" i="1"/>
  <c r="AJ39" i="1"/>
  <c r="AI39" i="1"/>
  <c r="AH39" i="1"/>
  <c r="AG39" i="1"/>
  <c r="AF39" i="1"/>
  <c r="AE39" i="1"/>
  <c r="AD39" i="1"/>
  <c r="AC39" i="1"/>
  <c r="AB39" i="1"/>
  <c r="AA39" i="1"/>
  <c r="Z39" i="1"/>
  <c r="X39" i="1"/>
  <c r="W39" i="1"/>
  <c r="V39" i="1"/>
  <c r="U39" i="1"/>
  <c r="T39" i="1"/>
  <c r="S39" i="1"/>
  <c r="R39" i="1"/>
  <c r="Q39" i="1"/>
  <c r="P39" i="1"/>
  <c r="O39" i="1"/>
  <c r="N39" i="1"/>
  <c r="M39" i="1"/>
  <c r="L39" i="1"/>
  <c r="BC38" i="1"/>
  <c r="BB38" i="1"/>
  <c r="BA38" i="1"/>
  <c r="AZ38" i="1"/>
  <c r="AY38" i="1"/>
  <c r="AX38" i="1"/>
  <c r="AW38" i="1"/>
  <c r="AV38" i="1"/>
  <c r="AU38" i="1"/>
  <c r="AT38" i="1"/>
  <c r="AS38" i="1"/>
  <c r="AR38" i="1"/>
  <c r="AQ38" i="1"/>
  <c r="AP38" i="1"/>
  <c r="AO38" i="1"/>
  <c r="AN38" i="1"/>
  <c r="AM38" i="1"/>
  <c r="AL38" i="1"/>
  <c r="AK38" i="1"/>
  <c r="AJ38" i="1"/>
  <c r="AI38" i="1"/>
  <c r="AH38" i="1"/>
  <c r="AG38" i="1"/>
  <c r="AF38" i="1"/>
  <c r="AE38" i="1"/>
  <c r="AD38" i="1"/>
  <c r="AC38" i="1"/>
  <c r="AB38" i="1"/>
  <c r="AA38" i="1"/>
  <c r="Z38" i="1"/>
  <c r="X38" i="1"/>
  <c r="W38" i="1"/>
  <c r="V38" i="1"/>
  <c r="U38" i="1"/>
  <c r="T38" i="1"/>
  <c r="S38" i="1"/>
  <c r="R38" i="1"/>
  <c r="Q38" i="1"/>
  <c r="P38" i="1"/>
  <c r="O38" i="1"/>
  <c r="N38" i="1"/>
  <c r="M38" i="1"/>
  <c r="L38" i="1"/>
  <c r="BC37" i="1"/>
  <c r="BB37" i="1"/>
  <c r="BA37" i="1"/>
  <c r="AZ37" i="1"/>
  <c r="AY37" i="1"/>
  <c r="AX37" i="1"/>
  <c r="AW37" i="1"/>
  <c r="AV37" i="1"/>
  <c r="AU37" i="1"/>
  <c r="AT37" i="1"/>
  <c r="AS37" i="1"/>
  <c r="AR37" i="1"/>
  <c r="AQ37" i="1"/>
  <c r="AP37" i="1"/>
  <c r="AO37" i="1"/>
  <c r="AN37" i="1"/>
  <c r="AM37" i="1"/>
  <c r="AL37" i="1"/>
  <c r="AK37" i="1"/>
  <c r="AJ37" i="1"/>
  <c r="AI37" i="1"/>
  <c r="AH37" i="1"/>
  <c r="AG37" i="1"/>
  <c r="AF37" i="1"/>
  <c r="AE37" i="1"/>
  <c r="AD37" i="1"/>
  <c r="AC37" i="1"/>
  <c r="AB37" i="1"/>
  <c r="AA37" i="1"/>
  <c r="Z37" i="1"/>
  <c r="X37" i="1"/>
  <c r="W37" i="1"/>
  <c r="V37" i="1"/>
  <c r="U37" i="1"/>
  <c r="T37" i="1"/>
  <c r="S37" i="1"/>
  <c r="R37" i="1"/>
  <c r="Q37" i="1"/>
  <c r="P37" i="1"/>
  <c r="O37" i="1"/>
  <c r="N37" i="1"/>
  <c r="M37" i="1"/>
  <c r="L37" i="1"/>
  <c r="BC36" i="1"/>
  <c r="BB36" i="1"/>
  <c r="BA36"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X36" i="1"/>
  <c r="W36" i="1"/>
  <c r="V36" i="1"/>
  <c r="U36" i="1"/>
  <c r="T36" i="1"/>
  <c r="S36" i="1"/>
  <c r="R36" i="1"/>
  <c r="Q36" i="1"/>
  <c r="P36" i="1"/>
  <c r="O36" i="1"/>
  <c r="N36" i="1"/>
  <c r="M36" i="1"/>
  <c r="L36" i="1"/>
  <c r="BC35" i="1"/>
  <c r="BB35" i="1"/>
  <c r="BA35" i="1"/>
  <c r="AZ35" i="1"/>
  <c r="AY35" i="1"/>
  <c r="AX35" i="1"/>
  <c r="AW35" i="1"/>
  <c r="AV35" i="1"/>
  <c r="AU35" i="1"/>
  <c r="AT35" i="1"/>
  <c r="AS35" i="1"/>
  <c r="AR35" i="1"/>
  <c r="AQ35" i="1"/>
  <c r="AP35" i="1"/>
  <c r="AO35" i="1"/>
  <c r="AN35" i="1"/>
  <c r="AM35" i="1"/>
  <c r="AL35" i="1"/>
  <c r="AK35" i="1"/>
  <c r="AJ35" i="1"/>
  <c r="AI35" i="1"/>
  <c r="AH35" i="1"/>
  <c r="AG35" i="1"/>
  <c r="AF35" i="1"/>
  <c r="AE35" i="1"/>
  <c r="AD35" i="1"/>
  <c r="AC35" i="1"/>
  <c r="AB35" i="1"/>
  <c r="AA35" i="1"/>
  <c r="Z35" i="1"/>
  <c r="X35" i="1"/>
  <c r="W35" i="1"/>
  <c r="V35" i="1"/>
  <c r="U35" i="1"/>
  <c r="T35" i="1"/>
  <c r="S35" i="1"/>
  <c r="R35" i="1"/>
  <c r="Q35" i="1"/>
  <c r="P35" i="1"/>
  <c r="O35" i="1"/>
  <c r="N35" i="1"/>
  <c r="M35" i="1"/>
  <c r="L35" i="1"/>
  <c r="BC34" i="1"/>
  <c r="BB34" i="1"/>
  <c r="BA34" i="1"/>
  <c r="AZ34" i="1"/>
  <c r="AY34" i="1"/>
  <c r="AX34" i="1"/>
  <c r="AW34" i="1"/>
  <c r="AV34" i="1"/>
  <c r="AU34" i="1"/>
  <c r="AT34" i="1"/>
  <c r="AS34" i="1"/>
  <c r="AR34" i="1"/>
  <c r="AQ34" i="1"/>
  <c r="AP34" i="1"/>
  <c r="AO34" i="1"/>
  <c r="AN34" i="1"/>
  <c r="AM34" i="1"/>
  <c r="AL34" i="1"/>
  <c r="AK34" i="1"/>
  <c r="AJ34" i="1"/>
  <c r="AI34" i="1"/>
  <c r="AH34" i="1"/>
  <c r="AG34" i="1"/>
  <c r="AF34" i="1"/>
  <c r="AE34" i="1"/>
  <c r="AD34" i="1"/>
  <c r="AC34" i="1"/>
  <c r="AB34" i="1"/>
  <c r="AA34" i="1"/>
  <c r="Z34" i="1"/>
  <c r="X34" i="1"/>
  <c r="W34" i="1"/>
  <c r="V34" i="1"/>
  <c r="U34" i="1"/>
  <c r="T34" i="1"/>
  <c r="S34" i="1"/>
  <c r="R34" i="1"/>
  <c r="Q34" i="1"/>
  <c r="P34" i="1"/>
  <c r="O34" i="1"/>
  <c r="N34" i="1"/>
  <c r="M34" i="1"/>
  <c r="L34" i="1"/>
  <c r="BC33" i="1"/>
  <c r="BB33" i="1"/>
  <c r="BA33" i="1"/>
  <c r="AZ33" i="1"/>
  <c r="AY33" i="1"/>
  <c r="AX33" i="1"/>
  <c r="AW33" i="1"/>
  <c r="AV33" i="1"/>
  <c r="AU33" i="1"/>
  <c r="AT33" i="1"/>
  <c r="AS33" i="1"/>
  <c r="AR33" i="1"/>
  <c r="AQ33" i="1"/>
  <c r="AP33" i="1"/>
  <c r="AO33" i="1"/>
  <c r="AN33" i="1"/>
  <c r="AM33" i="1"/>
  <c r="AL33" i="1"/>
  <c r="AK33" i="1"/>
  <c r="AJ33" i="1"/>
  <c r="AI33" i="1"/>
  <c r="AH33" i="1"/>
  <c r="AG33" i="1"/>
  <c r="AF33" i="1"/>
  <c r="AE33" i="1"/>
  <c r="AD33" i="1"/>
  <c r="AC33" i="1"/>
  <c r="AB33" i="1"/>
  <c r="AA33" i="1"/>
  <c r="Z33" i="1"/>
  <c r="X33" i="1"/>
  <c r="W33" i="1"/>
  <c r="V33" i="1"/>
  <c r="U33" i="1"/>
  <c r="T33" i="1"/>
  <c r="S33" i="1"/>
  <c r="R33" i="1"/>
  <c r="Q33" i="1"/>
  <c r="P33" i="1"/>
  <c r="O33" i="1"/>
  <c r="N33" i="1"/>
  <c r="M33" i="1"/>
  <c r="L33" i="1"/>
  <c r="BC32" i="1"/>
  <c r="BB32" i="1"/>
  <c r="BA32" i="1"/>
  <c r="AZ32" i="1"/>
  <c r="AY32" i="1"/>
  <c r="AX32" i="1"/>
  <c r="AW32" i="1"/>
  <c r="AV32" i="1"/>
  <c r="AU32" i="1"/>
  <c r="AT32" i="1"/>
  <c r="AS32" i="1"/>
  <c r="AR32" i="1"/>
  <c r="AQ32" i="1"/>
  <c r="AP32" i="1"/>
  <c r="AO32" i="1"/>
  <c r="AN32" i="1"/>
  <c r="AM32" i="1"/>
  <c r="AL32" i="1"/>
  <c r="AK32" i="1"/>
  <c r="AJ32" i="1"/>
  <c r="AI32" i="1"/>
  <c r="AH32" i="1"/>
  <c r="AG32" i="1"/>
  <c r="AF32" i="1"/>
  <c r="AE32" i="1"/>
  <c r="AD32" i="1"/>
  <c r="AC32" i="1"/>
  <c r="AB32" i="1"/>
  <c r="AA32" i="1"/>
  <c r="Z32" i="1"/>
  <c r="X32" i="1"/>
  <c r="W32" i="1"/>
  <c r="V32" i="1"/>
  <c r="U32" i="1"/>
  <c r="T32" i="1"/>
  <c r="S32" i="1"/>
  <c r="R32" i="1"/>
  <c r="Q32" i="1"/>
  <c r="P32" i="1"/>
  <c r="O32" i="1"/>
  <c r="N32" i="1"/>
  <c r="M32" i="1"/>
  <c r="L32" i="1"/>
  <c r="BC31" i="1"/>
  <c r="BB31" i="1"/>
  <c r="BA31" i="1"/>
  <c r="AZ31" i="1"/>
  <c r="AY31" i="1"/>
  <c r="AX31" i="1"/>
  <c r="AW31" i="1"/>
  <c r="AV31" i="1"/>
  <c r="AU31" i="1"/>
  <c r="AT31" i="1"/>
  <c r="AS31" i="1"/>
  <c r="AR31" i="1"/>
  <c r="AQ31" i="1"/>
  <c r="AP31" i="1"/>
  <c r="AO31" i="1"/>
  <c r="AN31" i="1"/>
  <c r="AM31" i="1"/>
  <c r="AL31" i="1"/>
  <c r="AK31" i="1"/>
  <c r="AJ31" i="1"/>
  <c r="AI31" i="1"/>
  <c r="AH31" i="1"/>
  <c r="AG31" i="1"/>
  <c r="AF31" i="1"/>
  <c r="AE31" i="1"/>
  <c r="AD31" i="1"/>
  <c r="AC31" i="1"/>
  <c r="AB31" i="1"/>
  <c r="AA31" i="1"/>
  <c r="Z31" i="1"/>
  <c r="X31" i="1"/>
  <c r="W31" i="1"/>
  <c r="V31" i="1"/>
  <c r="U31" i="1"/>
  <c r="T31" i="1"/>
  <c r="S31" i="1"/>
  <c r="R31" i="1"/>
  <c r="Q31" i="1"/>
  <c r="P31" i="1"/>
  <c r="O31" i="1"/>
  <c r="N31" i="1"/>
  <c r="M31" i="1"/>
  <c r="L31" i="1"/>
  <c r="BC30" i="1"/>
  <c r="BB30" i="1"/>
  <c r="BA30" i="1"/>
  <c r="AZ30" i="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Z30" i="1"/>
  <c r="X30" i="1"/>
  <c r="W30" i="1"/>
  <c r="V30" i="1"/>
  <c r="U30" i="1"/>
  <c r="T30" i="1"/>
  <c r="S30" i="1"/>
  <c r="R30" i="1"/>
  <c r="Q30" i="1"/>
  <c r="P30" i="1"/>
  <c r="O30" i="1"/>
  <c r="N30" i="1"/>
  <c r="M30" i="1"/>
  <c r="L30" i="1"/>
  <c r="BC29" i="1"/>
  <c r="BB29" i="1"/>
  <c r="BA29" i="1"/>
  <c r="AZ29" i="1"/>
  <c r="AY29" i="1"/>
  <c r="AX29" i="1"/>
  <c r="AW29" i="1"/>
  <c r="AV29" i="1"/>
  <c r="AU29" i="1"/>
  <c r="AT29" i="1"/>
  <c r="AS29" i="1"/>
  <c r="AR29" i="1"/>
  <c r="AQ29" i="1"/>
  <c r="AP29" i="1"/>
  <c r="AO29" i="1"/>
  <c r="AN29" i="1"/>
  <c r="AM29" i="1"/>
  <c r="AL29" i="1"/>
  <c r="AK29" i="1"/>
  <c r="AJ29" i="1"/>
  <c r="AI29" i="1"/>
  <c r="AH29" i="1"/>
  <c r="AG29" i="1"/>
  <c r="AF29" i="1"/>
  <c r="AE29" i="1"/>
  <c r="AD29" i="1"/>
  <c r="AC29" i="1"/>
  <c r="AB29" i="1"/>
  <c r="AA29" i="1"/>
  <c r="Z29" i="1"/>
  <c r="X29" i="1"/>
  <c r="W29" i="1"/>
  <c r="V29" i="1"/>
  <c r="U29" i="1"/>
  <c r="T29" i="1"/>
  <c r="S29" i="1"/>
  <c r="R29" i="1"/>
  <c r="Q29" i="1"/>
  <c r="P29" i="1"/>
  <c r="O29" i="1"/>
  <c r="N29" i="1"/>
  <c r="M29" i="1"/>
  <c r="L29" i="1"/>
  <c r="BC28" i="1"/>
  <c r="BB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X28" i="1"/>
  <c r="W28" i="1"/>
  <c r="V28" i="1"/>
  <c r="U28" i="1"/>
  <c r="T28" i="1"/>
  <c r="S28" i="1"/>
  <c r="R28" i="1"/>
  <c r="Q28" i="1"/>
  <c r="P28" i="1"/>
  <c r="O28" i="1"/>
  <c r="N28" i="1"/>
  <c r="M28" i="1"/>
  <c r="L28" i="1"/>
  <c r="BC27" i="1"/>
  <c r="BB27" i="1"/>
  <c r="BA27" i="1"/>
  <c r="AZ27" i="1"/>
  <c r="AY27" i="1"/>
  <c r="AX27" i="1"/>
  <c r="AW27" i="1"/>
  <c r="AV27" i="1"/>
  <c r="AU27" i="1"/>
  <c r="AT27" i="1"/>
  <c r="AS27" i="1"/>
  <c r="AR27" i="1"/>
  <c r="AQ27" i="1"/>
  <c r="AP27" i="1"/>
  <c r="AO27" i="1"/>
  <c r="AN27" i="1"/>
  <c r="AM27" i="1"/>
  <c r="AL27" i="1"/>
  <c r="AK27" i="1"/>
  <c r="AJ27" i="1"/>
  <c r="AI27" i="1"/>
  <c r="AH27" i="1"/>
  <c r="AG27" i="1"/>
  <c r="AF27" i="1"/>
  <c r="AE27" i="1"/>
  <c r="AD27" i="1"/>
  <c r="AC27" i="1"/>
  <c r="AB27" i="1"/>
  <c r="AA27" i="1"/>
  <c r="Z27" i="1"/>
  <c r="X27" i="1"/>
  <c r="W27" i="1"/>
  <c r="V27" i="1"/>
  <c r="U27" i="1"/>
  <c r="T27" i="1"/>
  <c r="S27" i="1"/>
  <c r="R27" i="1"/>
  <c r="Q27" i="1"/>
  <c r="P27" i="1"/>
  <c r="O27" i="1"/>
  <c r="N27" i="1"/>
  <c r="M27" i="1"/>
  <c r="L27" i="1"/>
  <c r="BC26" i="1"/>
  <c r="BB26" i="1"/>
  <c r="BA26" i="1"/>
  <c r="AZ26" i="1"/>
  <c r="AY26" i="1"/>
  <c r="AX26" i="1"/>
  <c r="AW26" i="1"/>
  <c r="AV26" i="1"/>
  <c r="AU26" i="1"/>
  <c r="AT26" i="1"/>
  <c r="AS26" i="1"/>
  <c r="AR26" i="1"/>
  <c r="AQ26" i="1"/>
  <c r="AP26" i="1"/>
  <c r="AO26" i="1"/>
  <c r="AN26" i="1"/>
  <c r="AM26" i="1"/>
  <c r="AL26" i="1"/>
  <c r="AK26" i="1"/>
  <c r="AJ26" i="1"/>
  <c r="AI26" i="1"/>
  <c r="AH26" i="1"/>
  <c r="AG26" i="1"/>
  <c r="AF26" i="1"/>
  <c r="AE26" i="1"/>
  <c r="AD26" i="1"/>
  <c r="AC26" i="1"/>
  <c r="AB26" i="1"/>
  <c r="AA26" i="1"/>
  <c r="Z26" i="1"/>
  <c r="X26" i="1"/>
  <c r="W26" i="1"/>
  <c r="V26" i="1"/>
  <c r="U26" i="1"/>
  <c r="T26" i="1"/>
  <c r="S26" i="1"/>
  <c r="R26" i="1"/>
  <c r="Q26" i="1"/>
  <c r="P26" i="1"/>
  <c r="O26" i="1"/>
  <c r="N26" i="1"/>
  <c r="M26" i="1"/>
  <c r="L26" i="1"/>
  <c r="BC25" i="1"/>
  <c r="BB25" i="1"/>
  <c r="BA25" i="1"/>
  <c r="AZ25" i="1"/>
  <c r="AY25" i="1"/>
  <c r="AX25" i="1"/>
  <c r="AW25" i="1"/>
  <c r="AV25" i="1"/>
  <c r="AU25" i="1"/>
  <c r="AT25" i="1"/>
  <c r="AS25" i="1"/>
  <c r="AR25" i="1"/>
  <c r="AQ25" i="1"/>
  <c r="AP25" i="1"/>
  <c r="AO25" i="1"/>
  <c r="AN25" i="1"/>
  <c r="AM25" i="1"/>
  <c r="AL25" i="1"/>
  <c r="AK25" i="1"/>
  <c r="AJ25" i="1"/>
  <c r="AI25" i="1"/>
  <c r="AH25" i="1"/>
  <c r="AG25" i="1"/>
  <c r="AF25" i="1"/>
  <c r="AE25" i="1"/>
  <c r="AD25" i="1"/>
  <c r="AC25" i="1"/>
  <c r="AB25" i="1"/>
  <c r="AA25" i="1"/>
  <c r="Z25" i="1"/>
  <c r="X25" i="1"/>
  <c r="W25" i="1"/>
  <c r="V25" i="1"/>
  <c r="U25" i="1"/>
  <c r="T25" i="1"/>
  <c r="S25" i="1"/>
  <c r="R25" i="1"/>
  <c r="Q25" i="1"/>
  <c r="P25" i="1"/>
  <c r="O25" i="1"/>
  <c r="N25" i="1"/>
  <c r="M25" i="1"/>
  <c r="L25" i="1"/>
  <c r="BC24" i="1"/>
  <c r="BB24" i="1"/>
  <c r="BA24" i="1"/>
  <c r="AZ24" i="1"/>
  <c r="AY24" i="1"/>
  <c r="AX24" i="1"/>
  <c r="AW24" i="1"/>
  <c r="AV24" i="1"/>
  <c r="AU24" i="1"/>
  <c r="AT24" i="1"/>
  <c r="AO24" i="1"/>
  <c r="AJ24" i="1"/>
  <c r="AI24" i="1"/>
  <c r="AH24" i="1"/>
  <c r="AG24" i="1"/>
  <c r="AF24" i="1"/>
  <c r="AE24" i="1"/>
  <c r="AD24" i="1"/>
  <c r="AC24" i="1"/>
  <c r="AB24" i="1"/>
  <c r="AA24" i="1"/>
  <c r="Z24" i="1"/>
  <c r="X24" i="1"/>
  <c r="W24" i="1"/>
  <c r="V24" i="1"/>
  <c r="U24" i="1"/>
  <c r="T24" i="1"/>
  <c r="S24" i="1"/>
  <c r="R24" i="1"/>
  <c r="Q24" i="1"/>
  <c r="P24" i="1"/>
  <c r="O24" i="1"/>
  <c r="N24" i="1"/>
  <c r="M24" i="1"/>
  <c r="L24" i="1"/>
  <c r="BB23" i="1"/>
  <c r="BA23" i="1"/>
  <c r="AZ23" i="1"/>
  <c r="AY23" i="1"/>
  <c r="AW23" i="1"/>
  <c r="AV23" i="1"/>
  <c r="AU23" i="1"/>
  <c r="AT23" i="1"/>
  <c r="AO23" i="1"/>
  <c r="AJ23" i="1"/>
  <c r="AI23" i="1"/>
  <c r="AH23" i="1"/>
  <c r="AG23" i="1"/>
  <c r="AF23" i="1"/>
  <c r="AE23" i="1"/>
  <c r="AD23" i="1"/>
  <c r="AC23" i="1"/>
  <c r="AB23" i="1"/>
  <c r="AA23" i="1"/>
  <c r="Z23" i="1"/>
  <c r="X23" i="1"/>
  <c r="W23" i="1"/>
  <c r="V23" i="1"/>
  <c r="U23" i="1"/>
  <c r="T23" i="1"/>
  <c r="S23" i="1"/>
  <c r="R23" i="1"/>
  <c r="Q23" i="1"/>
  <c r="P23" i="1"/>
  <c r="O23" i="1"/>
  <c r="N23" i="1"/>
  <c r="M23" i="1"/>
  <c r="L23" i="1"/>
  <c r="BB22" i="1"/>
  <c r="BA22" i="1"/>
  <c r="AZ22" i="1"/>
  <c r="AY22" i="1"/>
  <c r="AW22" i="1"/>
  <c r="AV22" i="1"/>
  <c r="AU22" i="1"/>
  <c r="AT22" i="1"/>
  <c r="AO22" i="1"/>
  <c r="AJ22" i="1"/>
  <c r="AI22" i="1"/>
  <c r="AH22" i="1"/>
  <c r="AG22" i="1"/>
  <c r="AF22" i="1"/>
  <c r="AE22" i="1"/>
  <c r="AD22" i="1"/>
  <c r="AC22" i="1"/>
  <c r="AB22" i="1"/>
  <c r="AA22" i="1"/>
  <c r="Z22" i="1"/>
  <c r="X22" i="1"/>
  <c r="W22" i="1"/>
  <c r="V22" i="1"/>
  <c r="U22" i="1"/>
  <c r="T22" i="1"/>
  <c r="S22" i="1"/>
  <c r="R22" i="1"/>
  <c r="Q22" i="1"/>
  <c r="P22" i="1"/>
  <c r="O22" i="1"/>
  <c r="N22" i="1"/>
  <c r="M22" i="1"/>
  <c r="L22" i="1"/>
  <c r="BB21" i="1"/>
  <c r="BA21" i="1"/>
  <c r="AZ21" i="1"/>
  <c r="AY21" i="1"/>
  <c r="AW21" i="1"/>
  <c r="AV21" i="1"/>
  <c r="AU21" i="1"/>
  <c r="AT21" i="1"/>
  <c r="AO21" i="1"/>
  <c r="AJ21" i="1"/>
  <c r="AI21" i="1"/>
  <c r="AH21" i="1"/>
  <c r="AG21" i="1"/>
  <c r="AF21" i="1"/>
  <c r="AE21" i="1"/>
  <c r="AD21" i="1"/>
  <c r="AC21" i="1"/>
  <c r="AB21" i="1"/>
  <c r="AA21" i="1"/>
  <c r="Z21" i="1"/>
  <c r="X21" i="1"/>
  <c r="W21" i="1"/>
  <c r="V21" i="1"/>
  <c r="U21" i="1"/>
  <c r="T21" i="1"/>
  <c r="S21" i="1"/>
  <c r="R21" i="1"/>
  <c r="Q21" i="1"/>
  <c r="P21" i="1"/>
  <c r="O21" i="1"/>
  <c r="N21" i="1"/>
  <c r="M21" i="1"/>
  <c r="L21" i="1"/>
  <c r="BB20" i="1"/>
  <c r="BA20" i="1"/>
  <c r="AZ20" i="1"/>
  <c r="AY20" i="1"/>
  <c r="AW20" i="1"/>
  <c r="AV20" i="1"/>
  <c r="AU20" i="1"/>
  <c r="AT20" i="1"/>
  <c r="AO20" i="1"/>
  <c r="AJ20" i="1"/>
  <c r="AI20" i="1"/>
  <c r="AH20" i="1"/>
  <c r="AG20" i="1"/>
  <c r="AF20" i="1"/>
  <c r="AE20" i="1"/>
  <c r="AD20" i="1"/>
  <c r="AC20" i="1"/>
  <c r="AB20" i="1"/>
  <c r="AA20" i="1"/>
  <c r="Z20" i="1"/>
  <c r="X20" i="1"/>
  <c r="W20" i="1"/>
  <c r="V20" i="1"/>
  <c r="U20" i="1"/>
  <c r="T20" i="1"/>
  <c r="S20" i="1"/>
  <c r="R20" i="1"/>
  <c r="Q20" i="1"/>
  <c r="P20" i="1"/>
  <c r="O20" i="1"/>
  <c r="N20" i="1"/>
  <c r="M20" i="1"/>
  <c r="L20" i="1"/>
  <c r="BB19" i="1"/>
  <c r="BA19" i="1"/>
  <c r="AZ19" i="1"/>
  <c r="AY19" i="1"/>
  <c r="AW19" i="1"/>
  <c r="AV19" i="1"/>
  <c r="AU19" i="1"/>
  <c r="AT19" i="1"/>
  <c r="AO19" i="1"/>
  <c r="AJ19" i="1"/>
  <c r="AI19" i="1"/>
  <c r="AH19" i="1"/>
  <c r="AG19" i="1"/>
  <c r="AF19" i="1"/>
  <c r="AE19" i="1"/>
  <c r="AD19" i="1"/>
  <c r="AC19" i="1"/>
  <c r="AB19" i="1"/>
  <c r="AA19" i="1"/>
  <c r="Z19" i="1"/>
  <c r="X19" i="1"/>
  <c r="W19" i="1"/>
  <c r="V19" i="1"/>
  <c r="U19" i="1"/>
  <c r="T19" i="1"/>
  <c r="S19" i="1"/>
  <c r="R19" i="1"/>
  <c r="Q19" i="1"/>
  <c r="P19" i="1"/>
  <c r="O19" i="1"/>
  <c r="N19" i="1"/>
  <c r="M19" i="1"/>
  <c r="L19" i="1"/>
  <c r="BB18" i="1"/>
  <c r="BA18" i="1"/>
  <c r="AZ18" i="1"/>
  <c r="AY18" i="1"/>
  <c r="AW18" i="1"/>
  <c r="AV18" i="1"/>
  <c r="AU18" i="1"/>
  <c r="AT18" i="1"/>
  <c r="AO18" i="1"/>
  <c r="AJ18" i="1"/>
  <c r="AI18" i="1"/>
  <c r="AH18" i="1"/>
  <c r="AG18" i="1"/>
  <c r="AF18" i="1"/>
  <c r="AE18" i="1"/>
  <c r="AD18" i="1"/>
  <c r="AC18" i="1"/>
  <c r="AB18" i="1"/>
  <c r="AA18" i="1"/>
  <c r="Z18" i="1"/>
  <c r="X18" i="1"/>
  <c r="W18" i="1"/>
  <c r="V18" i="1"/>
  <c r="U18" i="1"/>
  <c r="T18" i="1"/>
  <c r="S18" i="1"/>
  <c r="R18" i="1"/>
  <c r="Q18" i="1"/>
  <c r="P18" i="1"/>
  <c r="O18" i="1"/>
  <c r="N18" i="1"/>
  <c r="M18" i="1"/>
  <c r="L18" i="1"/>
  <c r="BB17" i="1"/>
  <c r="BA17" i="1"/>
  <c r="AZ17" i="1"/>
  <c r="AY17" i="1"/>
  <c r="AW17" i="1"/>
  <c r="AV17" i="1"/>
  <c r="AU17" i="1"/>
  <c r="AT17" i="1"/>
  <c r="AO17" i="1"/>
  <c r="AJ17" i="1"/>
  <c r="AI17" i="1"/>
  <c r="AH17" i="1"/>
  <c r="AG17" i="1"/>
  <c r="AF17" i="1"/>
  <c r="AE17" i="1"/>
  <c r="AD17" i="1"/>
  <c r="AC17" i="1"/>
  <c r="AB17" i="1"/>
  <c r="AA17" i="1"/>
  <c r="Z17" i="1"/>
  <c r="X17" i="1"/>
  <c r="W17" i="1"/>
  <c r="V17" i="1"/>
  <c r="U17" i="1"/>
  <c r="T17" i="1"/>
  <c r="S17" i="1"/>
  <c r="R17" i="1"/>
  <c r="Q17" i="1"/>
  <c r="P17" i="1"/>
  <c r="O17" i="1"/>
  <c r="N17" i="1"/>
  <c r="M17" i="1"/>
  <c r="L17" i="1"/>
  <c r="BB16" i="1"/>
  <c r="BA16" i="1"/>
  <c r="AZ16" i="1"/>
  <c r="AY16" i="1"/>
  <c r="AW16" i="1"/>
  <c r="AV16" i="1"/>
  <c r="AU16" i="1"/>
  <c r="AT16" i="1"/>
  <c r="AO16" i="1"/>
  <c r="AJ16" i="1"/>
  <c r="AI16" i="1"/>
  <c r="AH16" i="1"/>
  <c r="AG16" i="1"/>
  <c r="AF16" i="1"/>
  <c r="AE16" i="1"/>
  <c r="AD16" i="1"/>
  <c r="AC16" i="1"/>
  <c r="AB16" i="1"/>
  <c r="AA16" i="1"/>
  <c r="Z16" i="1"/>
  <c r="X16" i="1"/>
  <c r="W16" i="1"/>
  <c r="V16" i="1"/>
  <c r="U16" i="1"/>
  <c r="T16" i="1"/>
  <c r="S16" i="1"/>
  <c r="R16" i="1"/>
  <c r="Q16" i="1"/>
  <c r="P16" i="1"/>
  <c r="O16" i="1"/>
  <c r="N16" i="1"/>
  <c r="M16" i="1"/>
  <c r="L16" i="1"/>
  <c r="BA15" i="1"/>
  <c r="AZ15" i="1"/>
  <c r="AY15" i="1"/>
  <c r="AV15" i="1"/>
  <c r="AU15" i="1"/>
  <c r="AT15" i="1"/>
  <c r="AO15" i="1"/>
  <c r="AJ15" i="1"/>
  <c r="AI15" i="1"/>
  <c r="AH15" i="1"/>
  <c r="AG15" i="1"/>
  <c r="AF15" i="1"/>
  <c r="AE15" i="1"/>
  <c r="AD15" i="1"/>
  <c r="AC15" i="1"/>
  <c r="AB15" i="1"/>
  <c r="AA15" i="1"/>
  <c r="Z15" i="1"/>
  <c r="X15" i="1"/>
  <c r="W15" i="1"/>
  <c r="V15" i="1"/>
  <c r="U15" i="1"/>
  <c r="T15" i="1"/>
  <c r="S15" i="1"/>
  <c r="R15" i="1"/>
  <c r="Q15" i="1"/>
  <c r="P15" i="1"/>
  <c r="O15" i="1"/>
  <c r="N15" i="1"/>
  <c r="M15" i="1"/>
  <c r="L15" i="1"/>
  <c r="BA14" i="1"/>
  <c r="AZ14" i="1"/>
  <c r="AY14" i="1"/>
  <c r="AV14" i="1"/>
  <c r="AU14" i="1"/>
  <c r="AT14" i="1"/>
  <c r="AO14" i="1"/>
  <c r="AJ14" i="1"/>
  <c r="AI14" i="1"/>
  <c r="AH14" i="1"/>
  <c r="AG14" i="1"/>
  <c r="AF14" i="1"/>
  <c r="AE14" i="1"/>
  <c r="AD14" i="1"/>
  <c r="AC14" i="1"/>
  <c r="AB14" i="1"/>
  <c r="AA14" i="1"/>
  <c r="Z14" i="1"/>
  <c r="X14" i="1"/>
  <c r="W14" i="1"/>
  <c r="V14" i="1"/>
  <c r="U14" i="1"/>
  <c r="T14" i="1"/>
  <c r="S14" i="1"/>
  <c r="R14" i="1"/>
  <c r="Q14" i="1"/>
  <c r="P14" i="1"/>
  <c r="O14" i="1"/>
  <c r="N14" i="1"/>
  <c r="M14" i="1"/>
  <c r="L14" i="1"/>
  <c r="BA13" i="1"/>
  <c r="AZ13" i="1"/>
  <c r="AY13" i="1"/>
  <c r="AV13" i="1"/>
  <c r="AU13" i="1"/>
  <c r="AT13" i="1"/>
  <c r="AO13" i="1"/>
  <c r="AJ13" i="1"/>
  <c r="AI13" i="1"/>
  <c r="AH13" i="1"/>
  <c r="AG13" i="1"/>
  <c r="AF13" i="1"/>
  <c r="AE13" i="1"/>
  <c r="AD13" i="1"/>
  <c r="AC13" i="1"/>
  <c r="AB13" i="1"/>
  <c r="AA13" i="1"/>
  <c r="Z13" i="1"/>
  <c r="X13" i="1"/>
  <c r="W13" i="1"/>
  <c r="V13" i="1"/>
  <c r="U13" i="1"/>
  <c r="T13" i="1"/>
  <c r="S13" i="1"/>
  <c r="R13" i="1"/>
  <c r="Q13" i="1"/>
  <c r="P13" i="1"/>
  <c r="O13" i="1"/>
  <c r="N13" i="1"/>
  <c r="M13" i="1"/>
  <c r="L13" i="1"/>
  <c r="BA12" i="1"/>
  <c r="AZ12" i="1"/>
  <c r="AY12" i="1"/>
  <c r="AV12" i="1"/>
  <c r="AU12" i="1"/>
  <c r="AT12" i="1"/>
  <c r="AO12" i="1"/>
  <c r="AJ12" i="1"/>
  <c r="AI12" i="1"/>
  <c r="AH12" i="1"/>
  <c r="AG12" i="1"/>
  <c r="AF12" i="1"/>
  <c r="AE12" i="1"/>
  <c r="AD12" i="1"/>
  <c r="AC12" i="1"/>
  <c r="AB12" i="1"/>
  <c r="AA12" i="1"/>
  <c r="Z12" i="1"/>
  <c r="X12" i="1"/>
  <c r="W12" i="1"/>
  <c r="V12" i="1"/>
  <c r="U12" i="1"/>
  <c r="T12" i="1"/>
  <c r="S12" i="1"/>
  <c r="R12" i="1"/>
  <c r="Q12" i="1"/>
  <c r="P12" i="1"/>
  <c r="O12" i="1"/>
  <c r="N12" i="1"/>
  <c r="M12" i="1"/>
  <c r="L12" i="1"/>
  <c r="BA11" i="1"/>
  <c r="AZ11" i="1"/>
  <c r="AY11" i="1"/>
  <c r="AV11" i="1"/>
  <c r="AU11" i="1"/>
  <c r="AT11" i="1"/>
  <c r="AO11" i="1"/>
  <c r="AJ11" i="1"/>
  <c r="AE11" i="1"/>
  <c r="Z11" i="1"/>
  <c r="X11" i="1"/>
  <c r="W11" i="1"/>
  <c r="V11" i="1"/>
  <c r="U11" i="1"/>
  <c r="T11" i="1"/>
  <c r="S11" i="1"/>
  <c r="R11" i="1"/>
  <c r="Q11" i="1"/>
  <c r="P11" i="1"/>
  <c r="O11" i="1"/>
  <c r="N11" i="1"/>
  <c r="M11" i="1"/>
  <c r="L11" i="1"/>
  <c r="AZ10" i="1"/>
  <c r="AY10" i="1"/>
  <c r="AU10" i="1"/>
  <c r="AT10" i="1"/>
  <c r="AO10" i="1"/>
  <c r="AJ10" i="1"/>
  <c r="AE10" i="1"/>
  <c r="Z10" i="1"/>
  <c r="X10" i="1"/>
  <c r="W10" i="1"/>
  <c r="V10" i="1"/>
  <c r="U10" i="1"/>
  <c r="T10" i="1"/>
  <c r="S10" i="1"/>
  <c r="R10" i="1"/>
  <c r="Q10" i="1"/>
  <c r="P10" i="1"/>
  <c r="O10" i="1"/>
  <c r="N10" i="1"/>
  <c r="M10" i="1"/>
  <c r="L10" i="1"/>
  <c r="AZ9" i="1"/>
  <c r="AY9" i="1"/>
  <c r="AU9" i="1"/>
  <c r="AT9" i="1"/>
  <c r="AO9" i="1"/>
  <c r="AJ9" i="1"/>
  <c r="AE9" i="1"/>
  <c r="Z9" i="1"/>
  <c r="X9" i="1"/>
  <c r="W9" i="1"/>
  <c r="V9" i="1"/>
  <c r="U9" i="1"/>
  <c r="T9" i="1"/>
  <c r="S9" i="1"/>
  <c r="R9" i="1"/>
  <c r="Q9" i="1"/>
  <c r="P9" i="1"/>
  <c r="O9" i="1"/>
  <c r="N9" i="1"/>
  <c r="M9" i="1"/>
  <c r="L9" i="1"/>
  <c r="AZ8" i="1"/>
  <c r="AY8" i="1"/>
  <c r="AU8" i="1"/>
  <c r="AT8" i="1"/>
  <c r="AO8" i="1"/>
  <c r="AJ8" i="1"/>
  <c r="AE8" i="1"/>
  <c r="Z8" i="1"/>
  <c r="X8" i="1"/>
  <c r="W8" i="1"/>
  <c r="V8" i="1"/>
  <c r="U8" i="1"/>
  <c r="T8" i="1"/>
  <c r="S8" i="1"/>
  <c r="R8" i="1"/>
  <c r="Q8" i="1"/>
  <c r="P8" i="1"/>
  <c r="O8" i="1"/>
  <c r="N8" i="1"/>
  <c r="M8" i="1"/>
  <c r="L8" i="1"/>
  <c r="AZ7" i="1"/>
  <c r="AY7" i="1"/>
  <c r="AU7" i="1"/>
  <c r="AT7" i="1"/>
  <c r="AO7" i="1"/>
  <c r="AJ7" i="1"/>
  <c r="AE7" i="1"/>
  <c r="Z7" i="1"/>
  <c r="X7" i="1"/>
  <c r="W7" i="1"/>
  <c r="V7" i="1"/>
  <c r="U7" i="1"/>
  <c r="T7" i="1"/>
  <c r="S7" i="1"/>
  <c r="R7" i="1"/>
  <c r="Q7" i="1"/>
  <c r="P7" i="1"/>
  <c r="O7" i="1"/>
  <c r="N7" i="1"/>
  <c r="M7" i="1"/>
  <c r="L7" i="1"/>
  <c r="AZ6" i="1"/>
  <c r="AY6" i="1"/>
  <c r="AU6" i="1"/>
  <c r="AT6" i="1"/>
  <c r="AO6" i="1"/>
  <c r="AJ6" i="1"/>
  <c r="AE6" i="1"/>
  <c r="Z6" i="1"/>
  <c r="X6" i="1"/>
  <c r="W6" i="1"/>
  <c r="V6" i="1"/>
  <c r="U6" i="1"/>
  <c r="T6" i="1"/>
  <c r="S6" i="1"/>
  <c r="R6" i="1"/>
  <c r="Q6" i="1"/>
  <c r="P6" i="1"/>
  <c r="O6" i="1"/>
  <c r="N6" i="1"/>
  <c r="M6" i="1"/>
  <c r="L6" i="1"/>
  <c r="AZ5" i="1"/>
  <c r="AY5" i="1"/>
  <c r="AU5" i="1"/>
  <c r="AT5" i="1"/>
  <c r="AO5" i="1"/>
  <c r="AJ5" i="1"/>
  <c r="AE5" i="1"/>
  <c r="Z5" i="1"/>
  <c r="X5" i="1"/>
  <c r="W5" i="1"/>
  <c r="V5" i="1"/>
  <c r="U5" i="1"/>
  <c r="T5" i="1"/>
  <c r="S5" i="1"/>
  <c r="R5" i="1"/>
  <c r="Q5" i="1"/>
  <c r="P5" i="1"/>
  <c r="O5" i="1"/>
  <c r="N5" i="1"/>
  <c r="M5" i="1"/>
  <c r="L5" i="1"/>
  <c r="F5" i="1"/>
  <c r="E5" i="1"/>
  <c r="D5" i="1"/>
  <c r="AZ4" i="1"/>
  <c r="AY4" i="1"/>
  <c r="AU4" i="1"/>
  <c r="AT4" i="1"/>
  <c r="X4" i="1"/>
  <c r="W4" i="1"/>
  <c r="V4" i="1"/>
  <c r="U4" i="1"/>
  <c r="T4" i="1"/>
  <c r="S4" i="1"/>
  <c r="R4" i="1"/>
  <c r="Q4" i="1"/>
  <c r="P4" i="1"/>
  <c r="O4" i="1"/>
  <c r="N4" i="1"/>
  <c r="M4" i="1"/>
  <c r="G4" i="1"/>
  <c r="F4" i="1"/>
  <c r="E4" i="1"/>
  <c r="D4" i="1"/>
  <c r="G3" i="1"/>
  <c r="F3" i="1"/>
  <c r="E3" i="1"/>
  <c r="D3" i="1"/>
  <c r="AS2" i="1"/>
  <c r="AR2" i="1"/>
  <c r="AN2" i="1"/>
  <c r="AM2" i="1"/>
  <c r="AI2" i="1"/>
  <c r="AH2" i="1"/>
  <c r="AD2" i="1"/>
  <c r="AC2" i="1"/>
  <c r="X2" i="1"/>
  <c r="W2" i="1"/>
  <c r="V2" i="1"/>
  <c r="U2" i="1"/>
  <c r="T2" i="1"/>
  <c r="R2" i="1"/>
  <c r="Q2" i="1"/>
  <c r="P2" i="1"/>
  <c r="O2" i="1"/>
  <c r="N2" i="1"/>
  <c r="AY1" i="1"/>
  <c r="AT1" i="1"/>
  <c r="AO1" i="1"/>
  <c r="AJ1" i="1"/>
  <c r="AE1" i="1"/>
  <c r="Z1" i="1"/>
  <c r="S1" i="1"/>
  <c r="M1" i="1"/>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K5" i="3"/>
  <c r="J5" i="3"/>
  <c r="I5" i="3"/>
  <c r="H5" i="3"/>
  <c r="G5" i="3"/>
  <c r="F5" i="3"/>
  <c r="E5" i="3"/>
  <c r="D5" i="3"/>
  <c r="C5" i="3"/>
  <c r="A5"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K4" i="3"/>
  <c r="J4" i="3"/>
  <c r="I4" i="3"/>
  <c r="H4" i="3"/>
  <c r="G4" i="3"/>
  <c r="F4" i="3"/>
  <c r="E4" i="3"/>
  <c r="D4" i="3"/>
  <c r="C4" i="3"/>
  <c r="AK2" i="3"/>
  <c r="AJ2" i="3"/>
  <c r="AI2" i="3"/>
  <c r="AH2" i="3"/>
  <c r="AG2" i="3"/>
  <c r="AF2" i="3"/>
  <c r="AD2" i="3"/>
  <c r="AC2" i="3"/>
  <c r="Z2" i="3"/>
  <c r="Y2" i="3"/>
  <c r="W2" i="3"/>
  <c r="V2" i="3"/>
  <c r="D1" i="3"/>
  <c r="C1" i="3"/>
  <c r="B1" i="3"/>
  <c r="A117" i="7"/>
  <c r="A115" i="7"/>
  <c r="A113" i="7"/>
  <c r="A111" i="7"/>
  <c r="A109" i="7"/>
  <c r="A107" i="7"/>
  <c r="A105" i="7"/>
  <c r="A103" i="7"/>
  <c r="A101" i="7"/>
  <c r="A99" i="7"/>
  <c r="A96" i="7"/>
  <c r="A94" i="7"/>
  <c r="A92" i="7"/>
  <c r="A90" i="7"/>
  <c r="A88" i="7"/>
  <c r="A86" i="7"/>
  <c r="A84" i="7"/>
  <c r="A82" i="7"/>
  <c r="A80" i="7"/>
  <c r="A78" i="7"/>
  <c r="A75" i="7"/>
  <c r="A73" i="7"/>
  <c r="A70" i="7"/>
  <c r="A68" i="7"/>
  <c r="A66" i="7"/>
  <c r="A64" i="7"/>
  <c r="A62" i="7"/>
  <c r="A59" i="7"/>
  <c r="A57" i="7"/>
  <c r="A55" i="7"/>
  <c r="A53" i="7"/>
  <c r="A51" i="7"/>
  <c r="A48" i="7"/>
  <c r="A46" i="7"/>
  <c r="A44" i="7"/>
  <c r="A42" i="7"/>
  <c r="A40" i="7"/>
  <c r="A38" i="7"/>
  <c r="A36" i="7"/>
  <c r="A34" i="7"/>
  <c r="A32" i="7"/>
  <c r="A30" i="7"/>
  <c r="A27" i="7"/>
  <c r="A25" i="7"/>
  <c r="A22" i="7"/>
  <c r="A20" i="7"/>
  <c r="A18" i="7"/>
  <c r="A16" i="7"/>
  <c r="A14" i="7"/>
  <c r="A12" i="7"/>
  <c r="A10" i="7"/>
  <c r="A8" i="7"/>
  <c r="A6" i="7"/>
  <c r="H26" i="2"/>
  <c r="L22" i="2"/>
  <c r="K22" i="2"/>
  <c r="J22" i="2"/>
  <c r="I22" i="2"/>
  <c r="H22" i="2"/>
  <c r="G22" i="2"/>
  <c r="F22" i="2"/>
  <c r="E22" i="2"/>
  <c r="D22" i="2"/>
  <c r="C22" i="2"/>
  <c r="D19" i="2"/>
  <c r="D18" i="2"/>
  <c r="D8" i="2"/>
  <c r="D7" i="2"/>
  <c r="D6" i="2"/>
  <c r="D5" i="2"/>
  <c r="A45" i="5"/>
  <c r="A44" i="5"/>
  <c r="A43" i="5"/>
  <c r="A42" i="5"/>
  <c r="A41" i="5"/>
  <c r="A40" i="5"/>
  <c r="A39" i="5"/>
  <c r="A38" i="5"/>
  <c r="A32" i="5"/>
  <c r="A31" i="5"/>
  <c r="A30" i="5"/>
  <c r="A29" i="5"/>
  <c r="A28" i="5"/>
  <c r="A27" i="5"/>
  <c r="A26" i="5"/>
  <c r="A25" i="5"/>
  <c r="A24" i="5"/>
  <c r="A23" i="5"/>
  <c r="A22" i="5"/>
  <c r="A21" i="5"/>
  <c r="A20" i="5"/>
  <c r="A19" i="5"/>
  <c r="A18" i="5"/>
  <c r="A13" i="5"/>
  <c r="A12" i="5"/>
  <c r="A11" i="5"/>
  <c r="A10" i="5"/>
  <c r="A9" i="5"/>
  <c r="A8" i="5"/>
  <c r="A7" i="5"/>
  <c r="A6" i="5"/>
  <c r="A5" i="5"/>
  <c r="A4" i="5"/>
  <c r="N41" i="4"/>
  <c r="M41" i="4"/>
  <c r="L41" i="4"/>
  <c r="K41" i="4"/>
  <c r="I41" i="4"/>
  <c r="H41" i="4"/>
  <c r="G41" i="4"/>
  <c r="F41" i="4"/>
  <c r="A41" i="4"/>
  <c r="N40" i="4"/>
  <c r="M40" i="4"/>
  <c r="L40" i="4"/>
  <c r="K40" i="4"/>
  <c r="I40" i="4"/>
  <c r="H40" i="4"/>
  <c r="G40" i="4"/>
  <c r="F40" i="4"/>
  <c r="A40" i="4"/>
  <c r="N38" i="4"/>
  <c r="M38" i="4"/>
  <c r="L38" i="4"/>
  <c r="K38" i="4"/>
  <c r="I38" i="4"/>
  <c r="H38" i="4"/>
  <c r="G38" i="4"/>
  <c r="F38" i="4"/>
  <c r="A38" i="4"/>
  <c r="N37" i="4"/>
  <c r="M37" i="4"/>
  <c r="L37" i="4"/>
  <c r="K37" i="4"/>
  <c r="I37" i="4"/>
  <c r="H37" i="4"/>
  <c r="G37" i="4"/>
  <c r="F37" i="4"/>
  <c r="A37" i="4"/>
  <c r="N35" i="4"/>
  <c r="M35" i="4"/>
  <c r="L35" i="4"/>
  <c r="K35" i="4"/>
  <c r="I35" i="4"/>
  <c r="H35" i="4"/>
  <c r="G35" i="4"/>
  <c r="F35" i="4"/>
  <c r="A35" i="4"/>
  <c r="N34" i="4"/>
  <c r="M34" i="4"/>
  <c r="L34" i="4"/>
  <c r="K34" i="4"/>
  <c r="I34" i="4"/>
  <c r="H34" i="4"/>
  <c r="G34" i="4"/>
  <c r="F34" i="4"/>
  <c r="A34" i="4"/>
  <c r="N32" i="4"/>
  <c r="M32" i="4"/>
  <c r="L32" i="4"/>
  <c r="K32" i="4"/>
  <c r="I32" i="4"/>
  <c r="H32" i="4"/>
  <c r="G32" i="4"/>
  <c r="F32" i="4"/>
  <c r="A32" i="4"/>
  <c r="N31" i="4"/>
  <c r="M31" i="4"/>
  <c r="L31" i="4"/>
  <c r="K31" i="4"/>
  <c r="I31" i="4"/>
  <c r="H31" i="4"/>
  <c r="G31" i="4"/>
  <c r="F31" i="4"/>
  <c r="A31" i="4"/>
  <c r="N29" i="4"/>
  <c r="M29" i="4"/>
  <c r="L29" i="4"/>
  <c r="K29" i="4"/>
  <c r="I29" i="4"/>
  <c r="H29" i="4"/>
  <c r="G29" i="4"/>
  <c r="F29" i="4"/>
  <c r="A29" i="4"/>
  <c r="N28" i="4"/>
  <c r="M28" i="4"/>
  <c r="L28" i="4"/>
  <c r="K28" i="4"/>
  <c r="I28" i="4"/>
  <c r="H28" i="4"/>
  <c r="G28" i="4"/>
  <c r="F28" i="4"/>
  <c r="A28" i="4"/>
  <c r="N26" i="4"/>
  <c r="M26" i="4"/>
  <c r="L26" i="4"/>
  <c r="K26" i="4"/>
  <c r="I26" i="4"/>
  <c r="H26" i="4"/>
  <c r="G26" i="4"/>
  <c r="F26" i="4"/>
  <c r="A26" i="4"/>
  <c r="N25" i="4"/>
  <c r="M25" i="4"/>
  <c r="L25" i="4"/>
  <c r="K25" i="4"/>
  <c r="I25" i="4"/>
  <c r="H25" i="4"/>
  <c r="G25" i="4"/>
  <c r="F25" i="4"/>
  <c r="A25" i="4"/>
  <c r="N23" i="4"/>
  <c r="M23" i="4"/>
  <c r="L23" i="4"/>
  <c r="K23" i="4"/>
  <c r="I23" i="4"/>
  <c r="H23" i="4"/>
  <c r="G23" i="4"/>
  <c r="F23" i="4"/>
  <c r="A23" i="4"/>
  <c r="N22" i="4"/>
  <c r="M22" i="4"/>
  <c r="L22" i="4"/>
  <c r="K22" i="4"/>
  <c r="I22" i="4"/>
  <c r="H22" i="4"/>
  <c r="G22" i="4"/>
  <c r="F22" i="4"/>
  <c r="A22" i="4"/>
  <c r="N20" i="4"/>
  <c r="M20" i="4"/>
  <c r="L20" i="4"/>
  <c r="K20" i="4"/>
  <c r="I20" i="4"/>
  <c r="H20" i="4"/>
  <c r="G20" i="4"/>
  <c r="F20" i="4"/>
  <c r="A20" i="4"/>
  <c r="N19" i="4"/>
  <c r="M19" i="4"/>
  <c r="L19" i="4"/>
  <c r="K19" i="4"/>
  <c r="I19" i="4"/>
  <c r="H19" i="4"/>
  <c r="G19" i="4"/>
  <c r="F19" i="4"/>
  <c r="A19" i="4"/>
  <c r="N17" i="4"/>
  <c r="M17" i="4"/>
  <c r="L17" i="4"/>
  <c r="K17" i="4"/>
  <c r="I17" i="4"/>
  <c r="H17" i="4"/>
  <c r="G17" i="4"/>
  <c r="F17" i="4"/>
  <c r="A17" i="4"/>
  <c r="N16" i="4"/>
  <c r="M16" i="4"/>
  <c r="L16" i="4"/>
  <c r="K16" i="4"/>
  <c r="I16" i="4"/>
  <c r="H16" i="4"/>
  <c r="G16" i="4"/>
  <c r="F16" i="4"/>
  <c r="A16" i="4"/>
  <c r="N14" i="4"/>
  <c r="M14" i="4"/>
  <c r="L14" i="4"/>
  <c r="K14" i="4"/>
  <c r="I14" i="4"/>
  <c r="H14" i="4"/>
  <c r="G14" i="4"/>
  <c r="F14" i="4"/>
  <c r="A14" i="4"/>
  <c r="N13" i="4"/>
  <c r="M13" i="4"/>
  <c r="L13" i="4"/>
  <c r="K13" i="4"/>
  <c r="I13" i="4"/>
  <c r="H13" i="4"/>
  <c r="G13" i="4"/>
  <c r="F13" i="4"/>
  <c r="A13" i="4"/>
  <c r="N11" i="4"/>
  <c r="M11" i="4"/>
  <c r="L11" i="4"/>
  <c r="K11" i="4"/>
  <c r="I11" i="4"/>
  <c r="H11" i="4"/>
  <c r="G11" i="4"/>
  <c r="F11" i="4"/>
  <c r="A11" i="4"/>
  <c r="N10" i="4"/>
  <c r="M10" i="4"/>
  <c r="L10" i="4"/>
  <c r="K10" i="4"/>
  <c r="I10" i="4"/>
  <c r="H10" i="4"/>
  <c r="G10" i="4"/>
  <c r="F10" i="4"/>
  <c r="A10" i="4"/>
  <c r="N8" i="4"/>
  <c r="M8" i="4"/>
  <c r="L8" i="4"/>
  <c r="K8" i="4"/>
  <c r="I8" i="4"/>
  <c r="H8" i="4"/>
  <c r="G8" i="4"/>
  <c r="F8" i="4"/>
  <c r="A8" i="4"/>
  <c r="N7" i="4"/>
  <c r="M7" i="4"/>
  <c r="L7" i="4"/>
  <c r="K7" i="4"/>
  <c r="I7" i="4"/>
  <c r="H7" i="4"/>
  <c r="G7" i="4"/>
  <c r="F7" i="4"/>
  <c r="A7" i="4"/>
  <c r="N5" i="4"/>
  <c r="M5" i="4"/>
  <c r="L5" i="4"/>
  <c r="K5" i="4"/>
  <c r="I5" i="4"/>
  <c r="H5" i="4"/>
  <c r="G5" i="4"/>
  <c r="F5" i="4"/>
  <c r="A5" i="4"/>
  <c r="N4" i="4"/>
  <c r="M4" i="4"/>
  <c r="L4" i="4"/>
  <c r="K4" i="4"/>
  <c r="I4" i="4"/>
  <c r="H4" i="4"/>
  <c r="G4" i="4"/>
  <c r="F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A9" authorId="0" shapeId="0" xr:uid="{00000000-0006-0000-0200-000001000000}">
      <text>
        <r>
          <rPr>
            <sz val="8"/>
            <color indexed="81"/>
            <rFont val="Garamond"/>
            <family val="1"/>
          </rPr>
          <t>Range between 15% to 20%.</t>
        </r>
      </text>
    </comment>
    <comment ref="C24" authorId="0" shapeId="0" xr:uid="{00000000-0006-0000-0200-000002000000}">
      <text>
        <r>
          <rPr>
            <sz val="8"/>
            <color indexed="81"/>
            <rFont val="Tahoma"/>
            <family val="2"/>
          </rPr>
          <t>0.01% or Rs. 20/Trade whichever is lower.</t>
        </r>
      </text>
    </comment>
    <comment ref="D24" authorId="0" shapeId="0" xr:uid="{00000000-0006-0000-0200-000003000000}">
      <text>
        <r>
          <rPr>
            <sz val="8"/>
            <color indexed="81"/>
            <rFont val="Tahoma"/>
            <family val="2"/>
          </rPr>
          <t>Exchange Transaction Charges + Clearing Charges.</t>
        </r>
      </text>
    </comment>
    <comment ref="E24" authorId="0" shapeId="0" xr:uid="{00000000-0006-0000-0200-000004000000}">
      <text>
        <r>
          <rPr>
            <sz val="8"/>
            <color indexed="81"/>
            <rFont val="Tahoma"/>
            <family val="2"/>
          </rPr>
          <t>This is charged at 12 % of the total cost of brokerage plus transaction charges.</t>
        </r>
      </text>
    </comment>
    <comment ref="F24" authorId="0" shapeId="0" xr:uid="{00000000-0006-0000-0200-000005000000}">
      <text>
        <r>
          <rPr>
            <sz val="8"/>
            <color indexed="81"/>
            <rFont val="Tahoma"/>
            <family val="2"/>
          </rPr>
          <t>This is charged at 2% of the Service Tax.</t>
        </r>
      </text>
    </comment>
    <comment ref="G24" authorId="0" shapeId="0" xr:uid="{00000000-0006-0000-0200-000006000000}">
      <text>
        <r>
          <rPr>
            <sz val="8"/>
            <color indexed="81"/>
            <rFont val="Tahoma"/>
            <family val="2"/>
          </rPr>
          <t>This is charged at 1% of the Service Tax.</t>
        </r>
      </text>
    </comment>
    <comment ref="H24" authorId="0" shapeId="0" xr:uid="{00000000-0006-0000-0200-000007000000}">
      <text>
        <r>
          <rPr>
            <sz val="8"/>
            <color indexed="81"/>
            <rFont val="Tahoma"/>
            <family val="2"/>
          </rPr>
          <t xml:space="preserve">This is charged at Rs 20 per crore. </t>
        </r>
      </text>
    </comment>
    <comment ref="J24" authorId="0" shapeId="0" xr:uid="{00000000-0006-0000-0200-000008000000}">
      <text>
        <r>
          <rPr>
            <sz val="8"/>
            <color indexed="81"/>
            <rFont val="Tahoma"/>
            <family val="2"/>
          </rPr>
          <t>This is charged only on the sell side for intraday and F&amp;O trades. It is charged on both sides for Delivery trades in Equity.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Anne Parimal</author>
  </authors>
  <commentList>
    <comment ref="AR2" authorId="0" shapeId="0" xr:uid="{00000000-0006-0000-0400-000001000000}">
      <text>
        <r>
          <rPr>
            <sz val="9"/>
            <color indexed="81"/>
            <rFont val="Garamond"/>
            <family val="1"/>
          </rPr>
          <t>The assumption made here is that the Trade will be squared off on separate days and hence, the transactions will appear on 2 separate Contract Notes.</t>
        </r>
      </text>
    </comment>
    <comment ref="AS2" authorId="0" shapeId="0" xr:uid="{00000000-0006-0000-0400-000002000000}">
      <text>
        <r>
          <rPr>
            <sz val="9"/>
            <color indexed="81"/>
            <rFont val="Tahoma"/>
            <family val="2"/>
          </rPr>
          <t>STT is actually charged only when the Scrip is Sold. But since any Transaction, the scrip will have to be Sold while squaring off the transaction. Hence, here, this charge has been levied irrespective of the scrip being Bought or Sold.
The real formul is as follows :
IF(OR(AND(AU3="Buy",AU4="Buy"),AND(AU3="Sell",AU4="Sell")),"Error",IF(AV3="Yes",IF(AU3="Sell",(BT3*0.017%),IF(AU4="Sell",(BT4*0.017%),0)),0))</t>
        </r>
      </text>
    </comment>
    <comment ref="AT2" authorId="0" shapeId="0" xr:uid="{00000000-0006-0000-0400-000003000000}">
      <text>
        <r>
          <rPr>
            <sz val="9"/>
            <color indexed="81"/>
            <rFont val="Tahoma"/>
            <family val="2"/>
          </rPr>
          <t>Slippage is taken @ 0.04% of the Price.
Hence, in case of Buy, 0.04% is added to the Buy Price, while in case of Sell, 0.04% is deducted from the Sell Price.</t>
        </r>
      </text>
    </comment>
  </commentList>
</comments>
</file>

<file path=xl/sharedStrings.xml><?xml version="1.0" encoding="utf-8"?>
<sst xmlns="http://schemas.openxmlformats.org/spreadsheetml/2006/main" count="1579" uniqueCount="270">
  <si>
    <t>Directional Trading System :</t>
  </si>
  <si>
    <t>BankNifty</t>
  </si>
  <si>
    <t>Nifty</t>
  </si>
  <si>
    <t>BNF</t>
  </si>
  <si>
    <t>Sr. No.</t>
  </si>
  <si>
    <t>Particulars</t>
  </si>
  <si>
    <t>EOD Data</t>
  </si>
  <si>
    <t>Real Time Data</t>
  </si>
  <si>
    <t>Date</t>
  </si>
  <si>
    <t>True Range</t>
  </si>
  <si>
    <t>Averate True Range (21)
[N]</t>
  </si>
  <si>
    <t>Rupee Volatility / Risk
[N x Lot Size]</t>
  </si>
  <si>
    <t>Averate True Range (8)
[N]</t>
  </si>
  <si>
    <t>High-Low Range</t>
  </si>
  <si>
    <t>% Change (High-Low Range with Open)</t>
  </si>
  <si>
    <t>Avg. % Change
(8 Day)</t>
  </si>
  <si>
    <t>Avg. % Change
(13 Day)</t>
  </si>
  <si>
    <t>Avg. % Change
(21 Day)</t>
  </si>
  <si>
    <t>Last Traded Price / Lot Size</t>
  </si>
  <si>
    <t>-</t>
  </si>
  <si>
    <t>Scrip Name with Expiry</t>
  </si>
  <si>
    <t>Open</t>
  </si>
  <si>
    <t>High</t>
  </si>
  <si>
    <t>Low</t>
  </si>
  <si>
    <t>Trade Type</t>
  </si>
  <si>
    <t>Max. ATR</t>
  </si>
  <si>
    <t>Min. ATR</t>
  </si>
  <si>
    <t>EOD 60 SMA</t>
  </si>
  <si>
    <t>13D Vol SMA</t>
  </si>
  <si>
    <t>RT 60 SMA</t>
  </si>
  <si>
    <t>Expiry</t>
  </si>
  <si>
    <t>16JunFut</t>
  </si>
  <si>
    <t>16JulFut</t>
  </si>
  <si>
    <t>16AugFut</t>
  </si>
  <si>
    <t>Initial Portfolio Size (Rs.)</t>
  </si>
  <si>
    <t>Initial Max. Risk per Trade %</t>
  </si>
  <si>
    <t>Current P&amp;L (Rs.)</t>
  </si>
  <si>
    <t>Link this cell to the current P&amp;L</t>
  </si>
  <si>
    <t>Current Portfolio Size (Rs.)</t>
  </si>
  <si>
    <t>Current Max. Risk per Trade %</t>
  </si>
  <si>
    <t>Max. Risk per Trade (Rs.)</t>
  </si>
  <si>
    <t>Avg. No. of Trades</t>
  </si>
  <si>
    <t>% Reduction in Risk</t>
  </si>
  <si>
    <t>ATR Multiple for SL &amp; TP (Positional)</t>
  </si>
  <si>
    <t>Max. Positions per Scrip for Pyramiding (Positional)</t>
  </si>
  <si>
    <t>ATR Multiple for Pyramiding (Positional)</t>
  </si>
  <si>
    <t>ATR Multiple for SL &amp; TP (Intraday)</t>
  </si>
  <si>
    <t>ORB - Points Above / Below Entry Criteria</t>
  </si>
  <si>
    <t>Trend Finder - RSI Up / Down Value</t>
  </si>
  <si>
    <t>Gann Angle - Trade Type (IntraDay / Positional)</t>
  </si>
  <si>
    <t>IntraDay</t>
  </si>
  <si>
    <t>Gann Angle - Trade Holding Period (Positional Trades)</t>
  </si>
  <si>
    <t>Gann Angle - Market Stabilisation Time</t>
  </si>
  <si>
    <t>Gann Angle - Current Time</t>
  </si>
  <si>
    <t>DrawDown %</t>
  </si>
  <si>
    <t>90-100%</t>
  </si>
  <si>
    <t>80-90%</t>
  </si>
  <si>
    <t>70-80%</t>
  </si>
  <si>
    <t>60-70%</t>
  </si>
  <si>
    <t>50-60%</t>
  </si>
  <si>
    <t>40-50%</t>
  </si>
  <si>
    <t>30-40%</t>
  </si>
  <si>
    <t>20-30%</t>
  </si>
  <si>
    <t>10-20%</t>
  </si>
  <si>
    <t>0-10%</t>
  </si>
  <si>
    <t>Max. Risk per Trade %</t>
  </si>
  <si>
    <t>Charges</t>
  </si>
  <si>
    <t>Brokerage</t>
  </si>
  <si>
    <t>Turnover</t>
  </si>
  <si>
    <t>Service Tax</t>
  </si>
  <si>
    <t>Edu. Cess</t>
  </si>
  <si>
    <t>H. Edu. Cess</t>
  </si>
  <si>
    <t>SEBI</t>
  </si>
  <si>
    <t>Stamp</t>
  </si>
  <si>
    <t>STT</t>
  </si>
  <si>
    <t>Slippage</t>
  </si>
  <si>
    <t>% of Turnover</t>
  </si>
  <si>
    <t>Rate per Transaction (Rs.)</t>
  </si>
  <si>
    <t>Positional</t>
  </si>
  <si>
    <t>Positional (RSI Crossover &amp; SMA Crossover Strategies)</t>
  </si>
  <si>
    <t>IntraDay (ORB, Gap Up/Dn &amp; O=H/O=L Strategies)</t>
  </si>
  <si>
    <t>ORB</t>
  </si>
  <si>
    <t>Scrip</t>
  </si>
  <si>
    <t>Current Market Price</t>
  </si>
  <si>
    <t>LTP - Open</t>
  </si>
  <si>
    <t>No. of Lots</t>
  </si>
  <si>
    <t>%Returns
(Post Charges)</t>
  </si>
  <si>
    <t>Approx. Margin Utilised</t>
  </si>
  <si>
    <t>Transaction Value</t>
  </si>
  <si>
    <t>Turnover Charges</t>
  </si>
  <si>
    <r>
      <t xml:space="preserve">Service Tax
</t>
    </r>
    <r>
      <rPr>
        <b/>
        <sz val="8"/>
        <color rgb="FF0000CC"/>
        <rFont val="Garamond"/>
        <family val="1"/>
      </rPr>
      <t>(incl. Cess)</t>
    </r>
  </si>
  <si>
    <t>SEBI Charges</t>
  </si>
  <si>
    <t>Stamp Duty Charges</t>
  </si>
  <si>
    <t>Total Charges</t>
  </si>
  <si>
    <t>In Market</t>
  </si>
  <si>
    <t>Scrip with Expiry</t>
  </si>
  <si>
    <t>Best Buy Rate</t>
  </si>
  <si>
    <t>Last Traded Price</t>
  </si>
  <si>
    <t>Best Sell Rate</t>
  </si>
  <si>
    <t>Qty</t>
  </si>
  <si>
    <t>Approx. Margin Required Per Lot</t>
  </si>
  <si>
    <t>Prev. Close</t>
  </si>
  <si>
    <t>Prev. Open</t>
  </si>
  <si>
    <t>Prev. High</t>
  </si>
  <si>
    <t>Prev. Low</t>
  </si>
  <si>
    <t>Average True Range
(21)</t>
  </si>
  <si>
    <t>Points till Hard Stop Loss</t>
  </si>
  <si>
    <t>Average True Range
(8)</t>
  </si>
  <si>
    <t>ORB
Exit / Hold</t>
  </si>
  <si>
    <t>Reco.
ORB
(Basic)</t>
  </si>
  <si>
    <t>% Change
(LTP - Prev. Close)</t>
  </si>
  <si>
    <t>% Diff.
(High - Low)</t>
  </si>
  <si>
    <t>HL Avg. % Change
Status</t>
  </si>
  <si>
    <t>HL Avg. % Change
(8 Day)</t>
  </si>
  <si>
    <t>HL Avg. % Change
(13 Day)</t>
  </si>
  <si>
    <t>HL Avg. % Change
(21 Day)</t>
  </si>
  <si>
    <t>ORB
In Trade</t>
  </si>
  <si>
    <t>Exit &amp; Reverse</t>
  </si>
  <si>
    <t>ACC</t>
  </si>
  <si>
    <t>ALBK</t>
  </si>
  <si>
    <t>BHEL</t>
  </si>
  <si>
    <t>BPCL</t>
  </si>
  <si>
    <t>Risk per Trade per Lot</t>
  </si>
  <si>
    <t>Margin per Lot</t>
  </si>
  <si>
    <t>Lots</t>
  </si>
  <si>
    <t>Total Risk</t>
  </si>
  <si>
    <t>Total Margin</t>
  </si>
  <si>
    <t>Profit / Loss</t>
  </si>
  <si>
    <t>% Returns</t>
  </si>
  <si>
    <t>BANKNIFTY</t>
  </si>
  <si>
    <t>NIFTY</t>
  </si>
  <si>
    <t>ABIRLANUVO</t>
  </si>
  <si>
    <t>AMBUJACEM</t>
  </si>
  <si>
    <t>ANDHRABANK</t>
  </si>
  <si>
    <t>APOLLOTYRE</t>
  </si>
  <si>
    <t>ADANIPOWER</t>
  </si>
  <si>
    <t>ASHOKLEY</t>
  </si>
  <si>
    <t>AXISBANK</t>
  </si>
  <si>
    <t>BANKBARODA</t>
  </si>
  <si>
    <t>BANKINDIA</t>
  </si>
  <si>
    <t>BHARATFORG</t>
  </si>
  <si>
    <t>BHARTIARTL</t>
  </si>
  <si>
    <t>CAIRN</t>
  </si>
  <si>
    <t>CANBK</t>
  </si>
  <si>
    <t>CENTURYTEX</t>
  </si>
  <si>
    <t>COLPAL</t>
  </si>
  <si>
    <t>DISHTV</t>
  </si>
  <si>
    <t>BAJFINANCE</t>
  </si>
  <si>
    <t>BOSCHLTD</t>
  </si>
  <si>
    <t>ADANIPORTS</t>
  </si>
  <si>
    <t>ARVIND</t>
  </si>
  <si>
    <t>Strategy 1 :</t>
  </si>
  <si>
    <t>Simple Opening Range Break-Out (ORB)</t>
  </si>
  <si>
    <r>
      <rPr>
        <b/>
        <sz val="9"/>
        <color theme="1"/>
        <rFont val="Garamond"/>
        <family val="1"/>
      </rPr>
      <t>Scrip Selection Criteria 1 : 1</t>
    </r>
    <r>
      <rPr>
        <sz val="9"/>
        <color theme="1"/>
        <rFont val="Garamond"/>
        <family val="1"/>
      </rPr>
      <t xml:space="preserve"> Day H-L Range % Diff. &gt;= 80% of 500 Day H-L Range % Diff.</t>
    </r>
  </si>
  <si>
    <r>
      <rPr>
        <b/>
        <sz val="9"/>
        <color theme="1"/>
        <rFont val="Garamond"/>
        <family val="1"/>
      </rPr>
      <t xml:space="preserve">Scrip Selection Criteria 2 : </t>
    </r>
    <r>
      <rPr>
        <sz val="9"/>
        <color theme="1"/>
        <rFont val="Garamond"/>
        <family val="1"/>
      </rPr>
      <t>11 Day H-L Range % Diff. &gt;= 80% of 500 Day H-L Range % Diff.</t>
    </r>
  </si>
  <si>
    <r>
      <rPr>
        <b/>
        <sz val="9"/>
        <color theme="1"/>
        <rFont val="Garamond"/>
        <family val="1"/>
      </rPr>
      <t xml:space="preserve">Scrip Selection Criteria 3 : </t>
    </r>
    <r>
      <rPr>
        <sz val="9"/>
        <color theme="1"/>
        <rFont val="Garamond"/>
        <family val="1"/>
      </rPr>
      <t>21 Day H-L Range % Diff. &gt;= 80% of 500 Day H-L Range % Diff.</t>
    </r>
  </si>
  <si>
    <t>Identify the HL Range of the Scrip @ 9:30 AM [HL Range = High @ 9:30 AM - Low @ 9:30 AM]</t>
  </si>
  <si>
    <r>
      <rPr>
        <b/>
        <sz val="9"/>
        <color theme="1"/>
        <rFont val="Garamond"/>
        <family val="1"/>
      </rPr>
      <t xml:space="preserve">Entry Criteria 1 : </t>
    </r>
    <r>
      <rPr>
        <sz val="9"/>
        <color theme="1"/>
        <rFont val="Garamond"/>
        <family val="1"/>
      </rPr>
      <t>The % Difference of (High - Low) should be &gt;= 0.50% [(High - Low) / (LTP @ 9:30 AM) x 100]</t>
    </r>
  </si>
  <si>
    <r>
      <rPr>
        <b/>
        <sz val="9"/>
        <color theme="1"/>
        <rFont val="Garamond"/>
        <family val="1"/>
      </rPr>
      <t xml:space="preserve">Entry Criteria 2 : </t>
    </r>
    <r>
      <rPr>
        <sz val="9"/>
        <color theme="1"/>
        <rFont val="Garamond"/>
        <family val="1"/>
      </rPr>
      <t>The % Change should be &gt;=0.50% &amp; &lt;=1.50% [(Curr. Open - Prev. Close) / Prev. Close x 100]</t>
    </r>
  </si>
  <si>
    <r>
      <rPr>
        <b/>
        <sz val="9"/>
        <color theme="1"/>
        <rFont val="Garamond"/>
        <family val="1"/>
      </rPr>
      <t xml:space="preserve">Entry Criteria 3 : </t>
    </r>
    <r>
      <rPr>
        <sz val="9"/>
        <color theme="1"/>
        <rFont val="Garamond"/>
        <family val="1"/>
      </rPr>
      <t xml:space="preserve">Go Long if Price crosses Above High by Rs. 0.05 [Long @ High + 0.05] </t>
    </r>
    <r>
      <rPr>
        <b/>
        <sz val="9"/>
        <color theme="1"/>
        <rFont val="Garamond"/>
        <family val="1"/>
      </rPr>
      <t>OR</t>
    </r>
    <r>
      <rPr>
        <sz val="9"/>
        <color theme="1"/>
        <rFont val="Garamond"/>
        <family val="1"/>
      </rPr>
      <t xml:space="preserve"> Go Short if Price crosses Below Low by Rs. 0.05 [Short @ Low - 0.05]</t>
    </r>
  </si>
  <si>
    <r>
      <rPr>
        <b/>
        <sz val="9"/>
        <color theme="1"/>
        <rFont val="Garamond"/>
        <family val="1"/>
      </rPr>
      <t xml:space="preserve">Exit Criteria 1 : </t>
    </r>
    <r>
      <rPr>
        <sz val="9"/>
        <color theme="1"/>
        <rFont val="Garamond"/>
        <family val="1"/>
      </rPr>
      <t xml:space="preserve">Long Target = Entry + HL Range </t>
    </r>
    <r>
      <rPr>
        <b/>
        <sz val="9"/>
        <color theme="1"/>
        <rFont val="Garamond"/>
        <family val="1"/>
      </rPr>
      <t>OR</t>
    </r>
    <r>
      <rPr>
        <sz val="9"/>
        <color theme="1"/>
        <rFont val="Garamond"/>
        <family val="1"/>
      </rPr>
      <t xml:space="preserve"> Short Target = Entry - HL Range</t>
    </r>
  </si>
  <si>
    <r>
      <rPr>
        <b/>
        <sz val="9"/>
        <color theme="1"/>
        <rFont val="Garamond"/>
        <family val="1"/>
      </rPr>
      <t xml:space="preserve">Exit Criteria 2 : </t>
    </r>
    <r>
      <rPr>
        <sz val="9"/>
        <color theme="1"/>
        <rFont val="Garamond"/>
        <family val="1"/>
      </rPr>
      <t xml:space="preserve">Long SL =&gt; When Price crosses Below Low @ 9:30 AM </t>
    </r>
    <r>
      <rPr>
        <b/>
        <sz val="9"/>
        <color theme="1"/>
        <rFont val="Garamond"/>
        <family val="1"/>
      </rPr>
      <t>OR</t>
    </r>
    <r>
      <rPr>
        <sz val="9"/>
        <color theme="1"/>
        <rFont val="Garamond"/>
        <family val="1"/>
      </rPr>
      <t xml:space="preserve"> Short SL =&gt; When Price crosses Above High @ 9:30 AM</t>
    </r>
  </si>
  <si>
    <r>
      <rPr>
        <b/>
        <sz val="9"/>
        <color theme="1"/>
        <rFont val="Garamond"/>
        <family val="1"/>
      </rPr>
      <t xml:space="preserve">Exit Criteria 3 : </t>
    </r>
    <r>
      <rPr>
        <sz val="9"/>
        <color theme="1"/>
        <rFont val="Garamond"/>
        <family val="1"/>
      </rPr>
      <t>If Target or SL is not Hit during the day, Exit the position @ 3:15 PM</t>
    </r>
  </si>
  <si>
    <r>
      <rPr>
        <b/>
        <sz val="9"/>
        <color theme="1"/>
        <rFont val="Garamond"/>
        <family val="1"/>
      </rPr>
      <t xml:space="preserve">Exit &amp; Re-Entry Criteria 1 : </t>
    </r>
    <r>
      <rPr>
        <sz val="9"/>
        <color theme="1"/>
        <rFont val="Garamond"/>
        <family val="1"/>
      </rPr>
      <t xml:space="preserve">If Long SL is Hit, Reverse the position by going Short </t>
    </r>
    <r>
      <rPr>
        <b/>
        <sz val="9"/>
        <color theme="1"/>
        <rFont val="Garamond"/>
        <family val="1"/>
      </rPr>
      <t>OR</t>
    </r>
    <r>
      <rPr>
        <sz val="9"/>
        <color theme="1"/>
        <rFont val="Garamond"/>
        <family val="1"/>
      </rPr>
      <t xml:space="preserve"> If Short SL is Hit, Reverse the position by going Long</t>
    </r>
  </si>
  <si>
    <t>Strategy 2 :</t>
  </si>
  <si>
    <t>Opening Range Break-Out (ORB) with High Probability Trades</t>
  </si>
  <si>
    <r>
      <rPr>
        <b/>
        <sz val="9"/>
        <color theme="1"/>
        <rFont val="Garamond"/>
        <family val="1"/>
      </rPr>
      <t xml:space="preserve">Scrip Selection Criteria 1 : </t>
    </r>
    <r>
      <rPr>
        <sz val="9"/>
        <color theme="1"/>
        <rFont val="Garamond"/>
        <family val="1"/>
      </rPr>
      <t>8 Day H-L Range % Diff. &gt;= 80% of 500 Day H-L Range % Diff.</t>
    </r>
  </si>
  <si>
    <r>
      <rPr>
        <b/>
        <sz val="9"/>
        <color theme="1"/>
        <rFont val="Garamond"/>
        <family val="1"/>
      </rPr>
      <t xml:space="preserve">Scrip Selection Criteria 2 : </t>
    </r>
    <r>
      <rPr>
        <sz val="9"/>
        <color theme="1"/>
        <rFont val="Garamond"/>
        <family val="1"/>
      </rPr>
      <t>13 Day H-L Range % Diff. &gt;= 80% of 500 Day H-L Range % Diff.</t>
    </r>
  </si>
  <si>
    <r>
      <rPr>
        <b/>
        <sz val="9"/>
        <color theme="1"/>
        <rFont val="Garamond"/>
        <family val="1"/>
      </rPr>
      <t xml:space="preserve">Scrip Selection Criteria 4 : </t>
    </r>
    <r>
      <rPr>
        <sz val="9"/>
        <color theme="1"/>
        <rFont val="Garamond"/>
        <family val="1"/>
      </rPr>
      <t>Select the Scrip as per the Categorisation Table</t>
    </r>
  </si>
  <si>
    <r>
      <rPr>
        <b/>
        <sz val="9"/>
        <color theme="1"/>
        <rFont val="Garamond"/>
        <family val="1"/>
      </rPr>
      <t xml:space="preserve">Scrip Selection Criteria 5 : </t>
    </r>
    <r>
      <rPr>
        <sz val="9"/>
        <color theme="1"/>
        <rFont val="Garamond"/>
        <family val="1"/>
      </rPr>
      <t xml:space="preserve">ORB is Above Previous Day's High for Long </t>
    </r>
    <r>
      <rPr>
        <b/>
        <sz val="9"/>
        <color theme="1"/>
        <rFont val="Garamond"/>
        <family val="1"/>
      </rPr>
      <t>OR</t>
    </r>
    <r>
      <rPr>
        <sz val="9"/>
        <color theme="1"/>
        <rFont val="Garamond"/>
        <family val="1"/>
      </rPr>
      <t xml:space="preserve"> ORB is Below Previous Day's Low for Short</t>
    </r>
    <r>
      <rPr>
        <b/>
        <sz val="9"/>
        <color theme="1"/>
        <rFont val="Garamond"/>
        <family val="1"/>
      </rPr>
      <t xml:space="preserve"> [High Probability Trade]</t>
    </r>
  </si>
  <si>
    <r>
      <t xml:space="preserve">Entry Criteria 4 :  </t>
    </r>
    <r>
      <rPr>
        <b/>
        <sz val="9"/>
        <color rgb="FFFF0000"/>
        <rFont val="Garamond"/>
        <family val="1"/>
      </rPr>
      <t>VOLUME, YESTERDAY's Values - Buy or Sell Easier Days, O=H or O=L, Gap-Up/Dn along with the Gap Zones.</t>
    </r>
  </si>
  <si>
    <r>
      <rPr>
        <b/>
        <sz val="9"/>
        <color theme="1"/>
        <rFont val="Garamond"/>
        <family val="1"/>
      </rPr>
      <t xml:space="preserve">Entry Criteria 3 : </t>
    </r>
    <r>
      <rPr>
        <sz val="9"/>
        <color theme="1"/>
        <rFont val="Garamond"/>
        <family val="1"/>
      </rPr>
      <t xml:space="preserve">Go Long if Price crosses Above High by Rs. 0.20 [Long @ High + 0.20] </t>
    </r>
    <r>
      <rPr>
        <b/>
        <sz val="9"/>
        <color theme="1"/>
        <rFont val="Garamond"/>
        <family val="1"/>
      </rPr>
      <t>OR</t>
    </r>
    <r>
      <rPr>
        <sz val="9"/>
        <color theme="1"/>
        <rFont val="Garamond"/>
        <family val="1"/>
      </rPr>
      <t xml:space="preserve"> Go Short if Price crosses Below Low by Rs. 0.20 [Short @ Low - 0.20]</t>
    </r>
  </si>
  <si>
    <r>
      <t xml:space="preserve">Entry Criteria 4 : </t>
    </r>
    <r>
      <rPr>
        <sz val="9"/>
        <color theme="1"/>
        <rFont val="Garamond"/>
        <family val="1"/>
      </rPr>
      <t xml:space="preserve">Add to the existing position (Pyramiding) if after going Long, the Prev. Day's High is broken </t>
    </r>
    <r>
      <rPr>
        <b/>
        <sz val="9"/>
        <color theme="1"/>
        <rFont val="Garamond"/>
        <family val="1"/>
      </rPr>
      <t>OR</t>
    </r>
    <r>
      <rPr>
        <sz val="9"/>
        <color theme="1"/>
        <rFont val="Garamond"/>
        <family val="1"/>
      </rPr>
      <t xml:space="preserve"> if after going Short, the Prev. Day's Low is broken.</t>
    </r>
  </si>
  <si>
    <r>
      <rPr>
        <b/>
        <sz val="9"/>
        <color theme="1"/>
        <rFont val="Garamond"/>
        <family val="1"/>
      </rPr>
      <t xml:space="preserve">Exit Criteria 1 : </t>
    </r>
    <r>
      <rPr>
        <sz val="9"/>
        <color theme="1"/>
        <rFont val="Garamond"/>
        <family val="1"/>
      </rPr>
      <t xml:space="preserve">Long Target = Entry + 75% of ATR </t>
    </r>
    <r>
      <rPr>
        <b/>
        <sz val="9"/>
        <color theme="1"/>
        <rFont val="Garamond"/>
        <family val="1"/>
      </rPr>
      <t>OR</t>
    </r>
    <r>
      <rPr>
        <sz val="9"/>
        <color theme="1"/>
        <rFont val="Garamond"/>
        <family val="1"/>
      </rPr>
      <t xml:space="preserve"> Short Target = Entry - 75% of ATR</t>
    </r>
  </si>
  <si>
    <t xml:space="preserve">Exit Criteria 2 : </t>
  </si>
  <si>
    <r>
      <rPr>
        <b/>
        <sz val="9"/>
        <color theme="1"/>
        <rFont val="Garamond"/>
        <family val="1"/>
      </rPr>
      <t xml:space="preserve">Exit Criteria 3 : </t>
    </r>
    <r>
      <rPr>
        <sz val="9"/>
        <color theme="1"/>
        <rFont val="Garamond"/>
        <family val="1"/>
      </rPr>
      <t xml:space="preserve">Long SL =&gt; When Price crosses Below Low @ 9:30 AM </t>
    </r>
    <r>
      <rPr>
        <b/>
        <sz val="9"/>
        <color theme="1"/>
        <rFont val="Garamond"/>
        <family val="1"/>
      </rPr>
      <t>OR</t>
    </r>
    <r>
      <rPr>
        <sz val="9"/>
        <color theme="1"/>
        <rFont val="Garamond"/>
        <family val="1"/>
      </rPr>
      <t xml:space="preserve"> Short SL =&gt; When Price crosses Above High @ 9:30 AM</t>
    </r>
  </si>
  <si>
    <t xml:space="preserve">Exit Criteria 4 : </t>
  </si>
  <si>
    <r>
      <rPr>
        <b/>
        <sz val="9"/>
        <color theme="1"/>
        <rFont val="Garamond"/>
        <family val="1"/>
      </rPr>
      <t xml:space="preserve">Exit Criteria 5 : </t>
    </r>
    <r>
      <rPr>
        <sz val="9"/>
        <color theme="1"/>
        <rFont val="Garamond"/>
        <family val="1"/>
      </rPr>
      <t>If Target or SL is not Hit during the day, Exit the position @ 3:15 PM</t>
    </r>
  </si>
  <si>
    <r>
      <rPr>
        <b/>
        <sz val="9"/>
        <color theme="1"/>
        <rFont val="Garamond"/>
        <family val="1"/>
      </rPr>
      <t xml:space="preserve">Exit &amp; Re-Entry Criteria 1 : </t>
    </r>
    <r>
      <rPr>
        <sz val="9"/>
        <color theme="1"/>
        <rFont val="Garamond"/>
        <family val="1"/>
      </rPr>
      <t xml:space="preserve">If Long SL Hit, Reverse the position by going Short </t>
    </r>
    <r>
      <rPr>
        <b/>
        <sz val="9"/>
        <color theme="1"/>
        <rFont val="Garamond"/>
        <family val="1"/>
      </rPr>
      <t>OR</t>
    </r>
    <r>
      <rPr>
        <sz val="9"/>
        <color theme="1"/>
        <rFont val="Garamond"/>
        <family val="1"/>
      </rPr>
      <t xml:space="preserve"> If Short SL Hit, Reverse the position by going Long</t>
    </r>
  </si>
  <si>
    <t xml:space="preserve">Exit &amp; Re-Entry Criteria 2 : </t>
  </si>
  <si>
    <t>Strategy 3 :</t>
  </si>
  <si>
    <t>Fading the Opening Range (FOR) with High Probability Trades</t>
  </si>
  <si>
    <t>Select Scrips from Nifty F&amp;O with Beta of &lt; 1</t>
  </si>
  <si>
    <r>
      <rPr>
        <b/>
        <sz val="9"/>
        <color theme="1"/>
        <rFont val="Garamond"/>
        <family val="1"/>
      </rPr>
      <t xml:space="preserve">Entry Criteria 3 : </t>
    </r>
    <r>
      <rPr>
        <sz val="9"/>
        <color theme="1"/>
        <rFont val="Garamond"/>
        <family val="1"/>
      </rPr>
      <t xml:space="preserve">Go Short if Price touches High and falls by Rs. 0.05 [Short @ High - 0.05] </t>
    </r>
    <r>
      <rPr>
        <b/>
        <sz val="9"/>
        <color theme="1"/>
        <rFont val="Garamond"/>
        <family val="1"/>
      </rPr>
      <t>OR</t>
    </r>
    <r>
      <rPr>
        <sz val="9"/>
        <color theme="1"/>
        <rFont val="Garamond"/>
        <family val="1"/>
      </rPr>
      <t xml:space="preserve"> Go Short if Price touches Low and rises by Rs. 0.05 [Long @ Low + 0.05]</t>
    </r>
  </si>
  <si>
    <r>
      <rPr>
        <b/>
        <sz val="9"/>
        <color theme="1"/>
        <rFont val="Garamond"/>
        <family val="1"/>
      </rPr>
      <t xml:space="preserve">Exit Criteria 1 : </t>
    </r>
    <r>
      <rPr>
        <sz val="9"/>
        <color theme="1"/>
        <rFont val="Garamond"/>
        <family val="1"/>
      </rPr>
      <t xml:space="preserve">Exit Long when Price touches High [Long Target = High - Entry] </t>
    </r>
    <r>
      <rPr>
        <b/>
        <sz val="9"/>
        <color theme="1"/>
        <rFont val="Garamond"/>
        <family val="1"/>
      </rPr>
      <t>OR</t>
    </r>
    <r>
      <rPr>
        <sz val="9"/>
        <color theme="1"/>
        <rFont val="Garamond"/>
        <family val="1"/>
      </rPr>
      <t xml:space="preserve"> Exit Short when Price touches Low [Short Target = Entry - Low]</t>
    </r>
  </si>
  <si>
    <t>HL Avg. % Change
(60 Day)</t>
  </si>
  <si>
    <t>Gap Up / Dn</t>
  </si>
  <si>
    <t>Gap Zone</t>
  </si>
  <si>
    <t>Gap Zone Reco.
(Fade / GA)</t>
  </si>
  <si>
    <t>O=H &amp; O=L</t>
  </si>
  <si>
    <t>Prev. Day's High/Low Break-Out</t>
  </si>
  <si>
    <t>IntraDay Trend
(Tom Demark Method)</t>
  </si>
  <si>
    <t>IntraDay Trend
(Modified Pivot)</t>
  </si>
  <si>
    <t>Enter High at 9:30 AM</t>
  </si>
  <si>
    <t>Enter Low at 9:30 AM</t>
  </si>
  <si>
    <t>Enter
Long/Short Price</t>
  </si>
  <si>
    <t>Points
(Pre Charges)</t>
  </si>
  <si>
    <t>Net
Profit/Loss
(Post Charges)</t>
  </si>
  <si>
    <t>Gross
Profit/Loss
(Pre Charges)</t>
  </si>
  <si>
    <t>Points till Target</t>
  </si>
  <si>
    <t>Price Action &amp; Indicators</t>
  </si>
  <si>
    <t>Trade</t>
  </si>
  <si>
    <t>Entry</t>
  </si>
  <si>
    <t>O=H / O=L</t>
  </si>
  <si>
    <t>Gaps</t>
  </si>
  <si>
    <t>Fade / GA</t>
  </si>
  <si>
    <t>BO</t>
  </si>
  <si>
    <t>O = L</t>
  </si>
  <si>
    <t>Par. GDn</t>
  </si>
  <si>
    <t>D-CL</t>
  </si>
  <si>
    <t>Fade</t>
  </si>
  <si>
    <t>Long</t>
  </si>
  <si>
    <t>No TSL</t>
  </si>
  <si>
    <t>O = H</t>
  </si>
  <si>
    <t>Par. GUp</t>
  </si>
  <si>
    <t>U-HC</t>
  </si>
  <si>
    <t>Short</t>
  </si>
  <si>
    <t>Full GDn</t>
  </si>
  <si>
    <t>D-L</t>
  </si>
  <si>
    <t>Full GUp</t>
  </si>
  <si>
    <t>U-H</t>
  </si>
  <si>
    <t>U-CO</t>
  </si>
  <si>
    <t>D-OC</t>
  </si>
  <si>
    <t>U-OL</t>
  </si>
  <si>
    <t>D-HO</t>
  </si>
  <si>
    <t>D-H</t>
  </si>
  <si>
    <t>Go Along</t>
  </si>
  <si>
    <t>U-L</t>
  </si>
  <si>
    <t>BO-Abv. PD High</t>
  </si>
  <si>
    <t>BO-Blw. PD Low</t>
  </si>
  <si>
    <t>BO-Abv. PD Low</t>
  </si>
  <si>
    <t>BO-Blw. PD High</t>
  </si>
  <si>
    <t>Entry - (75% of ATR)</t>
  </si>
  <si>
    <t>Entry + (75% of ATR)</t>
  </si>
  <si>
    <t>Hard Stop Loss</t>
  </si>
  <si>
    <t>Trailing Stop Loss</t>
  </si>
  <si>
    <t>Below Open</t>
  </si>
  <si>
    <t>Above Open</t>
  </si>
  <si>
    <t>Entry + (50% / 75% / 100% of ATR)</t>
  </si>
  <si>
    <t>Entry - (50% / 75% / 100% of ATR)</t>
  </si>
  <si>
    <t>Price @ 5 Minutes after Open</t>
  </si>
  <si>
    <t>Prev. Day High + 0.10</t>
  </si>
  <si>
    <t>Prev. Day Low - 0.10</t>
  </si>
  <si>
    <t>Prev. Day High - 0.10</t>
  </si>
  <si>
    <t>Prev. Day Low + 0.10</t>
  </si>
  <si>
    <t>Target
(Only 1 Lot)</t>
  </si>
  <si>
    <t>Target
(More than 1 Lots)</t>
  </si>
  <si>
    <t>IntraDay Trend</t>
  </si>
  <si>
    <t>BO-Abv. 9:30 AM High</t>
  </si>
  <si>
    <t>BO-Blw. 9:30 AM Low</t>
  </si>
  <si>
    <t>9:30 AM High + 0.10</t>
  </si>
  <si>
    <t>9:30 AM Low - 0.10</t>
  </si>
  <si>
    <t>9:30 AM Low + 0.10</t>
  </si>
  <si>
    <t>9:30 AM High - 0.10</t>
  </si>
  <si>
    <t>Below 9:30 AM Low</t>
  </si>
  <si>
    <t>Above 9:30 AM High</t>
  </si>
  <si>
    <t>Set - VIII : O=H / O=L with Gap Zone &amp; Prev. Day Break Out :-</t>
  </si>
  <si>
    <t>Set - I : ORB with Gap Zone :-</t>
  </si>
  <si>
    <t>Set - II : ORB with Prev. Day Break Out :-</t>
  </si>
  <si>
    <t>Set - III : ORB with Gap Zone &amp; Prev. Day Break Out :-</t>
  </si>
  <si>
    <t>Set - IV : O=H / O=L with Gap Zone :-</t>
  </si>
  <si>
    <t>Set - V : O=H / O=L with Gap Zone :-</t>
  </si>
  <si>
    <t>Set - VI : O=H / O=L with Prev. Day Break Out :-</t>
  </si>
  <si>
    <t>Set - VII : Gap Zone with Prev. Day Break Out :-</t>
  </si>
  <si>
    <t>Other ORB Criteria</t>
  </si>
  <si>
    <t>IntraDay Strategies</t>
  </si>
  <si>
    <t>(9:30 AM Low OR Prev. Day Low, whichever Later) - 0.10</t>
  </si>
  <si>
    <t>(9:30 AM High OR Prev. Day High, whichever Later) + 0.10</t>
  </si>
  <si>
    <t>(9:30 AM High OR Prev. Day Low, whichever Later) + 0.10</t>
  </si>
  <si>
    <t>(9:30 AM Low OR Prev. Day High, whichever Later) - 0.10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</si>
</sst>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 #,##0.000_ ;_ * \-#,##0.000_ ;_ * &quot;-&quot;??_ ;_ @_ "/>
    <numFmt numFmtId="166" formatCode="_ * #,##0.0000_ ;_ * \-#,##0.0000_ ;_ * &quot;-&quot;??_ ;_ @_ "/>
    <numFmt numFmtId="167" formatCode="_(* #,##0_);_(* \(#,##0\);_(* &quot;-&quot;??_);_(@_)"/>
    <numFmt numFmtId="168" formatCode="[$-409]h:mm\ AM/PM;@"/>
    <numFmt numFmtId="169" formatCode="0.0000%"/>
    <numFmt numFmtId="170" formatCode="0.000%"/>
    <numFmt numFmtId="171" formatCode="[$-14009]dd\-mm\-yy;@"/>
    <numFmt numFmtId="172" formatCode="[$-409]d\-mmm\-yy;@"/>
  </numFmts>
  <fonts count="18" x14ac:knownFonts="1">
    <font>
      <sz val="11"/>
      <color theme="1"/>
      <name val="Calibri"/>
      <family val="2"/>
      <scheme val="minor"/>
    </font>
    <font>
      <sz val="11"/>
      <color theme="1"/>
      <name val="Calibri"/>
      <family val="2"/>
      <scheme val="minor"/>
    </font>
    <font>
      <b/>
      <sz val="8"/>
      <color theme="0"/>
      <name val="Garamond"/>
      <family val="1"/>
    </font>
    <font>
      <b/>
      <sz val="8"/>
      <color theme="1"/>
      <name val="Garamond"/>
      <family val="1"/>
    </font>
    <font>
      <sz val="8"/>
      <color theme="1"/>
      <name val="Garamond"/>
      <family val="1"/>
    </font>
    <font>
      <sz val="8"/>
      <color rgb="FFFF0000"/>
      <name val="Garamond"/>
      <family val="1"/>
    </font>
    <font>
      <sz val="8"/>
      <color indexed="81"/>
      <name val="Garamond"/>
      <family val="1"/>
    </font>
    <font>
      <sz val="8"/>
      <color indexed="81"/>
      <name val="Tahoma"/>
      <family val="2"/>
    </font>
    <font>
      <b/>
      <sz val="10"/>
      <color theme="1"/>
      <name val="Castellar"/>
      <family val="1"/>
    </font>
    <font>
      <b/>
      <sz val="9"/>
      <color theme="1"/>
      <name val="Garamond"/>
      <family val="1"/>
    </font>
    <font>
      <b/>
      <sz val="8"/>
      <color rgb="FF0000CC"/>
      <name val="Garamond"/>
      <family val="1"/>
    </font>
    <font>
      <sz val="9"/>
      <color indexed="81"/>
      <name val="Garamond"/>
      <family val="1"/>
    </font>
    <font>
      <sz val="9"/>
      <color indexed="81"/>
      <name val="Tahoma"/>
      <family val="2"/>
    </font>
    <font>
      <sz val="9"/>
      <color theme="1"/>
      <name val="Garamond"/>
      <family val="1"/>
    </font>
    <font>
      <sz val="9"/>
      <color theme="0"/>
      <name val="Garamond"/>
      <family val="1"/>
    </font>
    <font>
      <b/>
      <sz val="9"/>
      <color rgb="FFFF0000"/>
      <name val="Garamond"/>
      <family val="1"/>
    </font>
    <font>
      <b/>
      <sz val="9"/>
      <color rgb="FF0000CC"/>
      <name val="Garamond"/>
      <family val="1"/>
    </font>
    <font>
      <b/>
      <sz val="9"/>
      <color theme="0"/>
      <name val="Garamond"/>
      <family val="1"/>
    </font>
  </fonts>
  <fills count="24">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0FFFF"/>
        <bgColor indexed="64"/>
      </patternFill>
    </fill>
    <fill>
      <patternFill patternType="solid">
        <fgColor theme="5" tint="-0.499984740745262"/>
        <bgColor indexed="64"/>
      </patternFill>
    </fill>
    <fill>
      <patternFill patternType="solid">
        <fgColor rgb="FF7030A0"/>
        <bgColor indexed="64"/>
      </patternFill>
    </fill>
    <fill>
      <patternFill patternType="solid">
        <fgColor rgb="FF0000CC"/>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00FF"/>
        <bgColor indexed="64"/>
      </patternFill>
    </fill>
    <fill>
      <patternFill patternType="solid">
        <fgColor theme="0" tint="-0.499984740745262"/>
        <bgColor indexed="64"/>
      </patternFill>
    </fill>
    <fill>
      <patternFill patternType="solid">
        <fgColor rgb="FFFF0000"/>
        <bgColor indexed="64"/>
      </patternFill>
    </fill>
    <fill>
      <patternFill patternType="solid">
        <fgColor theme="9"/>
        <bgColor indexed="64"/>
      </patternFill>
    </fill>
    <fill>
      <patternFill patternType="solid">
        <fgColor rgb="FF00FF00"/>
        <bgColor indexed="64"/>
      </patternFill>
    </fill>
    <fill>
      <patternFill patternType="solid">
        <fgColor rgb="FF92D050"/>
        <bgColor indexed="64"/>
      </patternFill>
    </fill>
  </fills>
  <borders count="8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medium">
        <color indexed="64"/>
      </top>
      <bottom/>
      <diagonal/>
    </border>
    <border>
      <left style="medium">
        <color indexed="64"/>
      </left>
      <right style="thin">
        <color indexed="64"/>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diagonal/>
    </border>
    <border>
      <left/>
      <right style="medium">
        <color indexed="64"/>
      </right>
      <top/>
      <bottom style="medium">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medium">
        <color indexed="64"/>
      </left>
      <right style="double">
        <color indexed="64"/>
      </right>
      <top/>
      <bottom style="medium">
        <color indexed="64"/>
      </bottom>
      <diagonal/>
    </border>
    <border>
      <left style="medium">
        <color indexed="64"/>
      </left>
      <right style="double">
        <color indexed="64"/>
      </right>
      <top/>
      <bottom/>
      <diagonal/>
    </border>
    <border>
      <left style="medium">
        <color indexed="64"/>
      </left>
      <right style="double">
        <color indexed="64"/>
      </right>
      <top style="medium">
        <color indexed="64"/>
      </top>
      <bottom style="thin">
        <color indexed="64"/>
      </bottom>
      <diagonal/>
    </border>
    <border>
      <left style="medium">
        <color indexed="64"/>
      </left>
      <right style="double">
        <color indexed="64"/>
      </right>
      <top style="thin">
        <color indexed="64"/>
      </top>
      <bottom style="medium">
        <color indexed="64"/>
      </bottom>
      <diagonal/>
    </border>
    <border>
      <left style="medium">
        <color indexed="64"/>
      </left>
      <right style="double">
        <color indexed="64"/>
      </right>
      <top/>
      <bottom style="thin">
        <color indexed="64"/>
      </bottom>
      <diagonal/>
    </border>
    <border>
      <left style="double">
        <color indexed="64"/>
      </left>
      <right style="thin">
        <color indexed="64"/>
      </right>
      <top style="medium">
        <color indexed="64"/>
      </top>
      <bottom/>
      <diagonal/>
    </border>
    <border>
      <left style="double">
        <color indexed="64"/>
      </left>
      <right style="thin">
        <color indexed="64"/>
      </right>
      <top/>
      <bottom style="medium">
        <color indexed="64"/>
      </bottom>
      <diagonal/>
    </border>
    <border>
      <left style="double">
        <color indexed="64"/>
      </left>
      <right style="thin">
        <color indexed="64"/>
      </right>
      <top/>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medium">
        <color indexed="64"/>
      </bottom>
      <diagonal/>
    </border>
    <border>
      <left style="double">
        <color indexed="64"/>
      </left>
      <right style="thin">
        <color indexed="64"/>
      </right>
      <top/>
      <bottom style="thin">
        <color indexed="64"/>
      </bottom>
      <diagonal/>
    </border>
    <border>
      <left style="double">
        <color indexed="64"/>
      </left>
      <right/>
      <top/>
      <bottom style="medium">
        <color indexed="64"/>
      </bottom>
      <diagonal/>
    </border>
    <border>
      <left style="double">
        <color indexed="64"/>
      </left>
      <right/>
      <top/>
      <bottom/>
      <diagonal/>
    </border>
    <border>
      <left style="double">
        <color indexed="64"/>
      </left>
      <right/>
      <top style="thin">
        <color indexed="64"/>
      </top>
      <bottom style="medium">
        <color indexed="64"/>
      </bottom>
      <diagonal/>
    </border>
    <border>
      <left style="double">
        <color indexed="64"/>
      </left>
      <right/>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495">
    <xf numFmtId="0" fontId="0" fillId="0" borderId="0" xfId="0"/>
    <xf numFmtId="164" fontId="3" fillId="3" borderId="4" xfId="1" applyFont="1" applyFill="1" applyBorder="1" applyAlignment="1">
      <alignment horizontal="center" vertical="center"/>
    </xf>
    <xf numFmtId="10" fontId="3" fillId="3" borderId="5" xfId="2" applyNumberFormat="1"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0" borderId="0" xfId="0" applyFont="1" applyAlignment="1">
      <alignment vertical="center"/>
    </xf>
    <xf numFmtId="0" fontId="3" fillId="0" borderId="0"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3" fillId="0" borderId="0" xfId="0" applyFont="1" applyFill="1" applyBorder="1" applyAlignment="1">
      <alignment horizontal="center" vertical="center" wrapText="1"/>
    </xf>
    <xf numFmtId="164" fontId="3" fillId="12" borderId="32" xfId="1" applyFont="1" applyFill="1" applyBorder="1" applyAlignment="1">
      <alignment horizontal="center" vertical="center"/>
    </xf>
    <xf numFmtId="164" fontId="3" fillId="13" borderId="30" xfId="1" applyFont="1" applyFill="1" applyBorder="1" applyAlignment="1">
      <alignment horizontal="center" vertical="center"/>
    </xf>
    <xf numFmtId="0" fontId="3" fillId="12" borderId="29" xfId="1" applyNumberFormat="1" applyFont="1" applyFill="1" applyBorder="1" applyAlignment="1">
      <alignment horizontal="center" vertical="center"/>
    </xf>
    <xf numFmtId="0" fontId="3" fillId="13" borderId="30" xfId="1" applyNumberFormat="1" applyFont="1" applyFill="1" applyBorder="1" applyAlignment="1">
      <alignment horizontal="center" vertical="center"/>
    </xf>
    <xf numFmtId="0" fontId="4" fillId="14" borderId="46" xfId="0" applyFont="1" applyFill="1" applyBorder="1" applyAlignment="1">
      <alignment horizontal="center" vertical="center"/>
    </xf>
    <xf numFmtId="15" fontId="4" fillId="15" borderId="29" xfId="0" applyNumberFormat="1" applyFont="1" applyFill="1" applyBorder="1" applyAlignment="1">
      <alignment horizontal="center" vertical="center"/>
    </xf>
    <xf numFmtId="164" fontId="4" fillId="15" borderId="33" xfId="1" applyFont="1" applyFill="1" applyBorder="1" applyAlignment="1">
      <alignment vertical="center"/>
    </xf>
    <xf numFmtId="164" fontId="4" fillId="15" borderId="30" xfId="1" applyFont="1" applyFill="1" applyBorder="1" applyAlignment="1">
      <alignment vertical="center"/>
    </xf>
    <xf numFmtId="15" fontId="4" fillId="16" borderId="32" xfId="0" applyNumberFormat="1" applyFont="1" applyFill="1" applyBorder="1" applyAlignment="1">
      <alignment horizontal="center" vertical="center"/>
    </xf>
    <xf numFmtId="164" fontId="4" fillId="16" borderId="33" xfId="1" applyFont="1" applyFill="1" applyBorder="1" applyAlignment="1">
      <alignment vertical="center"/>
    </xf>
    <xf numFmtId="164" fontId="4" fillId="16" borderId="30" xfId="1" applyFont="1" applyFill="1" applyBorder="1" applyAlignment="1">
      <alignment vertical="center"/>
    </xf>
    <xf numFmtId="164" fontId="4" fillId="0" borderId="0" xfId="1" applyFont="1" applyFill="1" applyBorder="1" applyAlignment="1">
      <alignment vertical="center"/>
    </xf>
    <xf numFmtId="164" fontId="4" fillId="15" borderId="32" xfId="1" applyFont="1" applyFill="1" applyBorder="1" applyAlignment="1">
      <alignment vertical="center"/>
    </xf>
    <xf numFmtId="164" fontId="4" fillId="16" borderId="32" xfId="1" applyFont="1" applyFill="1" applyBorder="1" applyAlignment="1">
      <alignment vertical="center"/>
    </xf>
    <xf numFmtId="164" fontId="4" fillId="15" borderId="29" xfId="1" applyFont="1" applyFill="1" applyBorder="1" applyAlignment="1">
      <alignment vertical="center"/>
    </xf>
    <xf numFmtId="164" fontId="4" fillId="16" borderId="29" xfId="1" applyFont="1" applyFill="1" applyBorder="1" applyAlignment="1">
      <alignment vertical="center"/>
    </xf>
    <xf numFmtId="1" fontId="4" fillId="15" borderId="30" xfId="1" applyNumberFormat="1" applyFont="1" applyFill="1" applyBorder="1" applyAlignment="1">
      <alignment horizontal="center" vertical="center"/>
    </xf>
    <xf numFmtId="1" fontId="4" fillId="16" borderId="30" xfId="1" applyNumberFormat="1" applyFont="1" applyFill="1" applyBorder="1" applyAlignment="1">
      <alignment horizontal="center" vertical="center"/>
    </xf>
    <xf numFmtId="10" fontId="4" fillId="15" borderId="33" xfId="2" applyNumberFormat="1" applyFont="1" applyFill="1" applyBorder="1" applyAlignment="1">
      <alignment horizontal="center" vertical="center"/>
    </xf>
    <xf numFmtId="10" fontId="4" fillId="15" borderId="30" xfId="2" applyNumberFormat="1" applyFont="1" applyFill="1" applyBorder="1" applyAlignment="1">
      <alignment horizontal="center" vertical="center"/>
    </xf>
    <xf numFmtId="164" fontId="4" fillId="16" borderId="29" xfId="1" applyFont="1" applyFill="1" applyBorder="1" applyAlignment="1">
      <alignment horizontal="center" vertical="center"/>
    </xf>
    <xf numFmtId="10" fontId="4" fillId="16" borderId="33" xfId="2" applyNumberFormat="1" applyFont="1" applyFill="1" applyBorder="1" applyAlignment="1">
      <alignment horizontal="center" vertical="center"/>
    </xf>
    <xf numFmtId="10" fontId="4" fillId="16" borderId="30" xfId="2" applyNumberFormat="1" applyFont="1" applyFill="1" applyBorder="1" applyAlignment="1">
      <alignment horizontal="center" vertical="center"/>
    </xf>
    <xf numFmtId="164" fontId="3" fillId="12" borderId="41" xfId="1" applyFont="1" applyFill="1" applyBorder="1" applyAlignment="1">
      <alignment horizontal="center" vertical="center"/>
    </xf>
    <xf numFmtId="164" fontId="3" fillId="13" borderId="42" xfId="1" applyFont="1" applyFill="1" applyBorder="1" applyAlignment="1">
      <alignment horizontal="center" vertical="center"/>
    </xf>
    <xf numFmtId="0" fontId="3" fillId="17" borderId="43" xfId="0" applyFont="1" applyFill="1" applyBorder="1" applyAlignment="1">
      <alignment horizontal="center" vertical="center"/>
    </xf>
    <xf numFmtId="0" fontId="4" fillId="14" borderId="48" xfId="0" applyFont="1" applyFill="1" applyBorder="1" applyAlignment="1">
      <alignment horizontal="center" vertical="center"/>
    </xf>
    <xf numFmtId="10" fontId="4" fillId="16" borderId="26" xfId="2" applyNumberFormat="1" applyFont="1" applyFill="1" applyBorder="1" applyAlignment="1">
      <alignment horizontal="center" vertical="center"/>
    </xf>
    <xf numFmtId="10" fontId="4" fillId="15" borderId="31" xfId="2" applyNumberFormat="1" applyFont="1" applyFill="1" applyBorder="1" applyAlignment="1">
      <alignment horizontal="center" vertical="center"/>
    </xf>
    <xf numFmtId="10" fontId="4" fillId="15" borderId="26" xfId="2" applyNumberFormat="1" applyFont="1" applyFill="1" applyBorder="1" applyAlignment="1">
      <alignment horizontal="center" vertical="center"/>
    </xf>
    <xf numFmtId="10" fontId="4" fillId="16" borderId="31" xfId="2" applyNumberFormat="1" applyFont="1" applyFill="1" applyBorder="1" applyAlignment="1">
      <alignment horizontal="center" vertical="center"/>
    </xf>
    <xf numFmtId="164" fontId="4" fillId="15" borderId="25" xfId="1" applyFont="1" applyFill="1" applyBorder="1" applyAlignment="1">
      <alignment vertical="center"/>
    </xf>
    <xf numFmtId="164" fontId="4" fillId="15" borderId="26" xfId="1" applyFont="1" applyFill="1" applyBorder="1" applyAlignment="1">
      <alignment vertical="center"/>
    </xf>
    <xf numFmtId="164" fontId="4" fillId="16" borderId="25" xfId="1" applyFont="1" applyFill="1" applyBorder="1" applyAlignment="1">
      <alignment vertical="center"/>
    </xf>
    <xf numFmtId="164" fontId="4" fillId="16" borderId="26" xfId="1" applyFont="1" applyFill="1" applyBorder="1" applyAlignment="1">
      <alignment vertical="center"/>
    </xf>
    <xf numFmtId="164" fontId="4" fillId="15" borderId="27" xfId="1" applyFont="1" applyFill="1" applyBorder="1" applyAlignment="1">
      <alignment vertical="center"/>
    </xf>
    <xf numFmtId="164" fontId="4" fillId="15" borderId="31" xfId="1" applyFont="1" applyFill="1" applyBorder="1" applyAlignment="1">
      <alignment vertical="center"/>
    </xf>
    <xf numFmtId="164" fontId="4" fillId="16" borderId="27" xfId="1" applyFont="1" applyFill="1" applyBorder="1" applyAlignment="1">
      <alignment vertical="center"/>
    </xf>
    <xf numFmtId="164" fontId="4" fillId="16" borderId="31" xfId="1" applyFont="1" applyFill="1" applyBorder="1" applyAlignment="1">
      <alignment vertical="center"/>
    </xf>
    <xf numFmtId="1" fontId="4" fillId="16" borderId="26" xfId="1" applyNumberFormat="1" applyFont="1" applyFill="1" applyBorder="1" applyAlignment="1">
      <alignment horizontal="center" vertical="center"/>
    </xf>
    <xf numFmtId="1" fontId="4" fillId="15" borderId="26" xfId="1" applyNumberFormat="1" applyFont="1" applyFill="1" applyBorder="1" applyAlignment="1">
      <alignment horizontal="center" vertical="center"/>
    </xf>
    <xf numFmtId="164" fontId="4" fillId="16" borderId="27" xfId="1" applyFont="1" applyFill="1" applyBorder="1" applyAlignment="1">
      <alignment horizontal="center" vertical="center"/>
    </xf>
    <xf numFmtId="0" fontId="4" fillId="0" borderId="0" xfId="0" applyFont="1" applyFill="1" applyAlignment="1">
      <alignment vertical="center"/>
    </xf>
    <xf numFmtId="0" fontId="4" fillId="0" borderId="0" xfId="0" applyFont="1" applyFill="1" applyBorder="1" applyAlignment="1">
      <alignment vertical="center"/>
    </xf>
    <xf numFmtId="0" fontId="4" fillId="0" borderId="0" xfId="0" applyFont="1" applyBorder="1" applyAlignment="1">
      <alignment vertical="center"/>
    </xf>
    <xf numFmtId="0" fontId="4" fillId="11" borderId="0" xfId="0" applyFont="1" applyFill="1" applyAlignment="1">
      <alignment vertical="center"/>
    </xf>
    <xf numFmtId="0" fontId="4" fillId="11" borderId="0" xfId="0" applyFont="1" applyFill="1" applyBorder="1" applyAlignment="1">
      <alignment vertical="center"/>
    </xf>
    <xf numFmtId="10" fontId="4" fillId="11" borderId="26" xfId="2" applyNumberFormat="1" applyFont="1" applyFill="1" applyBorder="1" applyAlignment="1">
      <alignment horizontal="center" vertical="center"/>
    </xf>
    <xf numFmtId="10" fontId="4" fillId="11" borderId="31" xfId="2" applyNumberFormat="1" applyFont="1" applyFill="1" applyBorder="1" applyAlignment="1">
      <alignment horizontal="center" vertical="center"/>
    </xf>
    <xf numFmtId="164" fontId="4" fillId="11" borderId="25" xfId="1" applyFont="1" applyFill="1" applyBorder="1" applyAlignment="1">
      <alignment vertical="center"/>
    </xf>
    <xf numFmtId="164" fontId="4" fillId="11" borderId="27" xfId="1" applyFont="1" applyFill="1" applyBorder="1" applyAlignment="1">
      <alignment vertical="center"/>
    </xf>
    <xf numFmtId="164" fontId="4" fillId="11" borderId="31" xfId="1" applyFont="1" applyFill="1" applyBorder="1" applyAlignment="1">
      <alignment vertical="center"/>
    </xf>
    <xf numFmtId="1" fontId="4" fillId="11" borderId="26" xfId="1" applyNumberFormat="1" applyFont="1" applyFill="1" applyBorder="1" applyAlignment="1">
      <alignment horizontal="center" vertical="center"/>
    </xf>
    <xf numFmtId="164" fontId="4" fillId="11" borderId="27" xfId="1" applyFont="1" applyFill="1" applyBorder="1" applyAlignment="1">
      <alignment horizontal="center" vertical="center"/>
    </xf>
    <xf numFmtId="0" fontId="4" fillId="9" borderId="36" xfId="0" applyFont="1" applyFill="1" applyBorder="1" applyAlignment="1">
      <alignment vertical="center"/>
    </xf>
    <xf numFmtId="0" fontId="4" fillId="9" borderId="43" xfId="0" applyFont="1" applyFill="1" applyBorder="1" applyAlignment="1">
      <alignment vertical="center"/>
    </xf>
    <xf numFmtId="0" fontId="4" fillId="5" borderId="45" xfId="0" applyFont="1" applyFill="1" applyBorder="1" applyAlignment="1">
      <alignment vertical="center"/>
    </xf>
    <xf numFmtId="0" fontId="4" fillId="9" borderId="45" xfId="0" applyFont="1" applyFill="1" applyBorder="1" applyAlignment="1">
      <alignment vertical="center"/>
    </xf>
    <xf numFmtId="0" fontId="4" fillId="5" borderId="42" xfId="0" applyFont="1" applyFill="1" applyBorder="1" applyAlignment="1">
      <alignment vertical="center"/>
    </xf>
    <xf numFmtId="0" fontId="4" fillId="9" borderId="41" xfId="0" applyFont="1" applyFill="1" applyBorder="1" applyAlignment="1">
      <alignment vertical="center"/>
    </xf>
    <xf numFmtId="0" fontId="4" fillId="9" borderId="42" xfId="0" applyFont="1" applyFill="1" applyBorder="1" applyAlignment="1">
      <alignment vertical="center"/>
    </xf>
    <xf numFmtId="10" fontId="4" fillId="9" borderId="45" xfId="2" applyNumberFormat="1" applyFont="1" applyFill="1" applyBorder="1" applyAlignment="1">
      <alignment horizontal="center" vertical="center"/>
    </xf>
    <xf numFmtId="10" fontId="4" fillId="9" borderId="42" xfId="2" applyNumberFormat="1" applyFont="1" applyFill="1" applyBorder="1" applyAlignment="1">
      <alignment horizontal="center" vertical="center"/>
    </xf>
    <xf numFmtId="164" fontId="4" fillId="9" borderId="42" xfId="1" applyFont="1" applyFill="1" applyBorder="1" applyAlignment="1">
      <alignment vertical="center"/>
    </xf>
    <xf numFmtId="164" fontId="4" fillId="9" borderId="45" xfId="1" applyFont="1" applyFill="1" applyBorder="1" applyAlignment="1">
      <alignment vertical="center"/>
    </xf>
    <xf numFmtId="166" fontId="4" fillId="9" borderId="41" xfId="1" applyNumberFormat="1" applyFont="1" applyFill="1" applyBorder="1" applyAlignment="1">
      <alignment vertical="center"/>
    </xf>
    <xf numFmtId="1" fontId="4" fillId="9" borderId="42" xfId="1" applyNumberFormat="1" applyFont="1" applyFill="1" applyBorder="1" applyAlignment="1">
      <alignment horizontal="center" vertical="center"/>
    </xf>
    <xf numFmtId="166" fontId="4" fillId="9" borderId="43" xfId="1" applyNumberFormat="1" applyFont="1" applyFill="1" applyBorder="1" applyAlignment="1">
      <alignment vertical="center"/>
    </xf>
    <xf numFmtId="1" fontId="4" fillId="9" borderId="43" xfId="1" applyNumberFormat="1" applyFont="1" applyFill="1" applyBorder="1" applyAlignment="1">
      <alignment horizontal="center" vertical="center"/>
    </xf>
    <xf numFmtId="43" fontId="4" fillId="12" borderId="33" xfId="0" applyNumberFormat="1" applyFont="1" applyFill="1" applyBorder="1" applyAlignment="1">
      <alignment vertical="center"/>
    </xf>
    <xf numFmtId="43" fontId="4" fillId="15" borderId="33" xfId="0" applyNumberFormat="1" applyFont="1" applyFill="1" applyBorder="1" applyAlignment="1">
      <alignment vertical="center"/>
    </xf>
    <xf numFmtId="43" fontId="4" fillId="12" borderId="30" xfId="0" applyNumberFormat="1" applyFont="1" applyFill="1" applyBorder="1" applyAlignment="1">
      <alignment vertical="center"/>
    </xf>
    <xf numFmtId="43" fontId="4" fillId="13" borderId="33" xfId="0" applyNumberFormat="1" applyFont="1" applyFill="1" applyBorder="1" applyAlignment="1">
      <alignment vertical="center"/>
    </xf>
    <xf numFmtId="43" fontId="4" fillId="16" borderId="33" xfId="0" applyNumberFormat="1" applyFont="1" applyFill="1" applyBorder="1" applyAlignment="1">
      <alignment vertical="center"/>
    </xf>
    <xf numFmtId="43" fontId="4" fillId="13" borderId="30" xfId="0" applyNumberFormat="1" applyFont="1" applyFill="1" applyBorder="1" applyAlignment="1">
      <alignment vertical="center"/>
    </xf>
    <xf numFmtId="43" fontId="4" fillId="0" borderId="0" xfId="0" applyNumberFormat="1" applyFont="1" applyFill="1" applyBorder="1" applyAlignment="1">
      <alignment vertical="center"/>
    </xf>
    <xf numFmtId="10" fontId="4" fillId="3" borderId="33" xfId="2" applyNumberFormat="1" applyFont="1" applyFill="1" applyBorder="1" applyAlignment="1">
      <alignment horizontal="center" vertical="center"/>
    </xf>
    <xf numFmtId="10" fontId="4" fillId="3" borderId="30" xfId="2" applyNumberFormat="1" applyFont="1" applyFill="1" applyBorder="1" applyAlignment="1">
      <alignment horizontal="center" vertical="center"/>
    </xf>
    <xf numFmtId="0" fontId="3" fillId="9" borderId="42" xfId="0" applyFont="1" applyFill="1" applyBorder="1" applyAlignment="1">
      <alignment horizontal="center" vertical="center"/>
    </xf>
    <xf numFmtId="0" fontId="3" fillId="9" borderId="45" xfId="0" applyFont="1" applyFill="1" applyBorder="1" applyAlignment="1">
      <alignment horizontal="center" vertical="center"/>
    </xf>
    <xf numFmtId="0" fontId="4" fillId="9" borderId="42" xfId="0" applyFont="1" applyFill="1" applyBorder="1" applyAlignment="1">
      <alignment horizontal="center" vertical="center"/>
    </xf>
    <xf numFmtId="0" fontId="4" fillId="9" borderId="43" xfId="0" applyFont="1" applyFill="1" applyBorder="1" applyAlignment="1">
      <alignment horizontal="center" vertical="center"/>
    </xf>
    <xf numFmtId="0" fontId="4" fillId="9" borderId="45" xfId="0" applyFont="1" applyFill="1" applyBorder="1" applyAlignment="1">
      <alignment horizontal="center" vertical="center"/>
    </xf>
    <xf numFmtId="0" fontId="3" fillId="14" borderId="46" xfId="0" applyFont="1" applyFill="1" applyBorder="1" applyAlignment="1">
      <alignment vertical="center"/>
    </xf>
    <xf numFmtId="0" fontId="3" fillId="15" borderId="29" xfId="0" applyFont="1" applyFill="1" applyBorder="1" applyAlignment="1">
      <alignment vertical="center"/>
    </xf>
    <xf numFmtId="43" fontId="3" fillId="15" borderId="33" xfId="0" applyNumberFormat="1" applyFont="1" applyFill="1" applyBorder="1" applyAlignment="1">
      <alignment vertical="center"/>
    </xf>
    <xf numFmtId="10" fontId="3" fillId="15" borderId="33" xfId="2" applyNumberFormat="1" applyFont="1" applyFill="1" applyBorder="1" applyAlignment="1">
      <alignment horizontal="center" vertical="center"/>
    </xf>
    <xf numFmtId="164" fontId="3" fillId="3" borderId="30" xfId="1" applyFont="1" applyFill="1" applyBorder="1" applyAlignment="1">
      <alignment horizontal="center" vertical="center"/>
    </xf>
    <xf numFmtId="43" fontId="3" fillId="16" borderId="32" xfId="0" applyNumberFormat="1" applyFont="1" applyFill="1" applyBorder="1" applyAlignment="1">
      <alignment vertical="center"/>
    </xf>
    <xf numFmtId="43" fontId="3" fillId="16" borderId="33" xfId="0" applyNumberFormat="1" applyFont="1" applyFill="1" applyBorder="1" applyAlignment="1">
      <alignment vertical="center"/>
    </xf>
    <xf numFmtId="10" fontId="3" fillId="16" borderId="33" xfId="2" applyNumberFormat="1" applyFont="1" applyFill="1" applyBorder="1" applyAlignment="1">
      <alignment horizontal="center" vertical="center"/>
    </xf>
    <xf numFmtId="43" fontId="3" fillId="0" borderId="0" xfId="0" applyNumberFormat="1" applyFont="1" applyFill="1" applyBorder="1" applyAlignment="1">
      <alignment vertical="center"/>
    </xf>
    <xf numFmtId="166" fontId="4" fillId="15" borderId="32" xfId="1" applyNumberFormat="1" applyFont="1" applyFill="1" applyBorder="1" applyAlignment="1">
      <alignment vertical="center"/>
    </xf>
    <xf numFmtId="166" fontId="4" fillId="16" borderId="29" xfId="1" applyNumberFormat="1" applyFont="1" applyFill="1" applyBorder="1" applyAlignment="1">
      <alignment vertical="center"/>
    </xf>
    <xf numFmtId="43" fontId="4" fillId="3" borderId="33" xfId="0" applyNumberFormat="1" applyFont="1" applyFill="1" applyBorder="1" applyAlignment="1">
      <alignment vertical="center"/>
    </xf>
    <xf numFmtId="0" fontId="4" fillId="15" borderId="33" xfId="0" applyFont="1" applyFill="1" applyBorder="1" applyAlignment="1">
      <alignment vertical="center"/>
    </xf>
    <xf numFmtId="0" fontId="4" fillId="15" borderId="30" xfId="0" applyFont="1" applyFill="1" applyBorder="1" applyAlignment="1">
      <alignment horizontal="center" vertical="center"/>
    </xf>
    <xf numFmtId="0" fontId="4" fillId="16" borderId="33" xfId="0" applyFont="1" applyFill="1" applyBorder="1" applyAlignment="1">
      <alignment vertical="center"/>
    </xf>
    <xf numFmtId="0" fontId="4" fillId="16" borderId="30" xfId="0" applyFont="1" applyFill="1" applyBorder="1" applyAlignment="1">
      <alignment vertical="center"/>
    </xf>
    <xf numFmtId="0" fontId="3" fillId="15" borderId="29" xfId="0" applyFont="1" applyFill="1" applyBorder="1" applyAlignment="1">
      <alignment horizontal="center" vertical="center"/>
    </xf>
    <xf numFmtId="10" fontId="3" fillId="3" borderId="33" xfId="2" applyNumberFormat="1" applyFont="1" applyFill="1" applyBorder="1" applyAlignment="1">
      <alignment horizontal="center" vertical="center"/>
    </xf>
    <xf numFmtId="0" fontId="4" fillId="15" borderId="33" xfId="0" applyFont="1" applyFill="1" applyBorder="1" applyAlignment="1">
      <alignment horizontal="center" vertical="center"/>
    </xf>
    <xf numFmtId="166" fontId="4" fillId="16" borderId="32" xfId="1" applyNumberFormat="1" applyFont="1" applyFill="1" applyBorder="1" applyAlignment="1">
      <alignment vertical="center"/>
    </xf>
    <xf numFmtId="0" fontId="3" fillId="9" borderId="36" xfId="0" applyFont="1" applyFill="1" applyBorder="1" applyAlignment="1">
      <alignment vertical="center"/>
    </xf>
    <xf numFmtId="0" fontId="3" fillId="9" borderId="43" xfId="0" applyFont="1" applyFill="1" applyBorder="1" applyAlignment="1">
      <alignment vertical="center"/>
    </xf>
    <xf numFmtId="43" fontId="3" fillId="9" borderId="45" xfId="0" applyNumberFormat="1" applyFont="1" applyFill="1" applyBorder="1" applyAlignment="1">
      <alignment vertical="center"/>
    </xf>
    <xf numFmtId="43" fontId="3" fillId="9" borderId="41" xfId="0" applyNumberFormat="1" applyFont="1" applyFill="1" applyBorder="1" applyAlignment="1">
      <alignment vertical="center"/>
    </xf>
    <xf numFmtId="43" fontId="3" fillId="9" borderId="42" xfId="0" applyNumberFormat="1" applyFont="1" applyFill="1" applyBorder="1" applyAlignment="1">
      <alignment vertical="center"/>
    </xf>
    <xf numFmtId="0" fontId="4" fillId="0" borderId="0" xfId="0" applyFont="1" applyAlignment="1">
      <alignment horizontal="center" vertical="center"/>
    </xf>
    <xf numFmtId="164" fontId="4" fillId="0" borderId="0" xfId="0" applyNumberFormat="1" applyFont="1" applyAlignment="1">
      <alignment vertical="center"/>
    </xf>
    <xf numFmtId="0" fontId="4" fillId="0" borderId="0" xfId="0" applyNumberFormat="1" applyFont="1" applyAlignment="1">
      <alignment horizontal="center" vertical="center"/>
    </xf>
    <xf numFmtId="0" fontId="3" fillId="0" borderId="0" xfId="0" applyFont="1" applyAlignment="1">
      <alignment horizontal="center" vertical="center"/>
    </xf>
    <xf numFmtId="0" fontId="5" fillId="0" borderId="0" xfId="0" applyFont="1" applyAlignment="1">
      <alignment vertical="center"/>
    </xf>
    <xf numFmtId="167" fontId="4" fillId="0" borderId="0" xfId="1" applyNumberFormat="1" applyFont="1" applyAlignment="1">
      <alignment vertical="center"/>
    </xf>
    <xf numFmtId="0" fontId="3" fillId="11" borderId="31" xfId="0" applyNumberFormat="1" applyFont="1" applyFill="1" applyBorder="1" applyAlignment="1">
      <alignment horizontal="center" vertical="center"/>
    </xf>
    <xf numFmtId="168" fontId="3" fillId="11" borderId="31" xfId="0" applyNumberFormat="1" applyFont="1" applyFill="1" applyBorder="1" applyAlignment="1">
      <alignment horizontal="center" vertical="center" wrapText="1"/>
    </xf>
    <xf numFmtId="0" fontId="3" fillId="19" borderId="52" xfId="0" applyFont="1" applyFill="1" applyBorder="1" applyAlignment="1">
      <alignment horizontal="center" vertical="center"/>
    </xf>
    <xf numFmtId="0" fontId="3" fillId="19" borderId="53" xfId="0" applyFont="1" applyFill="1" applyBorder="1" applyAlignment="1">
      <alignment horizontal="center" vertical="center"/>
    </xf>
    <xf numFmtId="0" fontId="3" fillId="19" borderId="54" xfId="0" applyFont="1" applyFill="1" applyBorder="1" applyAlignment="1">
      <alignment horizontal="center" vertical="center"/>
    </xf>
    <xf numFmtId="169" fontId="3" fillId="0" borderId="6" xfId="0" applyNumberFormat="1" applyFont="1" applyFill="1" applyBorder="1" applyAlignment="1">
      <alignment horizontal="center" vertical="center"/>
    </xf>
    <xf numFmtId="169" fontId="3" fillId="0" borderId="17" xfId="0" applyNumberFormat="1" applyFont="1" applyBorder="1" applyAlignment="1">
      <alignment horizontal="center" vertical="center"/>
    </xf>
    <xf numFmtId="169" fontId="3" fillId="0" borderId="5" xfId="0" applyNumberFormat="1" applyFont="1" applyBorder="1" applyAlignment="1">
      <alignment horizontal="center" vertical="center"/>
    </xf>
    <xf numFmtId="169" fontId="4" fillId="0" borderId="0" xfId="0" applyNumberFormat="1" applyFont="1" applyAlignment="1">
      <alignment vertical="center"/>
    </xf>
    <xf numFmtId="0" fontId="3" fillId="9" borderId="4" xfId="0" applyFont="1" applyFill="1" applyBorder="1" applyAlignment="1">
      <alignment horizontal="center" vertical="center"/>
    </xf>
    <xf numFmtId="0" fontId="3" fillId="9" borderId="17" xfId="0" applyFont="1" applyFill="1" applyBorder="1" applyAlignment="1">
      <alignment horizontal="center" vertical="center"/>
    </xf>
    <xf numFmtId="0" fontId="3" fillId="9" borderId="5" xfId="0" applyFont="1" applyFill="1" applyBorder="1" applyAlignment="1">
      <alignment horizontal="center" vertical="center"/>
    </xf>
    <xf numFmtId="10" fontId="3" fillId="11" borderId="32" xfId="0" applyNumberFormat="1" applyFont="1" applyFill="1" applyBorder="1" applyAlignment="1">
      <alignment horizontal="center" vertical="center"/>
    </xf>
    <xf numFmtId="169" fontId="3" fillId="11" borderId="33" xfId="0" applyNumberFormat="1" applyFont="1" applyFill="1" applyBorder="1" applyAlignment="1">
      <alignment horizontal="center" vertical="center"/>
    </xf>
    <xf numFmtId="9" fontId="3" fillId="11" borderId="33" xfId="0" applyNumberFormat="1" applyFont="1" applyFill="1" applyBorder="1" applyAlignment="1">
      <alignment horizontal="center" vertical="center"/>
    </xf>
    <xf numFmtId="10" fontId="3" fillId="11" borderId="33" xfId="0" applyNumberFormat="1" applyFont="1" applyFill="1" applyBorder="1" applyAlignment="1">
      <alignment horizontal="center" vertical="center"/>
    </xf>
    <xf numFmtId="0" fontId="3" fillId="0" borderId="33" xfId="0" applyFont="1" applyBorder="1" applyAlignment="1">
      <alignment horizontal="center" vertical="center"/>
    </xf>
    <xf numFmtId="170" fontId="3" fillId="11" borderId="33" xfId="0" applyNumberFormat="1" applyFont="1" applyFill="1" applyBorder="1" applyAlignment="1">
      <alignment horizontal="center" vertical="center"/>
    </xf>
    <xf numFmtId="170" fontId="3" fillId="11" borderId="30" xfId="0" applyNumberFormat="1" applyFont="1" applyFill="1" applyBorder="1" applyAlignment="1">
      <alignment horizontal="center" vertical="center"/>
    </xf>
    <xf numFmtId="0" fontId="3" fillId="11" borderId="41" xfId="0" applyFont="1" applyFill="1" applyBorder="1" applyAlignment="1">
      <alignment horizontal="center" vertical="center"/>
    </xf>
    <xf numFmtId="0" fontId="3" fillId="0" borderId="45" xfId="0" applyFont="1" applyBorder="1" applyAlignment="1">
      <alignment horizontal="center" vertical="center"/>
    </xf>
    <xf numFmtId="0" fontId="3" fillId="11" borderId="45" xfId="0" applyFont="1" applyFill="1" applyBorder="1" applyAlignment="1">
      <alignment horizontal="center" vertical="center"/>
    </xf>
    <xf numFmtId="0" fontId="3" fillId="0" borderId="42" xfId="0" applyFont="1" applyBorder="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wrapText="1"/>
    </xf>
    <xf numFmtId="0" fontId="4" fillId="5" borderId="31" xfId="0" applyFont="1" applyFill="1" applyBorder="1" applyAlignment="1">
      <alignment horizontal="center" vertical="center"/>
    </xf>
    <xf numFmtId="0" fontId="4" fillId="5" borderId="31" xfId="0" applyFont="1" applyFill="1" applyBorder="1" applyAlignment="1">
      <alignment horizontal="left" vertical="center"/>
    </xf>
    <xf numFmtId="164" fontId="4" fillId="5" borderId="31" xfId="1" applyFont="1" applyFill="1" applyBorder="1" applyAlignment="1">
      <alignment vertical="center"/>
    </xf>
    <xf numFmtId="0" fontId="4" fillId="0" borderId="31" xfId="0" applyFont="1" applyBorder="1" applyAlignment="1">
      <alignment horizontal="center" vertical="center"/>
    </xf>
    <xf numFmtId="164" fontId="4" fillId="5" borderId="31" xfId="1" applyFont="1" applyFill="1" applyBorder="1" applyAlignment="1">
      <alignment horizontal="center" vertical="center"/>
    </xf>
    <xf numFmtId="164" fontId="4" fillId="11" borderId="31" xfId="1" applyFont="1" applyFill="1" applyBorder="1" applyAlignment="1">
      <alignment horizontal="center" vertical="center"/>
    </xf>
    <xf numFmtId="164" fontId="4" fillId="0" borderId="31" xfId="1" applyFont="1" applyBorder="1" applyAlignment="1">
      <alignment horizontal="center" vertical="center"/>
    </xf>
    <xf numFmtId="10" fontId="4" fillId="0" borderId="31" xfId="2" applyNumberFormat="1" applyFont="1" applyBorder="1" applyAlignment="1">
      <alignment horizontal="center" vertical="center"/>
    </xf>
    <xf numFmtId="0" fontId="4" fillId="5" borderId="31" xfId="0" applyFont="1" applyFill="1" applyBorder="1" applyAlignment="1">
      <alignment vertical="center"/>
    </xf>
    <xf numFmtId="167" fontId="4" fillId="5" borderId="31" xfId="1" applyNumberFormat="1" applyFont="1" applyFill="1" applyBorder="1" applyAlignment="1">
      <alignment vertical="center"/>
    </xf>
    <xf numFmtId="10" fontId="4" fillId="5" borderId="31" xfId="2" applyNumberFormat="1" applyFont="1" applyFill="1" applyBorder="1" applyAlignment="1">
      <alignment horizontal="center" vertical="center"/>
    </xf>
    <xf numFmtId="0" fontId="4" fillId="5" borderId="31" xfId="1" applyNumberFormat="1" applyFont="1" applyFill="1" applyBorder="1" applyAlignment="1">
      <alignment horizontal="center" vertical="center"/>
    </xf>
    <xf numFmtId="1" fontId="4" fillId="5" borderId="31" xfId="1" applyNumberFormat="1" applyFont="1" applyFill="1" applyBorder="1" applyAlignment="1">
      <alignment horizontal="center" vertical="center"/>
    </xf>
    <xf numFmtId="0" fontId="4" fillId="5" borderId="31" xfId="2" applyNumberFormat="1" applyFont="1" applyFill="1" applyBorder="1" applyAlignment="1">
      <alignment horizontal="center" vertical="center"/>
    </xf>
    <xf numFmtId="0" fontId="4" fillId="21" borderId="31" xfId="0" applyFont="1" applyFill="1" applyBorder="1" applyAlignment="1">
      <alignment horizontal="center" vertical="center"/>
    </xf>
    <xf numFmtId="0" fontId="4" fillId="21" borderId="31" xfId="0" applyFont="1" applyFill="1" applyBorder="1" applyAlignment="1">
      <alignment horizontal="left" vertical="center"/>
    </xf>
    <xf numFmtId="164" fontId="4" fillId="21" borderId="31" xfId="1" applyFont="1" applyFill="1" applyBorder="1" applyAlignment="1">
      <alignment vertical="center"/>
    </xf>
    <xf numFmtId="164" fontId="4" fillId="21" borderId="31" xfId="1" applyFont="1" applyFill="1" applyBorder="1" applyAlignment="1">
      <alignment horizontal="center" vertical="center"/>
    </xf>
    <xf numFmtId="0" fontId="4" fillId="21" borderId="31" xfId="0" applyFont="1" applyFill="1" applyBorder="1" applyAlignment="1">
      <alignment vertical="center"/>
    </xf>
    <xf numFmtId="167" fontId="4" fillId="21" borderId="31" xfId="1" applyNumberFormat="1" applyFont="1" applyFill="1" applyBorder="1" applyAlignment="1">
      <alignment vertical="center"/>
    </xf>
    <xf numFmtId="10" fontId="4" fillId="21" borderId="31" xfId="2" applyNumberFormat="1" applyFont="1" applyFill="1" applyBorder="1" applyAlignment="1">
      <alignment horizontal="center" vertical="center"/>
    </xf>
    <xf numFmtId="0" fontId="4" fillId="21" borderId="31" xfId="1" applyNumberFormat="1" applyFont="1" applyFill="1" applyBorder="1" applyAlignment="1">
      <alignment horizontal="center" vertical="center"/>
    </xf>
    <xf numFmtId="1" fontId="4" fillId="21" borderId="31" xfId="1" applyNumberFormat="1" applyFont="1" applyFill="1" applyBorder="1" applyAlignment="1">
      <alignment horizontal="center" vertical="center"/>
    </xf>
    <xf numFmtId="0" fontId="4" fillId="21" borderId="31" xfId="2" applyNumberFormat="1" applyFont="1" applyFill="1" applyBorder="1" applyAlignment="1">
      <alignment horizontal="center" vertical="center"/>
    </xf>
    <xf numFmtId="0" fontId="4" fillId="0" borderId="31" xfId="0" applyFont="1" applyFill="1" applyBorder="1" applyAlignment="1">
      <alignment horizontal="left" vertical="center"/>
    </xf>
    <xf numFmtId="164" fontId="4" fillId="0" borderId="31" xfId="1" applyFont="1" applyBorder="1" applyAlignment="1">
      <alignment vertical="center"/>
    </xf>
    <xf numFmtId="0" fontId="4" fillId="0" borderId="31" xfId="0" applyFont="1" applyBorder="1" applyAlignment="1">
      <alignment vertical="center"/>
    </xf>
    <xf numFmtId="0" fontId="4" fillId="0" borderId="31" xfId="0" applyFont="1" applyFill="1" applyBorder="1" applyAlignment="1">
      <alignment horizontal="center" vertical="center"/>
    </xf>
    <xf numFmtId="164" fontId="4" fillId="0" borderId="31" xfId="0" applyNumberFormat="1" applyFont="1" applyFill="1" applyBorder="1" applyAlignment="1">
      <alignment vertical="center"/>
    </xf>
    <xf numFmtId="164" fontId="4" fillId="0" borderId="31" xfId="1" applyFont="1" applyFill="1" applyBorder="1" applyAlignment="1">
      <alignment horizontal="center" vertical="center"/>
    </xf>
    <xf numFmtId="167" fontId="4" fillId="0" borderId="31" xfId="1" applyNumberFormat="1" applyFont="1" applyBorder="1" applyAlignment="1">
      <alignment vertical="center"/>
    </xf>
    <xf numFmtId="0" fontId="4" fillId="0" borderId="31" xfId="0" applyFont="1" applyFill="1" applyBorder="1" applyAlignment="1">
      <alignment vertical="center"/>
    </xf>
    <xf numFmtId="0" fontId="4" fillId="0" borderId="31" xfId="1" applyNumberFormat="1" applyFont="1" applyBorder="1" applyAlignment="1">
      <alignment horizontal="center" vertical="center"/>
    </xf>
    <xf numFmtId="4" fontId="4" fillId="0" borderId="0" xfId="1" applyNumberFormat="1" applyFont="1" applyAlignment="1">
      <alignment vertical="center"/>
    </xf>
    <xf numFmtId="172" fontId="4" fillId="0" borderId="0" xfId="0" applyNumberFormat="1" applyFont="1" applyAlignment="1">
      <alignment horizontal="center" vertical="center"/>
    </xf>
    <xf numFmtId="0" fontId="2" fillId="0" borderId="57" xfId="0" applyFont="1" applyFill="1" applyBorder="1" applyAlignment="1">
      <alignment vertical="center"/>
    </xf>
    <xf numFmtId="0" fontId="2" fillId="0" borderId="0" xfId="0" applyFont="1" applyFill="1" applyBorder="1" applyAlignment="1">
      <alignment vertical="center"/>
    </xf>
    <xf numFmtId="0" fontId="13" fillId="0" borderId="0" xfId="0" applyFont="1" applyAlignment="1">
      <alignment vertical="center"/>
    </xf>
    <xf numFmtId="9" fontId="13" fillId="0" borderId="0" xfId="0" applyNumberFormat="1" applyFont="1" applyAlignment="1">
      <alignment horizontal="center" vertical="center"/>
    </xf>
    <xf numFmtId="0" fontId="13" fillId="5" borderId="32" xfId="0" applyFont="1" applyFill="1" applyBorder="1" applyAlignment="1">
      <alignment horizontal="center" vertical="center"/>
    </xf>
    <xf numFmtId="0" fontId="13" fillId="5" borderId="33" xfId="0" applyFont="1" applyFill="1" applyBorder="1" applyAlignment="1">
      <alignment horizontal="left" vertical="center"/>
    </xf>
    <xf numFmtId="164" fontId="13" fillId="0" borderId="33" xfId="0" applyNumberFormat="1" applyFont="1" applyBorder="1" applyAlignment="1">
      <alignment vertical="center"/>
    </xf>
    <xf numFmtId="164" fontId="13" fillId="0" borderId="33" xfId="1" applyFont="1" applyBorder="1" applyAlignment="1">
      <alignment vertical="center"/>
    </xf>
    <xf numFmtId="0" fontId="13" fillId="0" borderId="33" xfId="0" applyFont="1" applyBorder="1" applyAlignment="1">
      <alignment horizontal="center" vertical="center"/>
    </xf>
    <xf numFmtId="10" fontId="13" fillId="0" borderId="30" xfId="2" applyNumberFormat="1" applyFont="1" applyBorder="1" applyAlignment="1">
      <alignment horizontal="center" vertical="center"/>
    </xf>
    <xf numFmtId="0" fontId="13" fillId="21" borderId="25" xfId="0" applyFont="1" applyFill="1" applyBorder="1" applyAlignment="1">
      <alignment horizontal="center" vertical="center"/>
    </xf>
    <xf numFmtId="0" fontId="13" fillId="21" borderId="31" xfId="0" applyFont="1" applyFill="1" applyBorder="1" applyAlignment="1">
      <alignment horizontal="left" vertical="center"/>
    </xf>
    <xf numFmtId="164" fontId="13" fillId="0" borderId="31" xfId="0" applyNumberFormat="1" applyFont="1" applyBorder="1" applyAlignment="1">
      <alignment vertical="center"/>
    </xf>
    <xf numFmtId="164" fontId="13" fillId="0" borderId="31" xfId="1" applyFont="1" applyBorder="1" applyAlignment="1">
      <alignment vertical="center"/>
    </xf>
    <xf numFmtId="10" fontId="13" fillId="0" borderId="26" xfId="2" applyNumberFormat="1" applyFont="1" applyBorder="1" applyAlignment="1">
      <alignment horizontal="center" vertical="center"/>
    </xf>
    <xf numFmtId="0" fontId="13" fillId="0" borderId="25" xfId="0" applyFont="1" applyBorder="1" applyAlignment="1">
      <alignment horizontal="center" vertical="center"/>
    </xf>
    <xf numFmtId="0" fontId="13" fillId="0" borderId="31" xfId="0" applyFont="1" applyFill="1" applyBorder="1" applyAlignment="1">
      <alignment horizontal="left" vertical="center"/>
    </xf>
    <xf numFmtId="0" fontId="13" fillId="0" borderId="31" xfId="0" applyFont="1" applyBorder="1" applyAlignment="1">
      <alignment vertical="center"/>
    </xf>
    <xf numFmtId="0" fontId="13" fillId="0" borderId="26" xfId="0" applyFont="1" applyBorder="1" applyAlignment="1">
      <alignment vertical="center"/>
    </xf>
    <xf numFmtId="0" fontId="13" fillId="5" borderId="25" xfId="0" applyFont="1" applyFill="1" applyBorder="1" applyAlignment="1">
      <alignment horizontal="center" vertical="center"/>
    </xf>
    <xf numFmtId="0" fontId="13" fillId="5" borderId="31" xfId="0" applyFont="1" applyFill="1" applyBorder="1" applyAlignment="1">
      <alignment horizontal="left" vertical="center"/>
    </xf>
    <xf numFmtId="164" fontId="13" fillId="18" borderId="31" xfId="0" applyNumberFormat="1" applyFont="1" applyFill="1" applyBorder="1" applyAlignment="1">
      <alignment vertical="center"/>
    </xf>
    <xf numFmtId="164" fontId="13" fillId="18" borderId="31" xfId="1" applyFont="1" applyFill="1" applyBorder="1" applyAlignment="1">
      <alignment vertical="center"/>
    </xf>
    <xf numFmtId="10" fontId="13" fillId="18" borderId="26" xfId="2" applyNumberFormat="1" applyFont="1" applyFill="1" applyBorder="1" applyAlignment="1">
      <alignment horizontal="center" vertical="center"/>
    </xf>
    <xf numFmtId="164" fontId="13" fillId="22" borderId="31" xfId="0" applyNumberFormat="1" applyFont="1" applyFill="1" applyBorder="1" applyAlignment="1">
      <alignment vertical="center"/>
    </xf>
    <xf numFmtId="164" fontId="13" fillId="22" borderId="31" xfId="1" applyFont="1" applyFill="1" applyBorder="1" applyAlignment="1">
      <alignment vertical="center"/>
    </xf>
    <xf numFmtId="10" fontId="13" fillId="22" borderId="26" xfId="2" applyNumberFormat="1" applyFont="1" applyFill="1" applyBorder="1" applyAlignment="1">
      <alignment horizontal="center" vertical="center"/>
    </xf>
    <xf numFmtId="164" fontId="13" fillId="0" borderId="31" xfId="0" applyNumberFormat="1" applyFont="1" applyFill="1" applyBorder="1" applyAlignment="1">
      <alignment vertical="center"/>
    </xf>
    <xf numFmtId="10" fontId="13" fillId="0" borderId="26" xfId="2" applyNumberFormat="1" applyFont="1" applyFill="1" applyBorder="1" applyAlignment="1">
      <alignment horizontal="center" vertical="center"/>
    </xf>
    <xf numFmtId="164" fontId="13" fillId="17" borderId="31" xfId="0" applyNumberFormat="1" applyFont="1" applyFill="1" applyBorder="1" applyAlignment="1">
      <alignment vertical="center"/>
    </xf>
    <xf numFmtId="164" fontId="13" fillId="17" borderId="31" xfId="1" applyFont="1" applyFill="1" applyBorder="1" applyAlignment="1">
      <alignment vertical="center"/>
    </xf>
    <xf numFmtId="10" fontId="13" fillId="17" borderId="26" xfId="2" applyNumberFormat="1" applyFont="1" applyFill="1" applyBorder="1" applyAlignment="1">
      <alignment horizontal="center" vertical="center"/>
    </xf>
    <xf numFmtId="164" fontId="14" fillId="20" borderId="31" xfId="0" applyNumberFormat="1" applyFont="1" applyFill="1" applyBorder="1" applyAlignment="1">
      <alignment vertical="center"/>
    </xf>
    <xf numFmtId="164" fontId="14" fillId="20" borderId="31" xfId="1" applyFont="1" applyFill="1" applyBorder="1" applyAlignment="1">
      <alignment vertical="center"/>
    </xf>
    <xf numFmtId="10" fontId="14" fillId="20" borderId="26" xfId="2" applyNumberFormat="1" applyFont="1" applyFill="1" applyBorder="1" applyAlignment="1">
      <alignment horizontal="center" vertical="center"/>
    </xf>
    <xf numFmtId="0" fontId="13" fillId="0" borderId="41" xfId="0" applyFont="1" applyBorder="1" applyAlignment="1">
      <alignment horizontal="center" vertical="center"/>
    </xf>
    <xf numFmtId="0" fontId="13" fillId="0" borderId="45" xfId="0" applyFont="1" applyFill="1" applyBorder="1" applyAlignment="1">
      <alignment horizontal="left" vertical="center"/>
    </xf>
    <xf numFmtId="0" fontId="13" fillId="0" borderId="45" xfId="0" applyFont="1" applyBorder="1" applyAlignment="1">
      <alignment vertical="center"/>
    </xf>
    <xf numFmtId="0" fontId="13" fillId="0" borderId="45" xfId="0" applyFont="1" applyBorder="1" applyAlignment="1">
      <alignment horizontal="center" vertical="center"/>
    </xf>
    <xf numFmtId="0" fontId="13" fillId="0" borderId="42" xfId="0" applyFont="1" applyBorder="1" applyAlignment="1">
      <alignment vertical="center"/>
    </xf>
    <xf numFmtId="167" fontId="13" fillId="0" borderId="0" xfId="1" applyNumberFormat="1" applyFont="1" applyAlignment="1">
      <alignment vertical="center"/>
    </xf>
    <xf numFmtId="0" fontId="9" fillId="0" borderId="0" xfId="0" applyFont="1" applyAlignment="1">
      <alignment vertical="center"/>
    </xf>
    <xf numFmtId="0" fontId="13" fillId="0" borderId="0" xfId="0" applyFont="1" applyAlignment="1">
      <alignment horizontal="center" vertical="center"/>
    </xf>
    <xf numFmtId="0" fontId="13" fillId="0" borderId="32" xfId="0" applyFont="1" applyBorder="1" applyAlignment="1">
      <alignment horizontal="center" vertical="center"/>
    </xf>
    <xf numFmtId="0" fontId="13" fillId="0" borderId="30" xfId="0" applyFont="1" applyBorder="1" applyAlignment="1">
      <alignment horizontal="center" vertical="center"/>
    </xf>
    <xf numFmtId="0" fontId="13" fillId="0" borderId="42" xfId="0" applyFont="1" applyBorder="1" applyAlignment="1">
      <alignment horizontal="center" vertical="center"/>
    </xf>
    <xf numFmtId="0" fontId="16" fillId="0" borderId="0" xfId="0" applyFont="1" applyAlignment="1">
      <alignment vertical="center"/>
    </xf>
    <xf numFmtId="1" fontId="13" fillId="0" borderId="29" xfId="0" applyNumberFormat="1" applyFont="1" applyBorder="1" applyAlignment="1">
      <alignment horizontal="center" vertical="center"/>
    </xf>
    <xf numFmtId="1" fontId="13" fillId="0" borderId="27" xfId="0" applyNumberFormat="1" applyFont="1" applyBorder="1" applyAlignment="1">
      <alignment horizontal="center" vertical="center"/>
    </xf>
    <xf numFmtId="0" fontId="13" fillId="0" borderId="27" xfId="0" applyFont="1" applyBorder="1" applyAlignment="1">
      <alignment vertical="center"/>
    </xf>
    <xf numFmtId="1" fontId="13" fillId="18" borderId="27" xfId="0" applyNumberFormat="1" applyFont="1" applyFill="1" applyBorder="1" applyAlignment="1">
      <alignment horizontal="center" vertical="center"/>
    </xf>
    <xf numFmtId="1" fontId="13" fillId="22" borderId="27" xfId="0" applyNumberFormat="1" applyFont="1" applyFill="1" applyBorder="1" applyAlignment="1">
      <alignment horizontal="center" vertical="center"/>
    </xf>
    <xf numFmtId="1" fontId="13" fillId="0" borderId="27" xfId="0" applyNumberFormat="1" applyFont="1" applyFill="1" applyBorder="1" applyAlignment="1">
      <alignment horizontal="center" vertical="center"/>
    </xf>
    <xf numFmtId="1" fontId="13" fillId="17" borderId="27" xfId="0" applyNumberFormat="1" applyFont="1" applyFill="1" applyBorder="1" applyAlignment="1">
      <alignment horizontal="center" vertical="center"/>
    </xf>
    <xf numFmtId="1" fontId="14" fillId="20" borderId="27" xfId="0" applyNumberFormat="1" applyFont="1" applyFill="1" applyBorder="1" applyAlignment="1">
      <alignment horizontal="center" vertical="center"/>
    </xf>
    <xf numFmtId="0" fontId="13" fillId="0" borderId="43" xfId="0" applyFont="1" applyBorder="1" applyAlignment="1">
      <alignment vertical="center"/>
    </xf>
    <xf numFmtId="0" fontId="13" fillId="18" borderId="25" xfId="0" applyFont="1" applyFill="1" applyBorder="1" applyAlignment="1">
      <alignment horizontal="center" vertical="center"/>
    </xf>
    <xf numFmtId="0" fontId="13" fillId="22" borderId="25" xfId="0" applyFont="1" applyFill="1" applyBorder="1" applyAlignment="1">
      <alignment horizontal="center" vertical="center"/>
    </xf>
    <xf numFmtId="0" fontId="13" fillId="0" borderId="25" xfId="0" applyFont="1" applyFill="1" applyBorder="1" applyAlignment="1">
      <alignment horizontal="center" vertical="center"/>
    </xf>
    <xf numFmtId="0" fontId="13" fillId="17" borderId="25" xfId="0" applyFont="1" applyFill="1" applyBorder="1" applyAlignment="1">
      <alignment horizontal="center" vertical="center"/>
    </xf>
    <xf numFmtId="0" fontId="14" fillId="20" borderId="25" xfId="0" applyFont="1" applyFill="1" applyBorder="1" applyAlignment="1">
      <alignment horizontal="center" vertical="center"/>
    </xf>
    <xf numFmtId="164" fontId="13" fillId="0" borderId="30" xfId="1" applyFont="1" applyBorder="1" applyAlignment="1">
      <alignment vertical="center"/>
    </xf>
    <xf numFmtId="164" fontId="13" fillId="0" borderId="26" xfId="1" applyFont="1" applyBorder="1" applyAlignment="1">
      <alignment vertical="center"/>
    </xf>
    <xf numFmtId="164" fontId="13" fillId="18" borderId="26" xfId="1" applyFont="1" applyFill="1" applyBorder="1" applyAlignment="1">
      <alignment vertical="center"/>
    </xf>
    <xf numFmtId="164" fontId="13" fillId="22" borderId="26" xfId="1" applyFont="1" applyFill="1" applyBorder="1" applyAlignment="1">
      <alignment vertical="center"/>
    </xf>
    <xf numFmtId="164" fontId="13" fillId="0" borderId="26" xfId="1" applyFont="1" applyFill="1" applyBorder="1" applyAlignment="1">
      <alignment vertical="center"/>
    </xf>
    <xf numFmtId="164" fontId="13" fillId="17" borderId="26" xfId="1" applyFont="1" applyFill="1" applyBorder="1" applyAlignment="1">
      <alignment vertical="center"/>
    </xf>
    <xf numFmtId="164" fontId="14" fillId="20" borderId="26" xfId="1" applyFont="1" applyFill="1" applyBorder="1" applyAlignment="1">
      <alignment vertical="center"/>
    </xf>
    <xf numFmtId="1" fontId="4" fillId="5" borderId="31" xfId="0" applyNumberFormat="1" applyFont="1" applyFill="1" applyBorder="1" applyAlignment="1">
      <alignment horizontal="center" vertical="center"/>
    </xf>
    <xf numFmtId="1" fontId="4" fillId="21" borderId="31" xfId="0" applyNumberFormat="1" applyFont="1" applyFill="1" applyBorder="1" applyAlignment="1">
      <alignment horizontal="center" vertical="center"/>
    </xf>
    <xf numFmtId="164" fontId="4" fillId="11" borderId="31" xfId="0" applyNumberFormat="1" applyFont="1" applyFill="1" applyBorder="1" applyAlignment="1">
      <alignment vertical="center"/>
    </xf>
    <xf numFmtId="0" fontId="13" fillId="3" borderId="45" xfId="0" applyFont="1" applyFill="1" applyBorder="1" applyAlignment="1">
      <alignment horizontal="center" vertical="center"/>
    </xf>
    <xf numFmtId="0" fontId="13" fillId="0" borderId="0" xfId="0" applyFont="1" applyBorder="1" applyAlignment="1">
      <alignment vertical="center"/>
    </xf>
    <xf numFmtId="0" fontId="13" fillId="0" borderId="45" xfId="0" applyFont="1" applyFill="1" applyBorder="1" applyAlignment="1">
      <alignment horizontal="center" vertical="center"/>
    </xf>
    <xf numFmtId="0" fontId="13" fillId="0" borderId="45"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0" xfId="0" applyFont="1" applyBorder="1" applyAlignment="1">
      <alignment horizontal="center" vertical="center"/>
    </xf>
    <xf numFmtId="0" fontId="13" fillId="3" borderId="36" xfId="0" applyFont="1" applyFill="1" applyBorder="1" applyAlignment="1">
      <alignment horizontal="center" vertical="center"/>
    </xf>
    <xf numFmtId="0" fontId="13" fillId="0" borderId="36" xfId="0" applyFont="1" applyBorder="1" applyAlignment="1">
      <alignment horizontal="center" vertical="center"/>
    </xf>
    <xf numFmtId="0" fontId="9" fillId="23" borderId="15" xfId="0" applyFont="1" applyFill="1" applyBorder="1" applyAlignment="1">
      <alignment vertical="center"/>
    </xf>
    <xf numFmtId="0" fontId="13" fillId="23" borderId="20" xfId="0" applyFont="1" applyFill="1" applyBorder="1" applyAlignment="1">
      <alignment vertical="center"/>
    </xf>
    <xf numFmtId="0" fontId="13" fillId="23" borderId="60" xfId="0" applyFont="1" applyFill="1" applyBorder="1" applyAlignment="1">
      <alignment vertical="center"/>
    </xf>
    <xf numFmtId="0" fontId="13" fillId="23" borderId="58" xfId="0" applyFont="1" applyFill="1" applyBorder="1" applyAlignment="1">
      <alignment vertical="center"/>
    </xf>
    <xf numFmtId="0" fontId="13" fillId="23" borderId="63" xfId="0" applyFont="1" applyFill="1" applyBorder="1" applyAlignment="1">
      <alignment vertical="center"/>
    </xf>
    <xf numFmtId="0" fontId="13" fillId="23" borderId="53" xfId="0" applyFont="1" applyFill="1" applyBorder="1" applyAlignment="1">
      <alignment vertical="center"/>
    </xf>
    <xf numFmtId="0" fontId="13" fillId="23" borderId="54" xfId="0" applyFont="1" applyFill="1" applyBorder="1" applyAlignment="1">
      <alignment vertical="center"/>
    </xf>
    <xf numFmtId="0" fontId="13" fillId="3" borderId="46" xfId="0" applyFont="1" applyFill="1" applyBorder="1" applyAlignment="1">
      <alignment horizontal="center" vertical="center"/>
    </xf>
    <xf numFmtId="0" fontId="13" fillId="3" borderId="33" xfId="0" applyFont="1" applyFill="1" applyBorder="1" applyAlignment="1">
      <alignment horizontal="center" vertical="center"/>
    </xf>
    <xf numFmtId="0" fontId="13" fillId="0" borderId="46" xfId="0" applyFont="1" applyBorder="1" applyAlignment="1">
      <alignment horizontal="center" vertical="center"/>
    </xf>
    <xf numFmtId="0" fontId="13" fillId="0" borderId="63" xfId="0" applyFont="1" applyBorder="1" applyAlignment="1">
      <alignment horizontal="center" vertical="center" wrapText="1"/>
    </xf>
    <xf numFmtId="0" fontId="13" fillId="3" borderId="7" xfId="0" applyFont="1" applyFill="1" applyBorder="1" applyAlignment="1">
      <alignment horizontal="center" vertical="center"/>
    </xf>
    <xf numFmtId="0" fontId="13" fillId="0" borderId="11" xfId="0" applyFont="1" applyBorder="1" applyAlignment="1">
      <alignment horizontal="center" vertical="center"/>
    </xf>
    <xf numFmtId="0" fontId="13" fillId="3" borderId="14" xfId="0" applyFont="1" applyFill="1" applyBorder="1" applyAlignment="1">
      <alignment horizontal="center" vertical="center"/>
    </xf>
    <xf numFmtId="0" fontId="13" fillId="0" borderId="14" xfId="0" applyFont="1" applyBorder="1" applyAlignment="1">
      <alignment horizontal="center" vertical="center"/>
    </xf>
    <xf numFmtId="0" fontId="13" fillId="0" borderId="54" xfId="0" applyFont="1" applyBorder="1" applyAlignment="1">
      <alignment horizontal="center" vertical="center" wrapText="1"/>
    </xf>
    <xf numFmtId="0" fontId="13" fillId="0" borderId="46" xfId="0" applyFont="1" applyFill="1" applyBorder="1" applyAlignment="1">
      <alignment horizontal="center" vertical="center"/>
    </xf>
    <xf numFmtId="0" fontId="13" fillId="0" borderId="36" xfId="0" applyFont="1" applyFill="1" applyBorder="1" applyAlignment="1">
      <alignment horizontal="center" vertical="center"/>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41" xfId="0" applyFont="1" applyFill="1" applyBorder="1" applyAlignment="1">
      <alignment horizontal="center" vertical="center"/>
    </xf>
    <xf numFmtId="0" fontId="13" fillId="0" borderId="7" xfId="0" applyFont="1" applyFill="1" applyBorder="1" applyAlignment="1">
      <alignment horizontal="center" vertical="center"/>
    </xf>
    <xf numFmtId="0" fontId="17" fillId="2" borderId="40" xfId="0" applyFont="1" applyFill="1" applyBorder="1" applyAlignment="1">
      <alignment horizontal="center" vertical="center" wrapText="1"/>
    </xf>
    <xf numFmtId="0" fontId="17" fillId="2" borderId="38" xfId="0" applyFont="1" applyFill="1" applyBorder="1" applyAlignment="1">
      <alignment horizontal="center" vertical="center" wrapText="1"/>
    </xf>
    <xf numFmtId="0" fontId="17" fillId="2" borderId="39" xfId="0" applyFont="1" applyFill="1" applyBorder="1" applyAlignment="1">
      <alignment horizontal="center" vertical="center" wrapText="1"/>
    </xf>
    <xf numFmtId="0" fontId="13" fillId="0" borderId="0" xfId="0" applyFont="1" applyFill="1" applyBorder="1" applyAlignment="1">
      <alignment vertical="center"/>
    </xf>
    <xf numFmtId="0" fontId="13" fillId="23" borderId="20" xfId="0" applyFont="1" applyFill="1" applyBorder="1" applyAlignment="1">
      <alignment horizontal="center" vertical="center"/>
    </xf>
    <xf numFmtId="0" fontId="13" fillId="23" borderId="60" xfId="0" applyFont="1" applyFill="1" applyBorder="1" applyAlignment="1">
      <alignment horizontal="center" vertical="center"/>
    </xf>
    <xf numFmtId="0" fontId="13" fillId="23" borderId="58" xfId="0" applyFont="1" applyFill="1" applyBorder="1" applyAlignment="1">
      <alignment horizontal="center" vertical="center"/>
    </xf>
    <xf numFmtId="0" fontId="13" fillId="23" borderId="63" xfId="0" applyFont="1" applyFill="1" applyBorder="1" applyAlignment="1">
      <alignment horizontal="center" vertical="center" wrapText="1"/>
    </xf>
    <xf numFmtId="0" fontId="13" fillId="23" borderId="58" xfId="0" applyFont="1" applyFill="1" applyBorder="1" applyAlignment="1">
      <alignment horizontal="center" vertical="center" wrapText="1"/>
    </xf>
    <xf numFmtId="0" fontId="17" fillId="2" borderId="67" xfId="0" applyFont="1" applyFill="1" applyBorder="1" applyAlignment="1">
      <alignment horizontal="center" vertical="center" wrapText="1"/>
    </xf>
    <xf numFmtId="0" fontId="13" fillId="23" borderId="68" xfId="0" applyFont="1" applyFill="1" applyBorder="1" applyAlignment="1">
      <alignment vertical="center"/>
    </xf>
    <xf numFmtId="0" fontId="13" fillId="0" borderId="69" xfId="0" applyFont="1" applyBorder="1" applyAlignment="1">
      <alignment horizontal="center" vertical="center"/>
    </xf>
    <xf numFmtId="0" fontId="13" fillId="0" borderId="70" xfId="0" applyFont="1" applyBorder="1" applyAlignment="1">
      <alignment horizontal="center" vertical="center"/>
    </xf>
    <xf numFmtId="0" fontId="13" fillId="0" borderId="71" xfId="0" applyFont="1" applyBorder="1" applyAlignment="1">
      <alignment horizontal="center" vertical="center"/>
    </xf>
    <xf numFmtId="0" fontId="13" fillId="0" borderId="71" xfId="0" applyFont="1" applyFill="1" applyBorder="1" applyAlignment="1">
      <alignment horizontal="center" vertical="center"/>
    </xf>
    <xf numFmtId="0" fontId="13" fillId="0" borderId="70" xfId="0" applyFont="1" applyFill="1" applyBorder="1" applyAlignment="1">
      <alignment horizontal="center" vertical="center"/>
    </xf>
    <xf numFmtId="0" fontId="13" fillId="3" borderId="69" xfId="0" applyFont="1" applyFill="1" applyBorder="1" applyAlignment="1">
      <alignment horizontal="center" vertical="center"/>
    </xf>
    <xf numFmtId="0" fontId="13" fillId="3" borderId="70" xfId="0" applyFont="1" applyFill="1" applyBorder="1" applyAlignment="1">
      <alignment horizontal="center" vertical="center"/>
    </xf>
    <xf numFmtId="0" fontId="13" fillId="3" borderId="71" xfId="0" applyFont="1" applyFill="1" applyBorder="1" applyAlignment="1">
      <alignment horizontal="center" vertical="center"/>
    </xf>
    <xf numFmtId="0" fontId="13" fillId="23" borderId="68" xfId="0" applyFont="1" applyFill="1" applyBorder="1" applyAlignment="1">
      <alignment horizontal="center" vertical="center"/>
    </xf>
    <xf numFmtId="0" fontId="13" fillId="23" borderId="52" xfId="0" applyFont="1" applyFill="1" applyBorder="1" applyAlignment="1">
      <alignment vertical="center"/>
    </xf>
    <xf numFmtId="0" fontId="13" fillId="23" borderId="61" xfId="0" applyFont="1" applyFill="1" applyBorder="1" applyAlignment="1">
      <alignment vertical="center"/>
    </xf>
    <xf numFmtId="0" fontId="13" fillId="0" borderId="13"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29" xfId="0" applyFont="1" applyBorder="1" applyAlignment="1">
      <alignment horizontal="center" vertical="center" wrapText="1"/>
    </xf>
    <xf numFmtId="0" fontId="13" fillId="23" borderId="61" xfId="0" applyFont="1" applyFill="1" applyBorder="1" applyAlignment="1">
      <alignment horizontal="center" vertical="center" wrapText="1"/>
    </xf>
    <xf numFmtId="0" fontId="13" fillId="23" borderId="74" xfId="0" applyFont="1" applyFill="1" applyBorder="1" applyAlignment="1">
      <alignment vertical="center"/>
    </xf>
    <xf numFmtId="0" fontId="13" fillId="0" borderId="75" xfId="0" applyFont="1" applyBorder="1" applyAlignment="1">
      <alignment horizontal="center" vertical="center"/>
    </xf>
    <xf numFmtId="0" fontId="13" fillId="0" borderId="76" xfId="0" applyFont="1" applyBorder="1" applyAlignment="1">
      <alignment horizontal="center" vertical="center"/>
    </xf>
    <xf numFmtId="0" fontId="13" fillId="0" borderId="77" xfId="0" applyFont="1" applyBorder="1" applyAlignment="1">
      <alignment horizontal="center" vertical="center"/>
    </xf>
    <xf numFmtId="0" fontId="13" fillId="23" borderId="74" xfId="0" applyFont="1" applyFill="1" applyBorder="1" applyAlignment="1">
      <alignment horizontal="center" vertical="center"/>
    </xf>
    <xf numFmtId="0" fontId="13" fillId="0" borderId="53" xfId="0" applyFont="1" applyBorder="1" applyAlignment="1">
      <alignment horizontal="center" vertical="center" wrapText="1"/>
    </xf>
    <xf numFmtId="0" fontId="13" fillId="23" borderId="59" xfId="0" applyFont="1" applyFill="1" applyBorder="1" applyAlignment="1">
      <alignment vertical="center"/>
    </xf>
    <xf numFmtId="0" fontId="13" fillId="23" borderId="57" xfId="0" applyFont="1" applyFill="1" applyBorder="1" applyAlignment="1">
      <alignment vertical="center"/>
    </xf>
    <xf numFmtId="0" fontId="13" fillId="23" borderId="57" xfId="0" applyFont="1" applyFill="1" applyBorder="1" applyAlignment="1">
      <alignment horizontal="center" vertical="center" wrapText="1"/>
    </xf>
    <xf numFmtId="0" fontId="13" fillId="0" borderId="69" xfId="0" applyFont="1" applyFill="1" applyBorder="1" applyAlignment="1">
      <alignment horizontal="center" vertical="center"/>
    </xf>
    <xf numFmtId="0" fontId="13" fillId="23" borderId="79" xfId="0" applyFont="1" applyFill="1" applyBorder="1" applyAlignment="1">
      <alignment vertical="center"/>
    </xf>
    <xf numFmtId="0" fontId="13" fillId="3" borderId="65" xfId="0" applyFont="1" applyFill="1" applyBorder="1" applyAlignment="1">
      <alignment horizontal="center" vertical="center"/>
    </xf>
    <xf numFmtId="0" fontId="13" fillId="3" borderId="80" xfId="0" applyFont="1" applyFill="1" applyBorder="1" applyAlignment="1">
      <alignment horizontal="center" vertical="center"/>
    </xf>
    <xf numFmtId="0" fontId="13" fillId="0" borderId="65" xfId="0" applyFont="1" applyFill="1" applyBorder="1" applyAlignment="1">
      <alignment horizontal="center" vertical="center"/>
    </xf>
    <xf numFmtId="0" fontId="13" fillId="0" borderId="80" xfId="0" applyFont="1" applyFill="1" applyBorder="1" applyAlignment="1">
      <alignment horizontal="center" vertical="center"/>
    </xf>
    <xf numFmtId="0" fontId="13" fillId="0" borderId="81" xfId="0" applyFont="1" applyFill="1" applyBorder="1" applyAlignment="1">
      <alignment horizontal="center" vertical="center"/>
    </xf>
    <xf numFmtId="0" fontId="13" fillId="0" borderId="81" xfId="0" applyFont="1" applyBorder="1" applyAlignment="1">
      <alignment horizontal="center" vertical="center"/>
    </xf>
    <xf numFmtId="0" fontId="13" fillId="0" borderId="80" xfId="0" applyFont="1" applyBorder="1" applyAlignment="1">
      <alignment horizontal="center" vertical="center"/>
    </xf>
    <xf numFmtId="0" fontId="13" fillId="23" borderId="79" xfId="0" applyFont="1" applyFill="1" applyBorder="1" applyAlignment="1">
      <alignment horizontal="center" vertical="center"/>
    </xf>
    <xf numFmtId="0" fontId="17" fillId="2" borderId="62" xfId="0" applyFont="1" applyFill="1" applyBorder="1" applyAlignment="1">
      <alignment horizontal="center" vertical="center" wrapText="1"/>
    </xf>
    <xf numFmtId="0" fontId="13" fillId="23" borderId="63" xfId="0" applyFont="1" applyFill="1" applyBorder="1" applyAlignment="1">
      <alignment horizontal="center" vertical="center"/>
    </xf>
    <xf numFmtId="0" fontId="13" fillId="0" borderId="12" xfId="0" applyFont="1" applyFill="1" applyBorder="1" applyAlignment="1">
      <alignment horizontal="center" vertical="center"/>
    </xf>
    <xf numFmtId="0" fontId="13" fillId="0" borderId="42" xfId="0" applyFont="1" applyFill="1" applyBorder="1" applyAlignment="1">
      <alignment horizontal="center" vertical="center"/>
    </xf>
    <xf numFmtId="0" fontId="13" fillId="0" borderId="30" xfId="0" applyFont="1" applyFill="1" applyBorder="1" applyAlignment="1">
      <alignment horizontal="center" vertical="center"/>
    </xf>
    <xf numFmtId="0" fontId="3" fillId="0" borderId="18" xfId="0" applyFont="1" applyBorder="1" applyAlignment="1">
      <alignment horizontal="center" vertical="center"/>
    </xf>
    <xf numFmtId="164" fontId="8" fillId="0" borderId="31" xfId="1" applyFont="1" applyBorder="1" applyAlignment="1">
      <alignment vertical="center" wrapText="1"/>
    </xf>
    <xf numFmtId="2" fontId="8" fillId="0" borderId="31" xfId="2" applyNumberFormat="1" applyFont="1" applyBorder="1" applyAlignment="1">
      <alignment horizontal="center" vertical="center" wrapText="1"/>
    </xf>
    <xf numFmtId="18" fontId="9" fillId="0" borderId="31" xfId="0" applyNumberFormat="1" applyFont="1" applyBorder="1" applyAlignment="1">
      <alignment horizontal="center" vertical="center" wrapText="1"/>
    </xf>
    <xf numFmtId="0" fontId="9" fillId="0" borderId="0" xfId="0" applyFont="1" applyBorder="1" applyAlignment="1">
      <alignment vertical="center"/>
    </xf>
    <xf numFmtId="0" fontId="9" fillId="0" borderId="0" xfId="0" applyFont="1" applyBorder="1" applyAlignment="1">
      <alignment horizontal="center" vertical="center"/>
    </xf>
    <xf numFmtId="16" fontId="13" fillId="0" borderId="0" xfId="0" applyNumberFormat="1" applyFont="1" applyBorder="1" applyAlignment="1">
      <alignment horizontal="center" vertical="center"/>
    </xf>
    <xf numFmtId="0" fontId="15" fillId="0" borderId="0" xfId="0" applyFont="1" applyBorder="1" applyAlignment="1">
      <alignment vertical="center"/>
    </xf>
    <xf numFmtId="0" fontId="13" fillId="0" borderId="37" xfId="0" applyFont="1" applyBorder="1" applyAlignment="1">
      <alignment horizontal="center" vertical="center" wrapText="1"/>
    </xf>
    <xf numFmtId="0" fontId="9" fillId="9" borderId="14" xfId="0" applyFont="1" applyFill="1" applyBorder="1" applyAlignment="1">
      <alignment horizontal="center" vertical="center" wrapText="1"/>
    </xf>
    <xf numFmtId="0" fontId="9" fillId="9" borderId="45"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9" fillId="9" borderId="42"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43" xfId="0" applyFont="1" applyFill="1" applyBorder="1" applyAlignment="1">
      <alignment horizontal="center" vertical="center" wrapText="1"/>
    </xf>
    <xf numFmtId="0" fontId="9" fillId="9" borderId="11" xfId="0" applyFont="1" applyFill="1" applyBorder="1" applyAlignment="1">
      <alignment horizontal="center" vertical="center" wrapText="1"/>
    </xf>
    <xf numFmtId="0" fontId="9" fillId="9" borderId="41"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45" xfId="0" applyFont="1" applyFill="1" applyBorder="1" applyAlignment="1">
      <alignment horizontal="center" vertical="center" wrapText="1"/>
    </xf>
    <xf numFmtId="0" fontId="3" fillId="19" borderId="40" xfId="0" applyFont="1" applyFill="1" applyBorder="1" applyAlignment="1">
      <alignment horizontal="center" vertical="center"/>
    </xf>
    <xf numFmtId="0" fontId="3" fillId="19" borderId="39" xfId="0" applyFont="1" applyFill="1" applyBorder="1" applyAlignment="1">
      <alignment horizontal="center" vertical="center"/>
    </xf>
    <xf numFmtId="0" fontId="3" fillId="19" borderId="4" xfId="0" applyFont="1" applyFill="1" applyBorder="1" applyAlignment="1">
      <alignment horizontal="center" vertical="center"/>
    </xf>
    <xf numFmtId="0" fontId="3" fillId="19" borderId="49" xfId="0" applyFont="1" applyFill="1" applyBorder="1" applyAlignment="1">
      <alignment horizontal="center" vertical="center"/>
    </xf>
    <xf numFmtId="0" fontId="3" fillId="9" borderId="32" xfId="0" applyFont="1" applyFill="1" applyBorder="1" applyAlignment="1">
      <alignment horizontal="left" vertical="center"/>
    </xf>
    <xf numFmtId="0" fontId="3" fillId="9" borderId="55" xfId="0" applyFont="1" applyFill="1" applyBorder="1" applyAlignment="1">
      <alignment horizontal="left" vertical="center"/>
    </xf>
    <xf numFmtId="0" fontId="3" fillId="9" borderId="41" xfId="0" applyFont="1" applyFill="1" applyBorder="1" applyAlignment="1">
      <alignment horizontal="left" vertical="center"/>
    </xf>
    <xf numFmtId="0" fontId="3" fillId="9" borderId="56" xfId="0" applyFont="1" applyFill="1" applyBorder="1" applyAlignment="1">
      <alignment horizontal="left" vertical="center"/>
    </xf>
    <xf numFmtId="0" fontId="3" fillId="9" borderId="31" xfId="0" applyFont="1" applyFill="1" applyBorder="1" applyAlignment="1">
      <alignment horizontal="center" vertical="center"/>
    </xf>
    <xf numFmtId="0" fontId="3" fillId="11" borderId="31" xfId="2" applyNumberFormat="1" applyFont="1" applyFill="1" applyBorder="1" applyAlignment="1">
      <alignment horizontal="center" vertical="center"/>
    </xf>
    <xf numFmtId="168" fontId="3" fillId="4" borderId="31" xfId="0" applyNumberFormat="1" applyFont="1" applyFill="1" applyBorder="1" applyAlignment="1">
      <alignment horizontal="center" vertical="center" wrapText="1"/>
    </xf>
    <xf numFmtId="0" fontId="3" fillId="19" borderId="5" xfId="0" applyFont="1" applyFill="1" applyBorder="1" applyAlignment="1">
      <alignment horizontal="center" vertical="center"/>
    </xf>
    <xf numFmtId="10" fontId="3" fillId="11" borderId="31" xfId="2" applyNumberFormat="1" applyFont="1" applyFill="1" applyBorder="1" applyAlignment="1">
      <alignment horizontal="center" vertical="center"/>
    </xf>
    <xf numFmtId="9" fontId="3" fillId="11" borderId="31" xfId="0" applyNumberFormat="1" applyFont="1" applyFill="1" applyBorder="1" applyAlignment="1">
      <alignment horizontal="center" vertical="center"/>
    </xf>
    <xf numFmtId="0" fontId="3" fillId="11" borderId="31" xfId="0" applyNumberFormat="1" applyFont="1" applyFill="1" applyBorder="1" applyAlignment="1">
      <alignment horizontal="center" vertical="center"/>
    </xf>
    <xf numFmtId="0" fontId="3" fillId="9" borderId="51" xfId="0" applyFont="1" applyFill="1" applyBorder="1" applyAlignment="1">
      <alignment horizontal="center" vertical="center"/>
    </xf>
    <xf numFmtId="0" fontId="3" fillId="9" borderId="28" xfId="0" applyFont="1" applyFill="1" applyBorder="1" applyAlignment="1">
      <alignment horizontal="center" vertical="center"/>
    </xf>
    <xf numFmtId="0" fontId="3" fillId="9" borderId="27" xfId="0" applyFont="1" applyFill="1" applyBorder="1" applyAlignment="1">
      <alignment horizontal="center" vertical="center"/>
    </xf>
    <xf numFmtId="0" fontId="3" fillId="11" borderId="51" xfId="0" applyNumberFormat="1" applyFont="1" applyFill="1" applyBorder="1" applyAlignment="1">
      <alignment horizontal="center" vertical="center"/>
    </xf>
    <xf numFmtId="0" fontId="3" fillId="11" borderId="27" xfId="0" applyNumberFormat="1" applyFont="1" applyFill="1" applyBorder="1" applyAlignment="1">
      <alignment horizontal="center" vertical="center"/>
    </xf>
    <xf numFmtId="9" fontId="3" fillId="11" borderId="51" xfId="0" applyNumberFormat="1" applyFont="1" applyFill="1" applyBorder="1" applyAlignment="1">
      <alignment horizontal="center" vertical="center"/>
    </xf>
    <xf numFmtId="164" fontId="3" fillId="4" borderId="31" xfId="1" applyFont="1" applyFill="1" applyBorder="1" applyAlignment="1">
      <alignment horizontal="center" vertical="center"/>
    </xf>
    <xf numFmtId="0" fontId="3" fillId="4" borderId="31" xfId="1" applyNumberFormat="1" applyFont="1" applyFill="1" applyBorder="1" applyAlignment="1">
      <alignment horizontal="center" vertical="center"/>
    </xf>
    <xf numFmtId="10" fontId="3" fillId="11" borderId="31" xfId="0" applyNumberFormat="1" applyFont="1" applyFill="1" applyBorder="1" applyAlignment="1">
      <alignment horizontal="center" vertical="center"/>
    </xf>
    <xf numFmtId="0" fontId="3" fillId="11" borderId="31" xfId="0" applyFont="1" applyFill="1" applyBorder="1" applyAlignment="1">
      <alignment horizontal="center" vertical="center"/>
    </xf>
    <xf numFmtId="10" fontId="3" fillId="4" borderId="51" xfId="1" applyNumberFormat="1" applyFont="1" applyFill="1" applyBorder="1" applyAlignment="1">
      <alignment horizontal="center" vertical="center"/>
    </xf>
    <xf numFmtId="10" fontId="3" fillId="4" borderId="27" xfId="1" applyNumberFormat="1" applyFont="1" applyFill="1" applyBorder="1" applyAlignment="1">
      <alignment horizontal="center" vertical="center"/>
    </xf>
    <xf numFmtId="10" fontId="3" fillId="4" borderId="31" xfId="2" applyNumberFormat="1" applyFont="1" applyFill="1" applyBorder="1" applyAlignment="1">
      <alignment horizontal="center" vertical="center"/>
    </xf>
    <xf numFmtId="43" fontId="3" fillId="11" borderId="31" xfId="0" applyNumberFormat="1" applyFont="1" applyFill="1" applyBorder="1" applyAlignment="1">
      <alignment horizontal="center" vertical="center"/>
    </xf>
    <xf numFmtId="164" fontId="3" fillId="11" borderId="31" xfId="1" applyFont="1" applyFill="1" applyBorder="1" applyAlignment="1">
      <alignment horizontal="center" vertical="center"/>
    </xf>
    <xf numFmtId="10" fontId="3" fillId="11" borderId="31" xfId="1" applyNumberFormat="1" applyFont="1" applyFill="1" applyBorder="1" applyAlignment="1">
      <alignment horizontal="center" vertical="center"/>
    </xf>
    <xf numFmtId="0" fontId="13" fillId="0" borderId="15" xfId="0" applyFont="1" applyFill="1" applyBorder="1" applyAlignment="1">
      <alignment horizontal="center" vertical="center"/>
    </xf>
    <xf numFmtId="0" fontId="13" fillId="0" borderId="34" xfId="0" applyFont="1" applyFill="1" applyBorder="1" applyAlignment="1">
      <alignment horizontal="center" vertical="center"/>
    </xf>
    <xf numFmtId="0" fontId="13" fillId="3" borderId="54" xfId="0" applyFont="1" applyFill="1" applyBorder="1" applyAlignment="1">
      <alignment horizontal="center" vertical="center" wrapText="1"/>
    </xf>
    <xf numFmtId="0" fontId="13" fillId="3" borderId="39" xfId="0" applyFont="1" applyFill="1" applyBorder="1" applyAlignment="1">
      <alignment horizontal="center" vertical="center" wrapText="1"/>
    </xf>
    <xf numFmtId="0" fontId="13" fillId="0" borderId="63"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53"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18" xfId="0" applyFont="1" applyFill="1" applyBorder="1" applyAlignment="1">
      <alignment horizontal="center" vertical="center"/>
    </xf>
    <xf numFmtId="0" fontId="13" fillId="0" borderId="54" xfId="0" applyFont="1" applyBorder="1" applyAlignment="1">
      <alignment horizontal="center" vertical="center" wrapText="1"/>
    </xf>
    <xf numFmtId="0" fontId="13" fillId="0" borderId="54" xfId="0" applyFont="1" applyFill="1" applyBorder="1" applyAlignment="1">
      <alignment horizontal="center" vertical="center" wrapText="1"/>
    </xf>
    <xf numFmtId="0" fontId="13" fillId="0" borderId="39" xfId="0" applyFont="1" applyFill="1" applyBorder="1" applyAlignment="1">
      <alignment horizontal="center" vertical="center" wrapText="1"/>
    </xf>
    <xf numFmtId="0" fontId="13" fillId="0" borderId="63" xfId="0" applyFont="1" applyFill="1" applyBorder="1" applyAlignment="1">
      <alignment horizontal="center" vertical="center" wrapText="1"/>
    </xf>
    <xf numFmtId="0" fontId="13" fillId="0" borderId="61"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58" xfId="0" applyFont="1" applyBorder="1" applyAlignment="1">
      <alignment horizontal="center" vertical="center" wrapText="1"/>
    </xf>
    <xf numFmtId="0" fontId="13" fillId="0" borderId="52" xfId="0" applyFont="1" applyBorder="1" applyAlignment="1">
      <alignment horizontal="center" vertical="center" wrapText="1"/>
    </xf>
    <xf numFmtId="0" fontId="17" fillId="2" borderId="53" xfId="0" applyFont="1" applyFill="1" applyBorder="1" applyAlignment="1">
      <alignment horizontal="center" vertical="center" wrapText="1"/>
    </xf>
    <xf numFmtId="0" fontId="17" fillId="2" borderId="38" xfId="0" applyFont="1" applyFill="1" applyBorder="1" applyAlignment="1">
      <alignment horizontal="center" vertical="center" wrapText="1"/>
    </xf>
    <xf numFmtId="0" fontId="17" fillId="2" borderId="54" xfId="0" applyFont="1" applyFill="1" applyBorder="1" applyAlignment="1">
      <alignment horizontal="center" vertical="center" wrapText="1"/>
    </xf>
    <xf numFmtId="0" fontId="17" fillId="2" borderId="39"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7" fillId="2" borderId="34" xfId="0" applyFont="1" applyFill="1" applyBorder="1" applyAlignment="1">
      <alignment horizontal="center" vertical="center" wrapText="1"/>
    </xf>
    <xf numFmtId="0" fontId="17" fillId="2" borderId="65" xfId="0" applyFont="1" applyFill="1" applyBorder="1" applyAlignment="1">
      <alignment horizontal="center" vertical="center" wrapText="1"/>
    </xf>
    <xf numFmtId="0" fontId="17" fillId="2" borderId="50"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66" xfId="0" applyFont="1" applyFill="1" applyBorder="1" applyAlignment="1">
      <alignment horizontal="center" vertical="center" wrapText="1"/>
    </xf>
    <xf numFmtId="0" fontId="17" fillId="2" borderId="72" xfId="0" applyFont="1" applyFill="1" applyBorder="1" applyAlignment="1">
      <alignment horizontal="center" vertical="center" wrapText="1"/>
    </xf>
    <xf numFmtId="0" fontId="17" fillId="2" borderId="73" xfId="0" applyFont="1" applyFill="1" applyBorder="1" applyAlignment="1">
      <alignment horizontal="center" vertical="center" wrapText="1"/>
    </xf>
    <xf numFmtId="0" fontId="17" fillId="2" borderId="52" xfId="0" applyFont="1" applyFill="1" applyBorder="1" applyAlignment="1">
      <alignment horizontal="center" vertical="center" wrapText="1"/>
    </xf>
    <xf numFmtId="0" fontId="17" fillId="2" borderId="37" xfId="0" applyFont="1" applyFill="1" applyBorder="1" applyAlignment="1">
      <alignment horizontal="center" vertical="center" wrapText="1"/>
    </xf>
    <xf numFmtId="0" fontId="17" fillId="2" borderId="78" xfId="0" applyFont="1" applyFill="1" applyBorder="1" applyAlignment="1">
      <alignment horizontal="center" vertical="center" wrapText="1"/>
    </xf>
    <xf numFmtId="0" fontId="17" fillId="2" borderId="64" xfId="0" applyFont="1" applyFill="1" applyBorder="1" applyAlignment="1">
      <alignment horizontal="center" vertical="center" wrapText="1"/>
    </xf>
    <xf numFmtId="0" fontId="2" fillId="7" borderId="31" xfId="0" applyFont="1" applyFill="1" applyBorder="1" applyAlignment="1">
      <alignment horizontal="center" vertical="center" wrapText="1"/>
    </xf>
    <xf numFmtId="0" fontId="2" fillId="7" borderId="31" xfId="0" applyFont="1" applyFill="1" applyBorder="1" applyAlignment="1">
      <alignment horizontal="center" vertical="center"/>
    </xf>
    <xf numFmtId="0" fontId="3" fillId="9" borderId="31" xfId="0" applyNumberFormat="1" applyFont="1" applyFill="1" applyBorder="1" applyAlignment="1">
      <alignment horizontal="center" vertical="center" wrapText="1"/>
    </xf>
    <xf numFmtId="0" fontId="3" fillId="3" borderId="31" xfId="0" applyNumberFormat="1" applyFont="1" applyFill="1" applyBorder="1" applyAlignment="1">
      <alignment horizontal="center" vertical="center" wrapText="1"/>
    </xf>
    <xf numFmtId="0" fontId="2" fillId="8" borderId="31" xfId="1" applyNumberFormat="1" applyFont="1" applyFill="1" applyBorder="1" applyAlignment="1">
      <alignment horizontal="center" vertical="center" wrapText="1"/>
    </xf>
    <xf numFmtId="0" fontId="2" fillId="8" borderId="31" xfId="0" applyNumberFormat="1" applyFont="1" applyFill="1" applyBorder="1" applyAlignment="1">
      <alignment horizontal="center" vertical="center" wrapText="1"/>
    </xf>
    <xf numFmtId="0" fontId="3" fillId="9" borderId="31" xfId="1" applyNumberFormat="1" applyFont="1" applyFill="1" applyBorder="1" applyAlignment="1">
      <alignment horizontal="center" vertical="center" wrapText="1"/>
    </xf>
    <xf numFmtId="0" fontId="3" fillId="9" borderId="31" xfId="0" applyFont="1" applyFill="1" applyBorder="1" applyAlignment="1">
      <alignment horizontal="center" vertical="center" wrapText="1"/>
    </xf>
    <xf numFmtId="165" fontId="3" fillId="9" borderId="31" xfId="1" applyNumberFormat="1" applyFont="1" applyFill="1" applyBorder="1" applyAlignment="1">
      <alignment horizontal="center" vertical="center" wrapText="1"/>
    </xf>
    <xf numFmtId="171" fontId="3" fillId="9" borderId="31" xfId="1" applyNumberFormat="1" applyFont="1" applyFill="1" applyBorder="1" applyAlignment="1">
      <alignment horizontal="center" vertical="center" wrapText="1"/>
    </xf>
    <xf numFmtId="0" fontId="3" fillId="3" borderId="31" xfId="0" applyFont="1" applyFill="1" applyBorder="1" applyAlignment="1">
      <alignment horizontal="center" vertical="center" wrapText="1"/>
    </xf>
    <xf numFmtId="165" fontId="3" fillId="3" borderId="31" xfId="1" applyNumberFormat="1" applyFont="1" applyFill="1" applyBorder="1" applyAlignment="1">
      <alignment horizontal="center" vertical="center" wrapText="1"/>
    </xf>
    <xf numFmtId="0" fontId="3" fillId="17" borderId="31" xfId="1" applyNumberFormat="1" applyFont="1" applyFill="1" applyBorder="1" applyAlignment="1">
      <alignment horizontal="center" vertical="center" wrapText="1"/>
    </xf>
    <xf numFmtId="0" fontId="10" fillId="9" borderId="31" xfId="1" applyNumberFormat="1" applyFont="1" applyFill="1" applyBorder="1" applyAlignment="1">
      <alignment horizontal="center" vertical="center" wrapText="1"/>
    </xf>
    <xf numFmtId="167" fontId="3" fillId="5" borderId="31" xfId="0" applyNumberFormat="1" applyFont="1" applyFill="1" applyBorder="1" applyAlignment="1">
      <alignment horizontal="center" vertical="center" wrapText="1"/>
    </xf>
    <xf numFmtId="0" fontId="2" fillId="8" borderId="31" xfId="0" applyFont="1" applyFill="1" applyBorder="1" applyAlignment="1">
      <alignment horizontal="center" vertical="center"/>
    </xf>
    <xf numFmtId="0" fontId="3" fillId="18" borderId="31" xfId="0" applyFont="1" applyFill="1" applyBorder="1" applyAlignment="1">
      <alignment horizontal="center" vertical="center"/>
    </xf>
    <xf numFmtId="0" fontId="3" fillId="5" borderId="8" xfId="0" applyFont="1" applyFill="1" applyBorder="1" applyAlignment="1">
      <alignment horizontal="left" vertical="center"/>
    </xf>
    <xf numFmtId="0" fontId="3" fillId="5" borderId="9" xfId="0" applyFont="1" applyFill="1" applyBorder="1" applyAlignment="1">
      <alignment horizontal="left" vertical="center"/>
    </xf>
    <xf numFmtId="0" fontId="3" fillId="5" borderId="47" xfId="0" applyFont="1" applyFill="1" applyBorder="1" applyAlignment="1">
      <alignment horizontal="left" vertical="center"/>
    </xf>
    <xf numFmtId="0" fontId="3" fillId="5" borderId="44" xfId="0" applyFont="1" applyFill="1" applyBorder="1" applyAlignment="1">
      <alignment horizontal="left" vertical="center"/>
    </xf>
    <xf numFmtId="0" fontId="3" fillId="11" borderId="22" xfId="0" applyFont="1" applyFill="1" applyBorder="1" applyAlignment="1">
      <alignment horizontal="center" vertical="center" wrapText="1"/>
    </xf>
    <xf numFmtId="0" fontId="3" fillId="11" borderId="38"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3" borderId="38"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3" fillId="10" borderId="39" xfId="0" applyFont="1" applyFill="1" applyBorder="1" applyAlignment="1">
      <alignment horizontal="center" vertical="center" wrapText="1"/>
    </xf>
    <xf numFmtId="0" fontId="3" fillId="11" borderId="21" xfId="0" applyFont="1" applyFill="1" applyBorder="1" applyAlignment="1">
      <alignment horizontal="center" vertical="center" wrapText="1"/>
    </xf>
    <xf numFmtId="0" fontId="3" fillId="11" borderId="37" xfId="0" applyFont="1" applyFill="1" applyBorder="1" applyAlignment="1">
      <alignment horizontal="center" vertical="center" wrapText="1"/>
    </xf>
    <xf numFmtId="0" fontId="3" fillId="11" borderId="23" xfId="0" applyFont="1" applyFill="1" applyBorder="1" applyAlignment="1">
      <alignment horizontal="center" vertical="center" wrapText="1"/>
    </xf>
    <xf numFmtId="0" fontId="3" fillId="11" borderId="39" xfId="0" applyFont="1" applyFill="1" applyBorder="1" applyAlignment="1">
      <alignment horizontal="center" vertical="center" wrapText="1"/>
    </xf>
    <xf numFmtId="0" fontId="3" fillId="10" borderId="24" xfId="0" applyFont="1" applyFill="1" applyBorder="1" applyAlignment="1">
      <alignment horizontal="center" vertical="center" wrapText="1"/>
    </xf>
    <xf numFmtId="0" fontId="3" fillId="10" borderId="40" xfId="0" applyFont="1" applyFill="1" applyBorder="1" applyAlignment="1">
      <alignment horizontal="center" vertical="center" wrapText="1"/>
    </xf>
    <xf numFmtId="0" fontId="3" fillId="10" borderId="22" xfId="0" applyFont="1" applyFill="1" applyBorder="1" applyAlignment="1">
      <alignment horizontal="center" vertical="center" wrapText="1"/>
    </xf>
    <xf numFmtId="0" fontId="3" fillId="10" borderId="38"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3" fillId="3" borderId="39" xfId="0" applyFont="1" applyFill="1" applyBorder="1" applyAlignment="1">
      <alignment horizontal="center" vertical="center" wrapText="1"/>
    </xf>
    <xf numFmtId="0" fontId="3" fillId="10" borderId="21" xfId="0" applyFont="1" applyFill="1" applyBorder="1" applyAlignment="1">
      <alignment horizontal="center" vertical="center" wrapText="1"/>
    </xf>
    <xf numFmtId="0" fontId="3" fillId="10" borderId="37" xfId="0" applyFont="1" applyFill="1" applyBorder="1" applyAlignment="1">
      <alignment horizontal="center" vertical="center" wrapText="1"/>
    </xf>
    <xf numFmtId="0" fontId="3" fillId="11" borderId="24" xfId="0" applyFont="1" applyFill="1" applyBorder="1" applyAlignment="1">
      <alignment horizontal="center" vertical="center" wrapText="1"/>
    </xf>
    <xf numFmtId="0" fontId="3" fillId="11" borderId="40"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3" fillId="9" borderId="0"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34"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3" fillId="5" borderId="18" xfId="0" applyFont="1" applyFill="1" applyBorder="1" applyAlignment="1">
      <alignment horizontal="center" vertical="center"/>
    </xf>
    <xf numFmtId="0" fontId="3" fillId="5" borderId="19" xfId="0" applyFont="1" applyFill="1" applyBorder="1" applyAlignment="1">
      <alignment horizontal="center" vertical="center"/>
    </xf>
    <xf numFmtId="0" fontId="3" fillId="4" borderId="21" xfId="0" applyFont="1" applyFill="1" applyBorder="1" applyAlignment="1">
      <alignment horizontal="center" vertical="center" wrapText="1"/>
    </xf>
    <xf numFmtId="0" fontId="3" fillId="4" borderId="37" xfId="0" applyFont="1" applyFill="1" applyBorder="1" applyAlignment="1">
      <alignment horizontal="center" vertical="center" wrapText="1"/>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2" fillId="6" borderId="12"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4" xfId="0" applyFont="1" applyFill="1" applyBorder="1" applyAlignment="1">
      <alignment horizontal="center" vertical="center"/>
    </xf>
    <xf numFmtId="0" fontId="2" fillId="7" borderId="12" xfId="0" applyFont="1" applyFill="1" applyBorder="1" applyAlignment="1">
      <alignment horizontal="center" vertical="center"/>
    </xf>
    <xf numFmtId="0" fontId="2" fillId="6" borderId="8"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10" xfId="0" applyFont="1" applyFill="1" applyBorder="1" applyAlignment="1">
      <alignment horizontal="center"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3" fillId="4" borderId="7" xfId="0" applyFont="1" applyFill="1" applyBorder="1" applyAlignment="1">
      <alignment horizontal="center" vertical="center" wrapText="1"/>
    </xf>
    <xf numFmtId="0" fontId="3" fillId="4" borderId="20" xfId="0" applyFont="1" applyFill="1" applyBorder="1" applyAlignment="1">
      <alignment horizontal="center" vertical="center" wrapText="1"/>
    </xf>
    <xf numFmtId="0" fontId="3" fillId="4" borderId="36" xfId="0"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3" fillId="4" borderId="24" xfId="0" applyFont="1" applyFill="1" applyBorder="1" applyAlignment="1">
      <alignment horizontal="center" vertical="center" wrapText="1"/>
    </xf>
    <xf numFmtId="0" fontId="3" fillId="4" borderId="40" xfId="0" applyFont="1" applyFill="1" applyBorder="1" applyAlignment="1">
      <alignment horizontal="center" vertical="center" wrapText="1"/>
    </xf>
    <xf numFmtId="0" fontId="2" fillId="7" borderId="8" xfId="0" applyFont="1" applyFill="1" applyBorder="1" applyAlignment="1">
      <alignment horizontal="center" vertical="center"/>
    </xf>
    <xf numFmtId="0" fontId="2" fillId="7" borderId="9" xfId="0" applyFont="1" applyFill="1" applyBorder="1" applyAlignment="1">
      <alignment horizontal="center" vertical="center"/>
    </xf>
    <xf numFmtId="0" fontId="2" fillId="7" borderId="10" xfId="0" applyFont="1" applyFill="1" applyBorder="1" applyAlignment="1">
      <alignment horizontal="center" vertical="center"/>
    </xf>
    <xf numFmtId="0" fontId="2" fillId="6" borderId="11" xfId="0" applyFont="1" applyFill="1" applyBorder="1" applyAlignment="1">
      <alignment horizontal="center" vertical="center"/>
    </xf>
  </cellXfs>
  <cellStyles count="3">
    <cellStyle name="Comma" xfId="1" builtinId="3"/>
    <cellStyle name="Normal" xfId="0" builtinId="0"/>
    <cellStyle name="Percent" xfId="2" builtinId="5"/>
  </cellStyles>
  <dxfs count="34">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1"/>
      </font>
      <fill>
        <patternFill>
          <bgColor rgb="FFFF0000"/>
        </patternFill>
      </fill>
    </dxf>
    <dxf>
      <font>
        <b/>
        <i val="0"/>
        <color theme="1"/>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0"/>
      </font>
      <fill>
        <patternFill>
          <bgColor rgb="FFFF0000"/>
        </patternFill>
      </fill>
    </dxf>
    <dxf>
      <font>
        <b/>
        <i val="0"/>
        <color theme="1"/>
      </font>
      <fill>
        <patternFill>
          <bgColor rgb="FFFF00FF"/>
        </patternFill>
      </fill>
    </dxf>
    <dxf>
      <font>
        <b/>
        <i val="0"/>
        <color theme="0"/>
      </font>
      <fill>
        <patternFill>
          <bgColor rgb="FF0000CC"/>
        </patternFill>
      </fill>
    </dxf>
    <dxf>
      <font>
        <b/>
        <i val="0"/>
        <color theme="0"/>
      </font>
      <fill>
        <patternFill>
          <bgColor rgb="FFFF0000"/>
        </patternFill>
      </fill>
    </dxf>
    <dxf>
      <font>
        <b/>
        <i val="0"/>
        <color theme="1"/>
      </font>
      <fill>
        <patternFill>
          <bgColor rgb="FFFF00FF"/>
        </patternFill>
      </fill>
    </dxf>
    <dxf>
      <font>
        <b/>
        <i val="0"/>
        <color theme="0"/>
      </font>
      <fill>
        <patternFill>
          <bgColor rgb="FF0000CC"/>
        </patternFill>
      </fill>
    </dxf>
    <dxf>
      <font>
        <b/>
        <i val="0"/>
        <color theme="0"/>
      </font>
      <fill>
        <patternFill>
          <bgColor rgb="FFFF0000"/>
        </patternFill>
      </fill>
    </dxf>
    <dxf>
      <font>
        <b/>
        <i val="0"/>
        <color theme="1"/>
      </font>
      <fill>
        <patternFill>
          <bgColor rgb="FFFF00FF"/>
        </patternFill>
      </fill>
    </dxf>
    <dxf>
      <font>
        <b/>
        <i val="0"/>
        <color theme="0"/>
      </font>
      <fill>
        <patternFill>
          <bgColor rgb="FF0000CC"/>
        </patternFill>
      </fill>
    </dxf>
    <dxf>
      <font>
        <b/>
        <i val="0"/>
        <color theme="0"/>
      </font>
      <fill>
        <patternFill>
          <bgColor rgb="FFFF0000"/>
        </patternFill>
      </fill>
    </dxf>
    <dxf>
      <font>
        <b/>
        <i val="0"/>
        <color theme="0"/>
      </font>
      <fill>
        <patternFill>
          <bgColor rgb="FFFF0000"/>
        </patternFill>
      </fill>
    </dxf>
    <dxf>
      <font>
        <b/>
        <i val="0"/>
        <color theme="0"/>
      </font>
      <fill>
        <patternFill>
          <bgColor rgb="FF0000CC"/>
        </patternFill>
      </fill>
    </dxf>
    <dxf>
      <font>
        <b/>
        <i val="0"/>
        <color theme="1"/>
      </font>
      <fill>
        <patternFill>
          <bgColor rgb="FF00FFFF"/>
        </patternFill>
      </fill>
    </dxf>
    <dxf>
      <font>
        <b/>
        <i val="0"/>
        <color theme="0"/>
      </font>
      <fill>
        <patternFill>
          <bgColor theme="5" tint="-0.499984740745262"/>
        </patternFill>
      </fill>
    </dxf>
    <dxf>
      <font>
        <b/>
        <i val="0"/>
        <color theme="0"/>
      </font>
      <fill>
        <patternFill>
          <bgColor rgb="FFFF0000"/>
        </patternFill>
      </fill>
    </dxf>
    <dxf>
      <font>
        <b/>
        <i val="0"/>
        <color theme="0"/>
      </font>
      <fill>
        <patternFill>
          <bgColor rgb="FF0000CC"/>
        </patternFill>
      </fill>
    </dxf>
    <dxf>
      <font>
        <b/>
        <i val="0"/>
        <color theme="1"/>
      </font>
      <fill>
        <patternFill>
          <bgColor rgb="FF00FFFF"/>
        </patternFill>
      </fill>
    </dxf>
    <dxf>
      <font>
        <b/>
        <i val="0"/>
        <color theme="1"/>
      </font>
      <fill>
        <patternFill>
          <bgColor rgb="FF00FFFF"/>
        </patternFill>
      </fill>
    </dxf>
    <dxf>
      <font>
        <b/>
        <i val="0"/>
        <color theme="0"/>
      </font>
      <fill>
        <patternFill>
          <bgColor rgb="FFFF0066"/>
        </patternFill>
      </fill>
    </dxf>
    <dxf>
      <font>
        <b/>
        <i val="0"/>
        <color theme="0"/>
      </font>
      <fill>
        <patternFill>
          <bgColor rgb="FF0000CC"/>
        </patternFill>
      </fill>
    </dxf>
    <dxf>
      <font>
        <b/>
        <i val="0"/>
        <color theme="0"/>
      </font>
      <fill>
        <patternFill>
          <bgColor rgb="FFFF0000"/>
        </patternFill>
      </fill>
    </dxf>
  </dxfs>
  <tableStyles count="0" defaultTableStyle="TableStyleMedium2" defaultPivotStyle="PivotStyleLight16"/>
  <colors>
    <mruColors>
      <color rgb="FF00FF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ankaj\Trading%20Files\03.%20Master%20Data%20-%20NO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ankaj\Trading%20Files\04.%20Master%20Data%20-%20Margin%20Requiremen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Applications\AmiBroker%20Data%20(Shubhalabha%20EOD%20Pro)\20.%20All%20Scrips\BANKNIFTY-I.csv"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pplications\AmiBroker%20Data%20(Shubhalabha%20EOD%20Pro)\20.%20All%20Scrips\NIFTY-I.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W"/>
      <sheetName val="Sheet3"/>
    </sheetNames>
    <sheetDataSet>
      <sheetData sheetId="0">
        <row r="1">
          <cell r="A1" t="str">
            <v>NSE NOW Real Time Data Feed :-</v>
          </cell>
          <cell r="F1"/>
          <cell r="G1"/>
        </row>
        <row r="2">
          <cell r="A2" t="str">
            <v>Trading Symbol</v>
          </cell>
          <cell r="B2" t="str">
            <v>Best Buy Rate</v>
          </cell>
          <cell r="C2" t="str">
            <v>Last Traded Price</v>
          </cell>
          <cell r="D2" t="str">
            <v>Best Sell Rate</v>
          </cell>
          <cell r="E2" t="str">
            <v>Net Change</v>
          </cell>
          <cell r="F2" t="str">
            <v>Percentage Change</v>
          </cell>
          <cell r="G2" t="str">
            <v>ATP</v>
          </cell>
          <cell r="H2" t="str">
            <v>Symbol</v>
          </cell>
          <cell r="I2" t="str">
            <v>Open</v>
          </cell>
          <cell r="J2" t="str">
            <v>High Price</v>
          </cell>
          <cell r="K2" t="str">
            <v>Low Price</v>
          </cell>
          <cell r="L2" t="str">
            <v>Prev Close Price</v>
          </cell>
          <cell r="M2" t="str">
            <v>Min Lot Qty</v>
          </cell>
          <cell r="N2" t="str">
            <v>Open Interest</v>
          </cell>
          <cell r="O2" t="str">
            <v>Volume</v>
          </cell>
        </row>
        <row r="3">
          <cell r="A3"/>
          <cell r="B3"/>
          <cell r="C3"/>
          <cell r="D3"/>
          <cell r="E3"/>
          <cell r="F3"/>
          <cell r="G3"/>
          <cell r="H3"/>
          <cell r="I3"/>
          <cell r="J3"/>
          <cell r="K3"/>
          <cell r="L3"/>
          <cell r="M3"/>
          <cell r="N3"/>
          <cell r="O3"/>
        </row>
        <row r="4">
          <cell r="A4" t="str">
            <v>Indices &amp; Currency :</v>
          </cell>
          <cell r="B4"/>
          <cell r="C4"/>
          <cell r="D4"/>
          <cell r="E4"/>
          <cell r="F4"/>
          <cell r="G4"/>
          <cell r="H4"/>
          <cell r="I4"/>
          <cell r="J4"/>
          <cell r="K4"/>
          <cell r="L4"/>
          <cell r="M4"/>
          <cell r="N4"/>
          <cell r="O4"/>
        </row>
        <row r="5">
          <cell r="A5" t="str">
            <v>Trading Symbol</v>
          </cell>
          <cell r="B5" t="str">
            <v>Best Buy Rate</v>
          </cell>
          <cell r="C5" t="str">
            <v>Last Traded Price</v>
          </cell>
          <cell r="D5" t="str">
            <v>Best Sell Rate</v>
          </cell>
          <cell r="E5" t="str">
            <v>Net Change</v>
          </cell>
          <cell r="F5" t="str">
            <v>Percentage Change</v>
          </cell>
          <cell r="G5" t="str">
            <v>ATP</v>
          </cell>
          <cell r="H5" t="str">
            <v>Symbol</v>
          </cell>
          <cell r="I5" t="str">
            <v>Open</v>
          </cell>
          <cell r="J5" t="str">
            <v>High Price</v>
          </cell>
          <cell r="K5" t="str">
            <v>Low Price</v>
          </cell>
          <cell r="L5" t="str">
            <v>Prev Close Price</v>
          </cell>
          <cell r="M5" t="str">
            <v>Min Lot Qty</v>
          </cell>
          <cell r="N5" t="str">
            <v>Open Interest</v>
          </cell>
          <cell r="O5" t="str">
            <v>Volume</v>
          </cell>
        </row>
        <row r="6">
          <cell r="A6" t="str">
            <v>NIFTY16JUNFUT</v>
          </cell>
          <cell r="B6">
            <v>8183.2</v>
          </cell>
          <cell r="C6">
            <v>8183.2</v>
          </cell>
          <cell r="D6">
            <v>8183.4</v>
          </cell>
          <cell r="E6">
            <v>-41.9</v>
          </cell>
          <cell r="F6">
            <v>-0.51</v>
          </cell>
          <cell r="G6">
            <v>8209.34</v>
          </cell>
          <cell r="H6" t="str">
            <v>NIFTY</v>
          </cell>
          <cell r="I6">
            <v>8226.85</v>
          </cell>
          <cell r="J6">
            <v>8253.25</v>
          </cell>
          <cell r="K6">
            <v>8154</v>
          </cell>
          <cell r="L6">
            <v>8225.1</v>
          </cell>
          <cell r="M6">
            <v>75</v>
          </cell>
          <cell r="N6">
            <v>17168700</v>
          </cell>
          <cell r="O6">
            <v>7856325</v>
          </cell>
        </row>
        <row r="7">
          <cell r="A7" t="str">
            <v>NIFTY16JULFUT</v>
          </cell>
          <cell r="B7">
            <v>8215</v>
          </cell>
          <cell r="C7">
            <v>8216.7999999999993</v>
          </cell>
          <cell r="D7">
            <v>8215.9500000000007</v>
          </cell>
          <cell r="E7">
            <v>-37</v>
          </cell>
          <cell r="F7">
            <v>-0.45</v>
          </cell>
          <cell r="G7">
            <v>8240.07</v>
          </cell>
          <cell r="H7" t="str">
            <v>NIFTY</v>
          </cell>
          <cell r="I7">
            <v>8258.0499999999993</v>
          </cell>
          <cell r="J7">
            <v>8280</v>
          </cell>
          <cell r="K7">
            <v>8186.1</v>
          </cell>
          <cell r="L7">
            <v>8253.7999999999993</v>
          </cell>
          <cell r="M7">
            <v>75</v>
          </cell>
          <cell r="N7">
            <v>2252625</v>
          </cell>
          <cell r="O7">
            <v>575025</v>
          </cell>
        </row>
        <row r="8">
          <cell r="A8" t="str">
            <v>BANKNIFTY16JUNFUT</v>
          </cell>
          <cell r="B8">
            <v>17551</v>
          </cell>
          <cell r="C8">
            <v>17551</v>
          </cell>
          <cell r="D8">
            <v>17553.3</v>
          </cell>
          <cell r="E8">
            <v>-72.099999999999994</v>
          </cell>
          <cell r="F8">
            <v>-0.41</v>
          </cell>
          <cell r="G8">
            <v>17640.38</v>
          </cell>
          <cell r="H8" t="str">
            <v>BANKNIFTY</v>
          </cell>
          <cell r="I8">
            <v>17600</v>
          </cell>
          <cell r="J8">
            <v>17765.650000000001</v>
          </cell>
          <cell r="K8">
            <v>17500</v>
          </cell>
          <cell r="L8">
            <v>17623.099999999999</v>
          </cell>
          <cell r="M8">
            <v>30</v>
          </cell>
          <cell r="N8">
            <v>1967310</v>
          </cell>
          <cell r="O8">
            <v>2286630</v>
          </cell>
        </row>
        <row r="9">
          <cell r="A9" t="str">
            <v>BANKNIFTY16JULFUT</v>
          </cell>
          <cell r="B9">
            <v>17635</v>
          </cell>
          <cell r="C9">
            <v>17630.95</v>
          </cell>
          <cell r="D9">
            <v>17636.95</v>
          </cell>
          <cell r="E9">
            <v>-68.849999999999994</v>
          </cell>
          <cell r="F9">
            <v>-0.39</v>
          </cell>
          <cell r="G9">
            <v>17716.650000000001</v>
          </cell>
          <cell r="H9" t="str">
            <v>BANKNIFTY</v>
          </cell>
          <cell r="I9">
            <v>17667.05</v>
          </cell>
          <cell r="J9">
            <v>17831</v>
          </cell>
          <cell r="K9">
            <v>17572.900000000001</v>
          </cell>
          <cell r="L9">
            <v>17699.8</v>
          </cell>
          <cell r="M9">
            <v>40</v>
          </cell>
          <cell r="N9">
            <v>174360</v>
          </cell>
          <cell r="O9">
            <v>104280</v>
          </cell>
        </row>
        <row r="10">
          <cell r="A10" t="str">
            <v>ICICIBANK16JUNFUT</v>
          </cell>
          <cell r="B10">
            <v>237.8</v>
          </cell>
          <cell r="C10">
            <v>237.8</v>
          </cell>
          <cell r="D10">
            <v>237.9</v>
          </cell>
          <cell r="E10">
            <v>-1.05</v>
          </cell>
          <cell r="F10">
            <v>-0.44</v>
          </cell>
          <cell r="G10">
            <v>240.43</v>
          </cell>
          <cell r="H10" t="str">
            <v>ICICIBANK</v>
          </cell>
          <cell r="I10">
            <v>237.9</v>
          </cell>
          <cell r="J10">
            <v>243.15</v>
          </cell>
          <cell r="K10">
            <v>236.45</v>
          </cell>
          <cell r="L10">
            <v>238.85</v>
          </cell>
          <cell r="M10">
            <v>1700</v>
          </cell>
          <cell r="N10">
            <v>49498900</v>
          </cell>
          <cell r="O10">
            <v>18705100</v>
          </cell>
        </row>
        <row r="11">
          <cell r="A11" t="str">
            <v>ICICIBANK16JULFUT</v>
          </cell>
          <cell r="B11">
            <v>239.15</v>
          </cell>
          <cell r="C11">
            <v>239.1</v>
          </cell>
          <cell r="D11">
            <v>239.35</v>
          </cell>
          <cell r="E11">
            <v>-1.1000000000000001</v>
          </cell>
          <cell r="F11">
            <v>-0.46</v>
          </cell>
          <cell r="G11">
            <v>241.88</v>
          </cell>
          <cell r="H11" t="str">
            <v>ICICIBANK</v>
          </cell>
          <cell r="I11">
            <v>240.85</v>
          </cell>
          <cell r="J11">
            <v>244.45</v>
          </cell>
          <cell r="K11">
            <v>238.05</v>
          </cell>
          <cell r="L11">
            <v>240.2</v>
          </cell>
          <cell r="M11">
            <v>2500</v>
          </cell>
          <cell r="N11">
            <v>3947500</v>
          </cell>
          <cell r="O11">
            <v>1362500</v>
          </cell>
        </row>
        <row r="12">
          <cell r="A12" t="str">
            <v>EURINR16JULFUT</v>
          </cell>
          <cell r="B12">
            <v>76.682500000000005</v>
          </cell>
          <cell r="C12">
            <v>76.694999999999993</v>
          </cell>
          <cell r="D12">
            <v>76.702500000000001</v>
          </cell>
          <cell r="E12">
            <v>-0.26250000000000001</v>
          </cell>
          <cell r="F12">
            <v>-0.34</v>
          </cell>
          <cell r="G12">
            <v>76.674999999999997</v>
          </cell>
          <cell r="H12" t="str">
            <v>EURINR</v>
          </cell>
          <cell r="I12">
            <v>76.709999999999994</v>
          </cell>
          <cell r="J12">
            <v>76.737499999999997</v>
          </cell>
          <cell r="K12">
            <v>76.572500000000005</v>
          </cell>
          <cell r="L12">
            <v>76.957499999999996</v>
          </cell>
          <cell r="M12">
            <v>1</v>
          </cell>
          <cell r="N12">
            <v>16649</v>
          </cell>
          <cell r="O12">
            <v>4903</v>
          </cell>
        </row>
        <row r="13">
          <cell r="A13" t="str">
            <v>EURINR16AUGFUT</v>
          </cell>
          <cell r="B13">
            <v>77.072500000000005</v>
          </cell>
          <cell r="C13">
            <v>77.055000000000007</v>
          </cell>
          <cell r="D13">
            <v>77.147499999999994</v>
          </cell>
          <cell r="E13">
            <v>-0.27750000000000002</v>
          </cell>
          <cell r="F13">
            <v>-0.36</v>
          </cell>
          <cell r="G13">
            <v>77.0334</v>
          </cell>
          <cell r="H13" t="str">
            <v>EURINR</v>
          </cell>
          <cell r="I13">
            <v>77.150000000000006</v>
          </cell>
          <cell r="J13">
            <v>77.150000000000006</v>
          </cell>
          <cell r="K13">
            <v>76.957499999999996</v>
          </cell>
          <cell r="L13">
            <v>77.332499999999996</v>
          </cell>
          <cell r="M13">
            <v>1</v>
          </cell>
          <cell r="N13">
            <v>1386</v>
          </cell>
          <cell r="O13">
            <v>332</v>
          </cell>
        </row>
        <row r="14">
          <cell r="A14" t="str">
            <v>GBPINR16JULFUT</v>
          </cell>
          <cell r="B14">
            <v>99.632499999999993</v>
          </cell>
          <cell r="C14">
            <v>99.652500000000003</v>
          </cell>
          <cell r="D14">
            <v>99.667500000000004</v>
          </cell>
          <cell r="E14">
            <v>-0.35749999999999998</v>
          </cell>
          <cell r="F14">
            <v>-0.36</v>
          </cell>
          <cell r="G14">
            <v>99.702799999999996</v>
          </cell>
          <cell r="H14" t="str">
            <v>GBPINR</v>
          </cell>
          <cell r="I14">
            <v>99.82</v>
          </cell>
          <cell r="J14">
            <v>99.87</v>
          </cell>
          <cell r="K14">
            <v>99.5</v>
          </cell>
          <cell r="L14">
            <v>100.01</v>
          </cell>
          <cell r="M14">
            <v>1</v>
          </cell>
          <cell r="N14">
            <v>25345</v>
          </cell>
          <cell r="O14">
            <v>4109</v>
          </cell>
        </row>
        <row r="15">
          <cell r="A15" t="str">
            <v>GBPINR16AUGFUT</v>
          </cell>
          <cell r="B15">
            <v>100.07250000000001</v>
          </cell>
          <cell r="C15">
            <v>100.1</v>
          </cell>
          <cell r="D15">
            <v>100.19750000000001</v>
          </cell>
          <cell r="E15">
            <v>-0.33750000000000002</v>
          </cell>
          <cell r="F15">
            <v>-0.34</v>
          </cell>
          <cell r="G15">
            <v>100.1623</v>
          </cell>
          <cell r="H15" t="str">
            <v>GBPINR</v>
          </cell>
          <cell r="I15">
            <v>100.08</v>
          </cell>
          <cell r="J15">
            <v>100.495</v>
          </cell>
          <cell r="K15">
            <v>99.94</v>
          </cell>
          <cell r="L15">
            <v>100.4375</v>
          </cell>
          <cell r="M15">
            <v>1</v>
          </cell>
          <cell r="N15">
            <v>958</v>
          </cell>
          <cell r="O15">
            <v>91</v>
          </cell>
        </row>
        <row r="16">
          <cell r="A16" t="str">
            <v>USDINR16JULFUT</v>
          </cell>
          <cell r="B16">
            <v>67.965000000000003</v>
          </cell>
          <cell r="C16">
            <v>67.967500000000001</v>
          </cell>
          <cell r="D16">
            <v>67.97</v>
          </cell>
          <cell r="E16">
            <v>0.03</v>
          </cell>
          <cell r="F16">
            <v>0.04</v>
          </cell>
          <cell r="G16">
            <v>67.976900000000001</v>
          </cell>
          <cell r="H16" t="str">
            <v>USDINR</v>
          </cell>
          <cell r="I16">
            <v>68</v>
          </cell>
          <cell r="J16">
            <v>68.032499999999999</v>
          </cell>
          <cell r="K16">
            <v>67.897499999999994</v>
          </cell>
          <cell r="L16">
            <v>67.9375</v>
          </cell>
          <cell r="M16">
            <v>1</v>
          </cell>
          <cell r="N16">
            <v>459007</v>
          </cell>
          <cell r="O16">
            <v>133101</v>
          </cell>
        </row>
        <row r="17">
          <cell r="A17" t="str">
            <v>USDINR16AUGFUT</v>
          </cell>
          <cell r="B17">
            <v>68.347499999999997</v>
          </cell>
          <cell r="C17">
            <v>68.349999999999994</v>
          </cell>
          <cell r="D17">
            <v>68.352500000000006</v>
          </cell>
          <cell r="E17">
            <v>1.2500000000000001E-2</v>
          </cell>
          <cell r="F17">
            <v>0.02</v>
          </cell>
          <cell r="G17">
            <v>68.340400000000002</v>
          </cell>
          <cell r="H17" t="str">
            <v>USDINR</v>
          </cell>
          <cell r="I17">
            <v>68.400000000000006</v>
          </cell>
          <cell r="J17">
            <v>68.415000000000006</v>
          </cell>
          <cell r="K17">
            <v>68.284999999999997</v>
          </cell>
          <cell r="L17">
            <v>68.337500000000006</v>
          </cell>
          <cell r="M17">
            <v>1</v>
          </cell>
          <cell r="N17">
            <v>153932</v>
          </cell>
          <cell r="O17">
            <v>9444</v>
          </cell>
        </row>
        <row r="18">
          <cell r="A18" t="str">
            <v>JPYINR16JULFUT</v>
          </cell>
          <cell r="B18">
            <v>65.0625</v>
          </cell>
          <cell r="C18">
            <v>65.069999999999993</v>
          </cell>
          <cell r="D18">
            <v>65.08</v>
          </cell>
          <cell r="E18">
            <v>0.2225</v>
          </cell>
          <cell r="F18">
            <v>0.34</v>
          </cell>
          <cell r="G18">
            <v>65.033600000000007</v>
          </cell>
          <cell r="H18" t="str">
            <v>JPYINR</v>
          </cell>
          <cell r="I18">
            <v>64.855000000000004</v>
          </cell>
          <cell r="J18">
            <v>65.08</v>
          </cell>
          <cell r="K18">
            <v>64.855000000000004</v>
          </cell>
          <cell r="L18">
            <v>64.847499999999997</v>
          </cell>
          <cell r="M18">
            <v>1</v>
          </cell>
          <cell r="N18">
            <v>24071</v>
          </cell>
          <cell r="O18">
            <v>8437</v>
          </cell>
        </row>
        <row r="19">
          <cell r="A19" t="str">
            <v>JPYINR16AUGFUT</v>
          </cell>
          <cell r="B19">
            <v>65.344999999999999</v>
          </cell>
          <cell r="C19">
            <v>65.352500000000006</v>
          </cell>
          <cell r="D19">
            <v>65.627499999999998</v>
          </cell>
          <cell r="E19">
            <v>0.1225</v>
          </cell>
          <cell r="F19">
            <v>0.19</v>
          </cell>
          <cell r="G19">
            <v>65.275999999999996</v>
          </cell>
          <cell r="H19" t="str">
            <v>JPYINR</v>
          </cell>
          <cell r="I19">
            <v>65.267499999999998</v>
          </cell>
          <cell r="J19">
            <v>65.352500000000006</v>
          </cell>
          <cell r="K19">
            <v>65.204999999999998</v>
          </cell>
          <cell r="L19">
            <v>65.23</v>
          </cell>
          <cell r="M19">
            <v>1</v>
          </cell>
          <cell r="N19">
            <v>478</v>
          </cell>
          <cell r="O19">
            <v>5</v>
          </cell>
        </row>
        <row r="21">
          <cell r="A21" t="str">
            <v>Indices &amp; Financial Services :</v>
          </cell>
          <cell r="B21"/>
          <cell r="C21"/>
          <cell r="D21"/>
          <cell r="E21"/>
          <cell r="F21"/>
          <cell r="G21"/>
          <cell r="H21"/>
          <cell r="I21"/>
          <cell r="J21"/>
          <cell r="K21"/>
          <cell r="L21"/>
          <cell r="M21"/>
          <cell r="N21"/>
          <cell r="O21"/>
        </row>
        <row r="22">
          <cell r="A22" t="str">
            <v>Trading Symbol</v>
          </cell>
          <cell r="B22" t="str">
            <v>Best Buy Rate</v>
          </cell>
          <cell r="C22" t="str">
            <v>Last Traded Price</v>
          </cell>
          <cell r="D22" t="str">
            <v>Best Sell Rate</v>
          </cell>
          <cell r="E22" t="str">
            <v>Net Change</v>
          </cell>
          <cell r="F22" t="str">
            <v>Percentage Change</v>
          </cell>
          <cell r="G22" t="str">
            <v>ATP</v>
          </cell>
          <cell r="H22" t="str">
            <v>Symbol</v>
          </cell>
          <cell r="I22" t="str">
            <v>Open</v>
          </cell>
          <cell r="J22" t="str">
            <v>High Price</v>
          </cell>
          <cell r="K22" t="str">
            <v>Low Price</v>
          </cell>
          <cell r="L22" t="str">
            <v>Prev Close Price</v>
          </cell>
          <cell r="M22" t="str">
            <v>Min Lot Qty</v>
          </cell>
          <cell r="N22" t="str">
            <v>Open Interest</v>
          </cell>
          <cell r="O22" t="str">
            <v>Volume</v>
          </cell>
        </row>
        <row r="23">
          <cell r="A23" t="str">
            <v>HDFCBANK16JUNFUT</v>
          </cell>
          <cell r="B23">
            <v>1164.6500000000001</v>
          </cell>
          <cell r="C23">
            <v>1165</v>
          </cell>
          <cell r="D23">
            <v>1165</v>
          </cell>
          <cell r="E23">
            <v>2.25</v>
          </cell>
          <cell r="F23">
            <v>0.19</v>
          </cell>
          <cell r="G23">
            <v>1167.05</v>
          </cell>
          <cell r="H23" t="str">
            <v>HDFCBANK</v>
          </cell>
          <cell r="I23">
            <v>1161</v>
          </cell>
          <cell r="J23">
            <v>1171.55</v>
          </cell>
          <cell r="K23">
            <v>1161</v>
          </cell>
          <cell r="L23">
            <v>1162.75</v>
          </cell>
          <cell r="M23">
            <v>500</v>
          </cell>
          <cell r="N23">
            <v>30047000</v>
          </cell>
          <cell r="O23">
            <v>2406500</v>
          </cell>
        </row>
        <row r="24">
          <cell r="A24" t="str">
            <v>HDFC16JUNFUT</v>
          </cell>
          <cell r="B24">
            <v>1231.25</v>
          </cell>
          <cell r="C24">
            <v>1231.4000000000001</v>
          </cell>
          <cell r="D24">
            <v>1231.6500000000001</v>
          </cell>
          <cell r="E24">
            <v>-7.45</v>
          </cell>
          <cell r="F24">
            <v>-0.6</v>
          </cell>
          <cell r="G24">
            <v>1232</v>
          </cell>
          <cell r="H24" t="str">
            <v>HDFC</v>
          </cell>
          <cell r="I24">
            <v>1233.6500000000001</v>
          </cell>
          <cell r="J24">
            <v>1239.8</v>
          </cell>
          <cell r="K24">
            <v>1225.3</v>
          </cell>
          <cell r="L24">
            <v>1238.8499999999999</v>
          </cell>
          <cell r="M24">
            <v>400</v>
          </cell>
          <cell r="N24">
            <v>11388000</v>
          </cell>
          <cell r="O24">
            <v>1301200</v>
          </cell>
        </row>
        <row r="25">
          <cell r="A25" t="str">
            <v>INDUSINDBK16JUNFUT</v>
          </cell>
          <cell r="B25">
            <v>1086.9000000000001</v>
          </cell>
          <cell r="C25">
            <v>1087.3499999999999</v>
          </cell>
          <cell r="D25">
            <v>1087.5999999999999</v>
          </cell>
          <cell r="E25">
            <v>-2.6</v>
          </cell>
          <cell r="F25">
            <v>-0.24</v>
          </cell>
          <cell r="G25">
            <v>1089.53</v>
          </cell>
          <cell r="H25" t="str">
            <v>INDUSINDBK</v>
          </cell>
          <cell r="I25">
            <v>1086.7</v>
          </cell>
          <cell r="J25">
            <v>1094.6500000000001</v>
          </cell>
          <cell r="K25">
            <v>1083.2</v>
          </cell>
          <cell r="L25">
            <v>1089.95</v>
          </cell>
          <cell r="M25">
            <v>600</v>
          </cell>
          <cell r="N25">
            <v>4375800</v>
          </cell>
          <cell r="O25">
            <v>1098600</v>
          </cell>
        </row>
        <row r="26">
          <cell r="A26" t="str">
            <v>YESBANK16JUNFUT</v>
          </cell>
          <cell r="B26">
            <v>1072.8499999999999</v>
          </cell>
          <cell r="C26">
            <v>1072.8</v>
          </cell>
          <cell r="D26">
            <v>1072.95</v>
          </cell>
          <cell r="E26">
            <v>0.6</v>
          </cell>
          <cell r="F26">
            <v>0.06</v>
          </cell>
          <cell r="G26">
            <v>1075.52</v>
          </cell>
          <cell r="H26" t="str">
            <v>YESBANK</v>
          </cell>
          <cell r="I26">
            <v>1073.4000000000001</v>
          </cell>
          <cell r="J26">
            <v>1081</v>
          </cell>
          <cell r="K26">
            <v>1069.3</v>
          </cell>
          <cell r="L26">
            <v>1072.2</v>
          </cell>
          <cell r="M26">
            <v>700</v>
          </cell>
          <cell r="N26">
            <v>8105300</v>
          </cell>
          <cell r="O26">
            <v>4689300</v>
          </cell>
        </row>
        <row r="27">
          <cell r="A27" t="str">
            <v>KOTAKBANK16JUNFUT</v>
          </cell>
          <cell r="B27">
            <v>736.7</v>
          </cell>
          <cell r="C27">
            <v>737.05</v>
          </cell>
          <cell r="D27">
            <v>737.2</v>
          </cell>
          <cell r="E27">
            <v>-10.4</v>
          </cell>
          <cell r="F27">
            <v>-1.39</v>
          </cell>
          <cell r="G27">
            <v>744.62</v>
          </cell>
          <cell r="H27" t="str">
            <v>KOTAKBANK</v>
          </cell>
          <cell r="I27">
            <v>746.1</v>
          </cell>
          <cell r="J27">
            <v>751.7</v>
          </cell>
          <cell r="K27">
            <v>734.25</v>
          </cell>
          <cell r="L27">
            <v>747.45</v>
          </cell>
          <cell r="M27">
            <v>700</v>
          </cell>
          <cell r="N27">
            <v>8667400</v>
          </cell>
          <cell r="O27">
            <v>1614200</v>
          </cell>
        </row>
        <row r="28">
          <cell r="A28" t="str">
            <v>AXISBANK16JUNFUT</v>
          </cell>
          <cell r="B28">
            <v>517.15</v>
          </cell>
          <cell r="C28">
            <v>517.25</v>
          </cell>
          <cell r="D28">
            <v>517.25</v>
          </cell>
          <cell r="E28">
            <v>-2</v>
          </cell>
          <cell r="F28">
            <v>-0.39</v>
          </cell>
          <cell r="G28">
            <v>520.09</v>
          </cell>
          <cell r="H28" t="str">
            <v>AXISBANK</v>
          </cell>
          <cell r="I28">
            <v>518.20000000000005</v>
          </cell>
          <cell r="J28">
            <v>522.9</v>
          </cell>
          <cell r="K28">
            <v>515.5</v>
          </cell>
          <cell r="L28">
            <v>519.25</v>
          </cell>
          <cell r="M28">
            <v>1000</v>
          </cell>
          <cell r="N28">
            <v>26741000</v>
          </cell>
          <cell r="O28">
            <v>8186000</v>
          </cell>
        </row>
        <row r="29">
          <cell r="A29" t="str">
            <v>RELCAPITAL16JUNFUT</v>
          </cell>
          <cell r="B29">
            <v>392.5</v>
          </cell>
          <cell r="C29">
            <v>392.85</v>
          </cell>
          <cell r="D29">
            <v>392.7</v>
          </cell>
          <cell r="E29">
            <v>-6.9</v>
          </cell>
          <cell r="F29">
            <v>-1.73</v>
          </cell>
          <cell r="G29">
            <v>397.57</v>
          </cell>
          <cell r="H29" t="str">
            <v>RELCAPITAL</v>
          </cell>
          <cell r="I29">
            <v>401.2</v>
          </cell>
          <cell r="J29">
            <v>403.3</v>
          </cell>
          <cell r="K29">
            <v>392</v>
          </cell>
          <cell r="L29">
            <v>399.75</v>
          </cell>
          <cell r="M29">
            <v>1500</v>
          </cell>
          <cell r="N29">
            <v>13734000</v>
          </cell>
          <cell r="O29">
            <v>6808500</v>
          </cell>
        </row>
        <row r="30">
          <cell r="A30" t="str">
            <v>ICICIBANK16JUNFUT</v>
          </cell>
          <cell r="B30">
            <v>237.8</v>
          </cell>
          <cell r="C30">
            <v>237.8</v>
          </cell>
          <cell r="D30">
            <v>237.9</v>
          </cell>
          <cell r="E30">
            <v>-1.05</v>
          </cell>
          <cell r="F30">
            <v>-0.44</v>
          </cell>
          <cell r="G30">
            <v>240.43</v>
          </cell>
          <cell r="H30" t="str">
            <v>ICICIBANK</v>
          </cell>
          <cell r="I30">
            <v>237.9</v>
          </cell>
          <cell r="J30">
            <v>243.15</v>
          </cell>
          <cell r="K30">
            <v>236.45</v>
          </cell>
          <cell r="L30">
            <v>238.85</v>
          </cell>
          <cell r="M30">
            <v>1700</v>
          </cell>
          <cell r="N30">
            <v>49498900</v>
          </cell>
          <cell r="O30">
            <v>18705100</v>
          </cell>
        </row>
        <row r="31">
          <cell r="A31" t="str">
            <v>IDBI16JUNFUT</v>
          </cell>
          <cell r="B31">
            <v>69.900000000000006</v>
          </cell>
          <cell r="C31">
            <v>69.95</v>
          </cell>
          <cell r="D31">
            <v>70</v>
          </cell>
          <cell r="E31">
            <v>-0.95</v>
          </cell>
          <cell r="F31">
            <v>-1.34</v>
          </cell>
          <cell r="G31">
            <v>70.66</v>
          </cell>
          <cell r="H31" t="str">
            <v>IDBI</v>
          </cell>
          <cell r="I31">
            <v>70.849999999999994</v>
          </cell>
          <cell r="J31">
            <v>71.45</v>
          </cell>
          <cell r="K31">
            <v>69.75</v>
          </cell>
          <cell r="L31">
            <v>70.900000000000006</v>
          </cell>
          <cell r="M31">
            <v>8000</v>
          </cell>
          <cell r="N31">
            <v>39160000</v>
          </cell>
          <cell r="O31">
            <v>14176000</v>
          </cell>
        </row>
        <row r="32">
          <cell r="A32" t="str">
            <v>KTKBANK16JUNFUT</v>
          </cell>
          <cell r="B32">
            <v>135.6</v>
          </cell>
          <cell r="C32">
            <v>135.6</v>
          </cell>
          <cell r="D32">
            <v>135.80000000000001</v>
          </cell>
          <cell r="E32">
            <v>-2.1</v>
          </cell>
          <cell r="F32">
            <v>-1.52</v>
          </cell>
          <cell r="G32">
            <v>136.99</v>
          </cell>
          <cell r="H32" t="str">
            <v>KTKBANK</v>
          </cell>
          <cell r="I32">
            <v>137.44999999999999</v>
          </cell>
          <cell r="J32">
            <v>138.75</v>
          </cell>
          <cell r="K32">
            <v>135.6</v>
          </cell>
          <cell r="L32">
            <v>137.69999999999999</v>
          </cell>
          <cell r="M32">
            <v>4000</v>
          </cell>
          <cell r="N32">
            <v>13892000</v>
          </cell>
          <cell r="O32">
            <v>4320000</v>
          </cell>
        </row>
        <row r="33">
          <cell r="A33" t="str">
            <v>IFCI16JUNFUT</v>
          </cell>
          <cell r="B33">
            <v>25.35</v>
          </cell>
          <cell r="C33">
            <v>25.4</v>
          </cell>
          <cell r="D33">
            <v>25.4</v>
          </cell>
          <cell r="E33">
            <v>-0.4</v>
          </cell>
          <cell r="F33">
            <v>-1.55</v>
          </cell>
          <cell r="G33">
            <v>25.61</v>
          </cell>
          <cell r="H33" t="str">
            <v>IFCI</v>
          </cell>
          <cell r="I33">
            <v>25.8</v>
          </cell>
          <cell r="J33">
            <v>25.9</v>
          </cell>
          <cell r="K33">
            <v>25.35</v>
          </cell>
          <cell r="L33">
            <v>25.8</v>
          </cell>
          <cell r="M33">
            <v>20000</v>
          </cell>
          <cell r="N33">
            <v>59600000</v>
          </cell>
          <cell r="O33">
            <v>6760000</v>
          </cell>
        </row>
        <row r="34">
          <cell r="A34" t="str">
            <v>SOUTHBANK16JUNFUT</v>
          </cell>
          <cell r="B34">
            <v>19.5</v>
          </cell>
          <cell r="C34">
            <v>19.5</v>
          </cell>
          <cell r="D34">
            <v>19.600000000000001</v>
          </cell>
          <cell r="E34">
            <v>-0.25</v>
          </cell>
          <cell r="F34">
            <v>-1.27</v>
          </cell>
          <cell r="G34">
            <v>19.66</v>
          </cell>
          <cell r="H34" t="str">
            <v>SOUTHBANK</v>
          </cell>
          <cell r="I34">
            <v>19.8</v>
          </cell>
          <cell r="J34">
            <v>19.850000000000001</v>
          </cell>
          <cell r="K34">
            <v>19.5</v>
          </cell>
          <cell r="L34">
            <v>19.75</v>
          </cell>
          <cell r="M34">
            <v>22000</v>
          </cell>
          <cell r="N34">
            <v>25300000</v>
          </cell>
          <cell r="O34">
            <v>1276000</v>
          </cell>
        </row>
        <row r="35">
          <cell r="A35"/>
          <cell r="B35"/>
          <cell r="C35"/>
          <cell r="D35"/>
          <cell r="E35"/>
          <cell r="F35"/>
          <cell r="G35"/>
          <cell r="H35"/>
          <cell r="I35"/>
          <cell r="J35"/>
          <cell r="K35"/>
          <cell r="L35"/>
          <cell r="M35"/>
          <cell r="N35"/>
          <cell r="O35"/>
        </row>
        <row r="36">
          <cell r="A36" t="str">
            <v>Trading Symbol</v>
          </cell>
          <cell r="B36" t="str">
            <v>Best Buy Rate</v>
          </cell>
          <cell r="C36" t="str">
            <v>Last Traded Price</v>
          </cell>
          <cell r="D36" t="str">
            <v>Best Sell Rate</v>
          </cell>
          <cell r="E36" t="str">
            <v>Net Change</v>
          </cell>
          <cell r="F36" t="str">
            <v>Percentage Change</v>
          </cell>
          <cell r="G36" t="str">
            <v>ATP</v>
          </cell>
          <cell r="H36" t="str">
            <v>Symbol</v>
          </cell>
          <cell r="I36" t="str">
            <v>Open</v>
          </cell>
          <cell r="J36" t="str">
            <v>High Price</v>
          </cell>
          <cell r="K36" t="str">
            <v>Low Price</v>
          </cell>
          <cell r="L36" t="str">
            <v>Prev Close Price</v>
          </cell>
          <cell r="M36" t="str">
            <v>Min Lot Qty</v>
          </cell>
          <cell r="N36" t="str">
            <v>Open Interest</v>
          </cell>
          <cell r="O36" t="str">
            <v>Volume</v>
          </cell>
        </row>
        <row r="37">
          <cell r="A37" t="str">
            <v>CANBK16JUNFUT</v>
          </cell>
          <cell r="B37">
            <v>206.2</v>
          </cell>
          <cell r="C37">
            <v>206.4</v>
          </cell>
          <cell r="D37">
            <v>206.4</v>
          </cell>
          <cell r="E37">
            <v>-2.0499999999999998</v>
          </cell>
          <cell r="F37">
            <v>-0.98</v>
          </cell>
          <cell r="G37">
            <v>208.83</v>
          </cell>
          <cell r="H37" t="str">
            <v>CANBK</v>
          </cell>
          <cell r="I37">
            <v>208.15</v>
          </cell>
          <cell r="J37">
            <v>211.2</v>
          </cell>
          <cell r="K37">
            <v>205.2</v>
          </cell>
          <cell r="L37">
            <v>208.45</v>
          </cell>
          <cell r="M37">
            <v>2000</v>
          </cell>
          <cell r="N37">
            <v>13312000</v>
          </cell>
          <cell r="O37">
            <v>7528000</v>
          </cell>
        </row>
        <row r="38">
          <cell r="A38" t="str">
            <v>SBIN16JUNFUT</v>
          </cell>
          <cell r="B38">
            <v>212.2</v>
          </cell>
          <cell r="C38">
            <v>212.25</v>
          </cell>
          <cell r="D38">
            <v>212.25</v>
          </cell>
          <cell r="E38">
            <v>-1.6</v>
          </cell>
          <cell r="F38">
            <v>-0.75</v>
          </cell>
          <cell r="G38">
            <v>213.7</v>
          </cell>
          <cell r="H38" t="str">
            <v>SBIN</v>
          </cell>
          <cell r="I38">
            <v>214.1</v>
          </cell>
          <cell r="J38">
            <v>215.2</v>
          </cell>
          <cell r="K38">
            <v>211.4</v>
          </cell>
          <cell r="L38">
            <v>213.85</v>
          </cell>
          <cell r="M38">
            <v>2000</v>
          </cell>
          <cell r="N38">
            <v>81418000</v>
          </cell>
          <cell r="O38">
            <v>33270000</v>
          </cell>
        </row>
        <row r="39">
          <cell r="A39" t="str">
            <v>BANKBARODA16JUNFUT</v>
          </cell>
          <cell r="B39">
            <v>148.94999999999999</v>
          </cell>
          <cell r="C39">
            <v>149</v>
          </cell>
          <cell r="D39">
            <v>149</v>
          </cell>
          <cell r="E39">
            <v>-1.35</v>
          </cell>
          <cell r="F39">
            <v>-0.9</v>
          </cell>
          <cell r="G39">
            <v>150.43</v>
          </cell>
          <cell r="H39" t="str">
            <v>BANKBARODA</v>
          </cell>
          <cell r="I39">
            <v>150.25</v>
          </cell>
          <cell r="J39">
            <v>152.15</v>
          </cell>
          <cell r="K39">
            <v>148.6</v>
          </cell>
          <cell r="L39">
            <v>150.35</v>
          </cell>
          <cell r="M39">
            <v>3100</v>
          </cell>
          <cell r="N39">
            <v>45765300</v>
          </cell>
          <cell r="O39">
            <v>20766900</v>
          </cell>
        </row>
        <row r="40">
          <cell r="A40" t="str">
            <v>UNIONBANK16JUNFUT</v>
          </cell>
          <cell r="B40">
            <v>124.35</v>
          </cell>
          <cell r="C40">
            <v>124.35</v>
          </cell>
          <cell r="D40">
            <v>124.45</v>
          </cell>
          <cell r="E40">
            <v>-1.5</v>
          </cell>
          <cell r="F40">
            <v>-1.19</v>
          </cell>
          <cell r="G40">
            <v>125.83</v>
          </cell>
          <cell r="H40" t="str">
            <v>UNIONBANK</v>
          </cell>
          <cell r="I40">
            <v>126.1</v>
          </cell>
          <cell r="J40">
            <v>127.75</v>
          </cell>
          <cell r="K40">
            <v>124</v>
          </cell>
          <cell r="L40">
            <v>125.85</v>
          </cell>
          <cell r="M40">
            <v>3000</v>
          </cell>
          <cell r="N40">
            <v>13755000</v>
          </cell>
          <cell r="O40">
            <v>8157000</v>
          </cell>
        </row>
        <row r="41">
          <cell r="A41" t="str">
            <v>PNB16JUNFUT</v>
          </cell>
          <cell r="B41">
            <v>94.7</v>
          </cell>
          <cell r="C41">
            <v>94.75</v>
          </cell>
          <cell r="D41">
            <v>94.75</v>
          </cell>
          <cell r="E41">
            <v>-0.95</v>
          </cell>
          <cell r="F41">
            <v>-0.99</v>
          </cell>
          <cell r="G41">
            <v>95.58</v>
          </cell>
          <cell r="H41" t="str">
            <v>PNB</v>
          </cell>
          <cell r="I41">
            <v>95.6</v>
          </cell>
          <cell r="J41">
            <v>96.5</v>
          </cell>
          <cell r="K41">
            <v>94.4</v>
          </cell>
          <cell r="L41">
            <v>95.7</v>
          </cell>
          <cell r="M41">
            <v>4000</v>
          </cell>
          <cell r="N41">
            <v>37080000</v>
          </cell>
          <cell r="O41">
            <v>19476000</v>
          </cell>
        </row>
        <row r="42">
          <cell r="A42" t="str">
            <v>BANKINDIA16JUNFUT</v>
          </cell>
          <cell r="B42">
            <v>95.5</v>
          </cell>
          <cell r="C42">
            <v>95.6</v>
          </cell>
          <cell r="D42">
            <v>95.6</v>
          </cell>
          <cell r="E42">
            <v>-0.75</v>
          </cell>
          <cell r="F42">
            <v>-0.78</v>
          </cell>
          <cell r="G42">
            <v>96.44</v>
          </cell>
          <cell r="H42" t="str">
            <v>BANKINDIA</v>
          </cell>
          <cell r="I42">
            <v>96.5</v>
          </cell>
          <cell r="J42">
            <v>97.45</v>
          </cell>
          <cell r="K42">
            <v>95.2</v>
          </cell>
          <cell r="L42">
            <v>96.35</v>
          </cell>
          <cell r="M42">
            <v>3000</v>
          </cell>
          <cell r="N42">
            <v>18051000</v>
          </cell>
          <cell r="O42">
            <v>7326000</v>
          </cell>
        </row>
        <row r="43">
          <cell r="A43" t="str">
            <v>ORIENTBANK16JUNFUT</v>
          </cell>
          <cell r="B43">
            <v>100.8</v>
          </cell>
          <cell r="C43">
            <v>100.9</v>
          </cell>
          <cell r="D43">
            <v>100.95</v>
          </cell>
          <cell r="E43">
            <v>0.15</v>
          </cell>
          <cell r="F43">
            <v>0.15</v>
          </cell>
          <cell r="G43">
            <v>101.65</v>
          </cell>
          <cell r="H43" t="str">
            <v>ORIENTBANK</v>
          </cell>
          <cell r="I43">
            <v>101.25</v>
          </cell>
          <cell r="J43">
            <v>102.75</v>
          </cell>
          <cell r="K43">
            <v>100.5</v>
          </cell>
          <cell r="L43">
            <v>100.75</v>
          </cell>
          <cell r="M43">
            <v>3000</v>
          </cell>
          <cell r="N43">
            <v>14088000</v>
          </cell>
          <cell r="O43">
            <v>7632000</v>
          </cell>
        </row>
        <row r="44">
          <cell r="A44" t="str">
            <v>SYNDIBANK16JUNFUT</v>
          </cell>
          <cell r="B44">
            <v>71.25</v>
          </cell>
          <cell r="C44">
            <v>71.3</v>
          </cell>
          <cell r="D44">
            <v>71.400000000000006</v>
          </cell>
          <cell r="E44">
            <v>-0.65</v>
          </cell>
          <cell r="F44">
            <v>-0.9</v>
          </cell>
          <cell r="G44">
            <v>72.400000000000006</v>
          </cell>
          <cell r="H44" t="str">
            <v>SYNDIBANK</v>
          </cell>
          <cell r="I44">
            <v>71.599999999999994</v>
          </cell>
          <cell r="J44">
            <v>73.5</v>
          </cell>
          <cell r="K44">
            <v>71.3</v>
          </cell>
          <cell r="L44">
            <v>71.95</v>
          </cell>
          <cell r="M44">
            <v>5000</v>
          </cell>
          <cell r="N44">
            <v>12030000</v>
          </cell>
          <cell r="O44">
            <v>7260000</v>
          </cell>
        </row>
        <row r="45">
          <cell r="A45" t="str">
            <v>ALBK16JUNFUT</v>
          </cell>
          <cell r="B45">
            <v>59.8</v>
          </cell>
          <cell r="C45">
            <v>59.85</v>
          </cell>
          <cell r="D45">
            <v>59.85</v>
          </cell>
          <cell r="E45">
            <v>-0.1</v>
          </cell>
          <cell r="F45">
            <v>-0.17</v>
          </cell>
          <cell r="G45">
            <v>60.14</v>
          </cell>
          <cell r="H45" t="str">
            <v>ALBK</v>
          </cell>
          <cell r="I45">
            <v>59.65</v>
          </cell>
          <cell r="J45">
            <v>61.35</v>
          </cell>
          <cell r="K45">
            <v>58.65</v>
          </cell>
          <cell r="L45">
            <v>59.95</v>
          </cell>
          <cell r="M45">
            <v>6000</v>
          </cell>
          <cell r="N45">
            <v>10674000</v>
          </cell>
          <cell r="O45">
            <v>9774000</v>
          </cell>
        </row>
        <row r="46">
          <cell r="A46" t="str">
            <v>ANDHRABANK16JUNFUT</v>
          </cell>
          <cell r="B46">
            <v>54.5</v>
          </cell>
          <cell r="C46">
            <v>54.55</v>
          </cell>
          <cell r="D46">
            <v>54.6</v>
          </cell>
          <cell r="E46">
            <v>-0.5</v>
          </cell>
          <cell r="F46">
            <v>-0.91</v>
          </cell>
          <cell r="G46">
            <v>55.19</v>
          </cell>
          <cell r="H46" t="str">
            <v>ANDHRABANK</v>
          </cell>
          <cell r="I46">
            <v>55</v>
          </cell>
          <cell r="J46">
            <v>56.05</v>
          </cell>
          <cell r="K46">
            <v>54.3</v>
          </cell>
          <cell r="L46">
            <v>55.05</v>
          </cell>
          <cell r="M46">
            <v>8000</v>
          </cell>
          <cell r="N46">
            <v>15264000</v>
          </cell>
          <cell r="O46">
            <v>8224000</v>
          </cell>
        </row>
        <row r="47">
          <cell r="A47" t="str">
            <v>UCOBANK16JUNFUT</v>
          </cell>
          <cell r="B47">
            <v>38.299999999999997</v>
          </cell>
          <cell r="C47">
            <v>38.299999999999997</v>
          </cell>
          <cell r="D47">
            <v>38.35</v>
          </cell>
          <cell r="E47">
            <v>-0.45</v>
          </cell>
          <cell r="F47">
            <v>-1.1599999999999999</v>
          </cell>
          <cell r="G47">
            <v>38.92</v>
          </cell>
          <cell r="H47" t="str">
            <v>UCOBANK</v>
          </cell>
          <cell r="I47">
            <v>38.4</v>
          </cell>
          <cell r="J47">
            <v>39.75</v>
          </cell>
          <cell r="K47">
            <v>38.15</v>
          </cell>
          <cell r="L47">
            <v>38.75</v>
          </cell>
          <cell r="M47">
            <v>10000</v>
          </cell>
          <cell r="N47">
            <v>9980000</v>
          </cell>
          <cell r="O47">
            <v>4860000</v>
          </cell>
        </row>
        <row r="48">
          <cell r="A48" t="str">
            <v>IOB16JUNFUT</v>
          </cell>
          <cell r="B48">
            <v>26.85</v>
          </cell>
          <cell r="C48">
            <v>26.9</v>
          </cell>
          <cell r="D48">
            <v>26.9</v>
          </cell>
          <cell r="E48">
            <v>-0.3</v>
          </cell>
          <cell r="F48">
            <v>-1.1000000000000001</v>
          </cell>
          <cell r="G48">
            <v>27.2</v>
          </cell>
          <cell r="H48" t="str">
            <v>IOB</v>
          </cell>
          <cell r="I48">
            <v>27.25</v>
          </cell>
          <cell r="J48">
            <v>27.65</v>
          </cell>
          <cell r="K48">
            <v>26.8</v>
          </cell>
          <cell r="L48">
            <v>27.2</v>
          </cell>
          <cell r="M48">
            <v>14000</v>
          </cell>
          <cell r="N48">
            <v>7504000</v>
          </cell>
          <cell r="O48">
            <v>4844000</v>
          </cell>
        </row>
        <row r="49">
          <cell r="A49"/>
          <cell r="B49"/>
          <cell r="C49"/>
          <cell r="D49"/>
          <cell r="E49"/>
          <cell r="F49"/>
          <cell r="G49"/>
          <cell r="H49"/>
          <cell r="I49"/>
          <cell r="J49"/>
          <cell r="K49"/>
          <cell r="L49"/>
          <cell r="M49"/>
          <cell r="N49"/>
          <cell r="O49"/>
        </row>
        <row r="50">
          <cell r="A50" t="str">
            <v>Metals &amp; Mining :</v>
          </cell>
          <cell r="B50"/>
          <cell r="C50"/>
          <cell r="D50"/>
          <cell r="E50"/>
          <cell r="F50"/>
          <cell r="G50"/>
          <cell r="H50"/>
          <cell r="I50"/>
          <cell r="J50"/>
          <cell r="K50"/>
          <cell r="L50"/>
          <cell r="M50"/>
          <cell r="N50"/>
          <cell r="O50"/>
        </row>
        <row r="51">
          <cell r="A51" t="str">
            <v>Trading Symbol</v>
          </cell>
          <cell r="B51" t="str">
            <v>Best Buy Rate</v>
          </cell>
          <cell r="C51" t="str">
            <v>Last Traded Price</v>
          </cell>
          <cell r="D51" t="str">
            <v>Best Sell Rate</v>
          </cell>
          <cell r="E51" t="str">
            <v>Net Change</v>
          </cell>
          <cell r="F51" t="str">
            <v>Percentage Change</v>
          </cell>
          <cell r="G51" t="str">
            <v>ATP</v>
          </cell>
          <cell r="H51" t="str">
            <v>Symbol</v>
          </cell>
          <cell r="I51" t="str">
            <v>Open</v>
          </cell>
          <cell r="J51" t="str">
            <v>High Price</v>
          </cell>
          <cell r="K51" t="str">
            <v>Low Price</v>
          </cell>
          <cell r="L51" t="str">
            <v>Prev Close Price</v>
          </cell>
          <cell r="M51" t="str">
            <v>Min Lot Qty</v>
          </cell>
          <cell r="N51" t="str">
            <v>Open Interest</v>
          </cell>
          <cell r="O51" t="str">
            <v>Volume</v>
          </cell>
        </row>
        <row r="52">
          <cell r="A52" t="str">
            <v>JSWSTEEL16JUNFUT</v>
          </cell>
          <cell r="B52">
            <v>1391.8</v>
          </cell>
          <cell r="C52">
            <v>1392.95</v>
          </cell>
          <cell r="D52">
            <v>1392.9</v>
          </cell>
          <cell r="E52">
            <v>-11.35</v>
          </cell>
          <cell r="F52">
            <v>-0.81</v>
          </cell>
          <cell r="G52">
            <v>1395.13</v>
          </cell>
          <cell r="H52" t="str">
            <v>JSWSTEEL</v>
          </cell>
          <cell r="I52">
            <v>1407.95</v>
          </cell>
          <cell r="J52">
            <v>1407.95</v>
          </cell>
          <cell r="K52">
            <v>1389.05</v>
          </cell>
          <cell r="L52">
            <v>1404.3</v>
          </cell>
          <cell r="M52">
            <v>600</v>
          </cell>
          <cell r="N52">
            <v>6393600</v>
          </cell>
          <cell r="O52">
            <v>1227000</v>
          </cell>
        </row>
        <row r="53">
          <cell r="A53" t="str">
            <v>TATASTEEL16JUNFUT</v>
          </cell>
          <cell r="B53">
            <v>330.4</v>
          </cell>
          <cell r="C53">
            <v>330.5</v>
          </cell>
          <cell r="D53">
            <v>330.55</v>
          </cell>
          <cell r="E53">
            <v>-4.05</v>
          </cell>
          <cell r="F53">
            <v>-1.21</v>
          </cell>
          <cell r="G53">
            <v>330.14</v>
          </cell>
          <cell r="H53" t="str">
            <v>TATASTEEL</v>
          </cell>
          <cell r="I53">
            <v>334.05</v>
          </cell>
          <cell r="J53">
            <v>334.4</v>
          </cell>
          <cell r="K53">
            <v>327.39999999999998</v>
          </cell>
          <cell r="L53">
            <v>334.55</v>
          </cell>
          <cell r="M53">
            <v>2000</v>
          </cell>
          <cell r="N53">
            <v>20600000</v>
          </cell>
          <cell r="O53">
            <v>13420000</v>
          </cell>
        </row>
        <row r="54">
          <cell r="A54" t="str">
            <v>HINDZINC16JUNFUT</v>
          </cell>
          <cell r="B54">
            <v>173.65</v>
          </cell>
          <cell r="C54">
            <v>173.7</v>
          </cell>
          <cell r="D54">
            <v>173.95</v>
          </cell>
          <cell r="E54">
            <v>-3.6</v>
          </cell>
          <cell r="F54">
            <v>-2.0299999999999998</v>
          </cell>
          <cell r="G54">
            <v>174.79</v>
          </cell>
          <cell r="H54" t="str">
            <v>HINDZINC</v>
          </cell>
          <cell r="I54">
            <v>177.05</v>
          </cell>
          <cell r="J54">
            <v>177.35</v>
          </cell>
          <cell r="K54">
            <v>173.15</v>
          </cell>
          <cell r="L54">
            <v>177.3</v>
          </cell>
          <cell r="M54">
            <v>3200</v>
          </cell>
          <cell r="N54">
            <v>3788800</v>
          </cell>
          <cell r="O54">
            <v>1004800</v>
          </cell>
        </row>
        <row r="55">
          <cell r="A55" t="str">
            <v>HINDALCO16JUNFUT</v>
          </cell>
          <cell r="B55">
            <v>121.4</v>
          </cell>
          <cell r="C55">
            <v>121.4</v>
          </cell>
          <cell r="D55">
            <v>121.5</v>
          </cell>
          <cell r="E55">
            <v>-2.15</v>
          </cell>
          <cell r="F55">
            <v>-1.74</v>
          </cell>
          <cell r="G55">
            <v>121.54</v>
          </cell>
          <cell r="H55" t="str">
            <v>HINDALCO</v>
          </cell>
          <cell r="I55">
            <v>123.85</v>
          </cell>
          <cell r="J55">
            <v>123.9</v>
          </cell>
          <cell r="K55">
            <v>120.15</v>
          </cell>
          <cell r="L55">
            <v>123.55</v>
          </cell>
          <cell r="M55">
            <v>5000</v>
          </cell>
          <cell r="N55">
            <v>34025000</v>
          </cell>
          <cell r="O55">
            <v>24155000</v>
          </cell>
        </row>
        <row r="56">
          <cell r="A56" t="str">
            <v>JINDALSTEL16JUNFUT</v>
          </cell>
          <cell r="B56">
            <v>65.2</v>
          </cell>
          <cell r="C56">
            <v>65.25</v>
          </cell>
          <cell r="D56">
            <v>65.349999999999994</v>
          </cell>
          <cell r="E56">
            <v>-1.5</v>
          </cell>
          <cell r="F56">
            <v>-2.25</v>
          </cell>
          <cell r="G56">
            <v>66.290000000000006</v>
          </cell>
          <cell r="H56" t="str">
            <v>JINDALSTEL</v>
          </cell>
          <cell r="I56">
            <v>67</v>
          </cell>
          <cell r="J56">
            <v>67.7</v>
          </cell>
          <cell r="K56">
            <v>65.05</v>
          </cell>
          <cell r="L56">
            <v>66.75</v>
          </cell>
          <cell r="M56">
            <v>7000</v>
          </cell>
          <cell r="N56">
            <v>44212000</v>
          </cell>
          <cell r="O56">
            <v>9478000</v>
          </cell>
        </row>
        <row r="57">
          <cell r="A57" t="str">
            <v>SAIL16JUNFUT</v>
          </cell>
          <cell r="B57">
            <v>44</v>
          </cell>
          <cell r="C57">
            <v>44.05</v>
          </cell>
          <cell r="D57">
            <v>44.05</v>
          </cell>
          <cell r="E57">
            <v>-0.7</v>
          </cell>
          <cell r="F57">
            <v>-1.56</v>
          </cell>
          <cell r="G57">
            <v>44.3</v>
          </cell>
          <cell r="H57" t="str">
            <v>SAIL</v>
          </cell>
          <cell r="I57">
            <v>44.95</v>
          </cell>
          <cell r="J57">
            <v>44.95</v>
          </cell>
          <cell r="K57">
            <v>43.85</v>
          </cell>
          <cell r="L57">
            <v>44.75</v>
          </cell>
          <cell r="M57">
            <v>9000</v>
          </cell>
          <cell r="N57">
            <v>47673000</v>
          </cell>
          <cell r="O57">
            <v>7659000</v>
          </cell>
        </row>
        <row r="58">
          <cell r="A58" t="str">
            <v>COALINDIA16JUNFUT</v>
          </cell>
          <cell r="B58">
            <v>316</v>
          </cell>
          <cell r="C58">
            <v>316.25</v>
          </cell>
          <cell r="D58">
            <v>316.14999999999998</v>
          </cell>
          <cell r="E58">
            <v>2.35</v>
          </cell>
          <cell r="F58">
            <v>0.75</v>
          </cell>
          <cell r="G58">
            <v>316.17</v>
          </cell>
          <cell r="H58" t="str">
            <v>COALINDIA</v>
          </cell>
          <cell r="I58">
            <v>313.45</v>
          </cell>
          <cell r="J58">
            <v>317.95</v>
          </cell>
          <cell r="K58">
            <v>313</v>
          </cell>
          <cell r="L58">
            <v>313.89999999999998</v>
          </cell>
          <cell r="M58">
            <v>1200</v>
          </cell>
          <cell r="N58">
            <v>16184400</v>
          </cell>
          <cell r="O58">
            <v>2628000</v>
          </cell>
        </row>
        <row r="59">
          <cell r="A59" t="str">
            <v>NMDC16JUNFUT</v>
          </cell>
          <cell r="B59">
            <v>92.05</v>
          </cell>
          <cell r="C59">
            <v>92.2</v>
          </cell>
          <cell r="D59">
            <v>92.1</v>
          </cell>
          <cell r="E59">
            <v>-0.25</v>
          </cell>
          <cell r="F59">
            <v>-0.27</v>
          </cell>
          <cell r="G59">
            <v>92.27</v>
          </cell>
          <cell r="H59" t="str">
            <v>NMDC</v>
          </cell>
          <cell r="I59">
            <v>92.6</v>
          </cell>
          <cell r="J59">
            <v>92.7</v>
          </cell>
          <cell r="K59">
            <v>92</v>
          </cell>
          <cell r="L59">
            <v>92.45</v>
          </cell>
          <cell r="M59">
            <v>5000</v>
          </cell>
          <cell r="N59">
            <v>8435000</v>
          </cell>
          <cell r="O59">
            <v>1195000</v>
          </cell>
        </row>
        <row r="60">
          <cell r="A60"/>
          <cell r="B60"/>
          <cell r="C60"/>
          <cell r="D60"/>
          <cell r="E60"/>
          <cell r="F60"/>
          <cell r="G60"/>
          <cell r="H60"/>
          <cell r="I60"/>
          <cell r="J60"/>
          <cell r="K60"/>
          <cell r="L60"/>
          <cell r="M60"/>
          <cell r="N60"/>
          <cell r="O60"/>
        </row>
        <row r="61">
          <cell r="A61" t="str">
            <v>Infrastructutre :</v>
          </cell>
          <cell r="B61"/>
          <cell r="C61"/>
          <cell r="D61"/>
          <cell r="E61"/>
          <cell r="F61"/>
          <cell r="G61"/>
          <cell r="H61"/>
          <cell r="I61"/>
          <cell r="J61"/>
          <cell r="K61"/>
          <cell r="L61"/>
          <cell r="M61"/>
          <cell r="N61"/>
          <cell r="O61"/>
        </row>
        <row r="62">
          <cell r="A62" t="str">
            <v>Trading Symbol</v>
          </cell>
          <cell r="B62" t="str">
            <v>Best Buy Rate</v>
          </cell>
          <cell r="C62" t="str">
            <v>Last Traded Price</v>
          </cell>
          <cell r="D62" t="str">
            <v>Best Sell Rate</v>
          </cell>
          <cell r="E62" t="str">
            <v>Net Change</v>
          </cell>
          <cell r="F62" t="str">
            <v>Percentage Change</v>
          </cell>
          <cell r="G62" t="str">
            <v>ATP</v>
          </cell>
          <cell r="H62" t="str">
            <v>Symbol</v>
          </cell>
          <cell r="I62" t="str">
            <v>Open</v>
          </cell>
          <cell r="J62" t="str">
            <v>High Price</v>
          </cell>
          <cell r="K62" t="str">
            <v>Low Price</v>
          </cell>
          <cell r="L62" t="str">
            <v>Prev Close Price</v>
          </cell>
          <cell r="M62" t="str">
            <v>Min Lot Qty</v>
          </cell>
          <cell r="N62" t="str">
            <v>Open Interest</v>
          </cell>
          <cell r="O62" t="str">
            <v>Volume</v>
          </cell>
        </row>
        <row r="63">
          <cell r="A63" t="str">
            <v>LT16JUNFUT</v>
          </cell>
          <cell r="B63">
            <v>1489.3</v>
          </cell>
          <cell r="C63">
            <v>1489.9</v>
          </cell>
          <cell r="D63">
            <v>1489.95</v>
          </cell>
          <cell r="E63">
            <v>-6.8</v>
          </cell>
          <cell r="F63">
            <v>-0.45</v>
          </cell>
          <cell r="G63">
            <v>1496.46</v>
          </cell>
          <cell r="H63" t="str">
            <v>LT</v>
          </cell>
          <cell r="I63">
            <v>1497.25</v>
          </cell>
          <cell r="J63">
            <v>1504.4</v>
          </cell>
          <cell r="K63">
            <v>1482.6</v>
          </cell>
          <cell r="L63">
            <v>1496.7</v>
          </cell>
          <cell r="M63">
            <v>300</v>
          </cell>
          <cell r="N63">
            <v>6701100</v>
          </cell>
          <cell r="O63">
            <v>1465200</v>
          </cell>
        </row>
        <row r="64">
          <cell r="A64" t="str">
            <v>RELINFRA16JUNFUT</v>
          </cell>
          <cell r="B64">
            <v>541.4</v>
          </cell>
          <cell r="C64">
            <v>541.5</v>
          </cell>
          <cell r="D64">
            <v>541.5</v>
          </cell>
          <cell r="E64">
            <v>-3.4</v>
          </cell>
          <cell r="F64">
            <v>-0.62</v>
          </cell>
          <cell r="G64">
            <v>549.54999999999995</v>
          </cell>
          <cell r="H64" t="str">
            <v>RELINFRA</v>
          </cell>
          <cell r="I64">
            <v>546.04999999999995</v>
          </cell>
          <cell r="J64">
            <v>555</v>
          </cell>
          <cell r="K64">
            <v>540.20000000000005</v>
          </cell>
          <cell r="L64">
            <v>544.9</v>
          </cell>
          <cell r="M64">
            <v>1300</v>
          </cell>
          <cell r="N64">
            <v>9009000</v>
          </cell>
          <cell r="O64">
            <v>10661300</v>
          </cell>
        </row>
        <row r="65">
          <cell r="A65" t="str">
            <v>IDFC16JUNFUT</v>
          </cell>
          <cell r="B65">
            <v>49.9</v>
          </cell>
          <cell r="C65">
            <v>49.9</v>
          </cell>
          <cell r="D65">
            <v>49.95</v>
          </cell>
          <cell r="E65">
            <v>-0.95</v>
          </cell>
          <cell r="F65">
            <v>-1.87</v>
          </cell>
          <cell r="G65">
            <v>50.38</v>
          </cell>
          <cell r="H65" t="str">
            <v>IDFC</v>
          </cell>
          <cell r="I65">
            <v>50.55</v>
          </cell>
          <cell r="J65">
            <v>50.9</v>
          </cell>
          <cell r="K65">
            <v>49.6</v>
          </cell>
          <cell r="L65">
            <v>50.85</v>
          </cell>
          <cell r="M65">
            <v>3300</v>
          </cell>
          <cell r="N65">
            <v>69963300</v>
          </cell>
          <cell r="O65">
            <v>3418800</v>
          </cell>
        </row>
        <row r="66">
          <cell r="A66" t="str">
            <v>DLF16JUNFUT</v>
          </cell>
          <cell r="B66">
            <v>138.05000000000001</v>
          </cell>
          <cell r="C66">
            <v>138.1</v>
          </cell>
          <cell r="D66">
            <v>138.15</v>
          </cell>
          <cell r="E66">
            <v>0.05</v>
          </cell>
          <cell r="F66">
            <v>0.04</v>
          </cell>
          <cell r="G66">
            <v>138.88</v>
          </cell>
          <cell r="H66" t="str">
            <v>DLF</v>
          </cell>
          <cell r="I66">
            <v>138.55000000000001</v>
          </cell>
          <cell r="J66">
            <v>140</v>
          </cell>
          <cell r="K66">
            <v>137.55000000000001</v>
          </cell>
          <cell r="L66">
            <v>138.05000000000001</v>
          </cell>
          <cell r="M66">
            <v>5000</v>
          </cell>
          <cell r="N66">
            <v>35780000</v>
          </cell>
          <cell r="O66">
            <v>27840000</v>
          </cell>
        </row>
        <row r="67">
          <cell r="A67" t="str">
            <v>HDIL16JUNFUT</v>
          </cell>
          <cell r="B67">
            <v>105.5</v>
          </cell>
          <cell r="C67">
            <v>105.6</v>
          </cell>
          <cell r="D67">
            <v>105.6</v>
          </cell>
          <cell r="E67">
            <v>0</v>
          </cell>
          <cell r="F67">
            <v>0</v>
          </cell>
          <cell r="G67">
            <v>107.16</v>
          </cell>
          <cell r="H67" t="str">
            <v>HDIL</v>
          </cell>
          <cell r="I67">
            <v>106.3</v>
          </cell>
          <cell r="J67">
            <v>108.45</v>
          </cell>
          <cell r="K67">
            <v>105.15</v>
          </cell>
          <cell r="L67">
            <v>105.6</v>
          </cell>
          <cell r="M67">
            <v>6000</v>
          </cell>
          <cell r="N67">
            <v>24966000</v>
          </cell>
          <cell r="O67">
            <v>37812000</v>
          </cell>
        </row>
        <row r="68">
          <cell r="A68" t="str">
            <v>IBREALEST16JUNFUT</v>
          </cell>
          <cell r="B68">
            <v>94.35</v>
          </cell>
          <cell r="C68">
            <v>94.3</v>
          </cell>
          <cell r="D68">
            <v>94.55</v>
          </cell>
          <cell r="E68">
            <v>-1.1499999999999999</v>
          </cell>
          <cell r="F68">
            <v>-1.2</v>
          </cell>
          <cell r="G68">
            <v>96.15</v>
          </cell>
          <cell r="H68" t="str">
            <v>IBREALEST</v>
          </cell>
          <cell r="I68">
            <v>95.95</v>
          </cell>
          <cell r="J68">
            <v>97.8</v>
          </cell>
          <cell r="K68">
            <v>94</v>
          </cell>
          <cell r="L68">
            <v>95.45</v>
          </cell>
          <cell r="M68">
            <v>9000</v>
          </cell>
          <cell r="N68">
            <v>29826000</v>
          </cell>
          <cell r="O68">
            <v>8613000</v>
          </cell>
        </row>
        <row r="69">
          <cell r="A69" t="str">
            <v>GMRINFRA16JUNFUT</v>
          </cell>
          <cell r="B69">
            <v>12.4</v>
          </cell>
          <cell r="C69">
            <v>12.4</v>
          </cell>
          <cell r="D69">
            <v>12.45</v>
          </cell>
          <cell r="E69">
            <v>-0.45</v>
          </cell>
          <cell r="F69">
            <v>-3.5</v>
          </cell>
          <cell r="G69">
            <v>12.58</v>
          </cell>
          <cell r="H69" t="str">
            <v>GMRINFRA</v>
          </cell>
          <cell r="I69">
            <v>12.8</v>
          </cell>
          <cell r="J69">
            <v>12.9</v>
          </cell>
          <cell r="K69">
            <v>12.35</v>
          </cell>
          <cell r="L69">
            <v>12.85</v>
          </cell>
          <cell r="M69">
            <v>39000</v>
          </cell>
          <cell r="N69">
            <v>190242000</v>
          </cell>
          <cell r="O69">
            <v>42549000</v>
          </cell>
        </row>
        <row r="70">
          <cell r="A70" t="str">
            <v>JPASSOCIAT16JUNFUT</v>
          </cell>
          <cell r="B70">
            <v>7.8</v>
          </cell>
          <cell r="C70">
            <v>7.8</v>
          </cell>
          <cell r="D70">
            <v>7.85</v>
          </cell>
          <cell r="E70">
            <v>-0.25</v>
          </cell>
          <cell r="F70">
            <v>-3.11</v>
          </cell>
          <cell r="G70">
            <v>7.87</v>
          </cell>
          <cell r="H70" t="str">
            <v>JPASSOCIAT</v>
          </cell>
          <cell r="I70">
            <v>8.0500000000000007</v>
          </cell>
          <cell r="J70">
            <v>8.1</v>
          </cell>
          <cell r="K70">
            <v>7.7</v>
          </cell>
          <cell r="L70">
            <v>8.0500000000000007</v>
          </cell>
          <cell r="M70">
            <v>48000</v>
          </cell>
          <cell r="N70">
            <v>155808000</v>
          </cell>
          <cell r="O70">
            <v>10464000</v>
          </cell>
        </row>
        <row r="71">
          <cell r="A71" t="str">
            <v>UNITECH16JUNFUT</v>
          </cell>
          <cell r="B71">
            <v>5.95</v>
          </cell>
          <cell r="C71">
            <v>5.95</v>
          </cell>
          <cell r="D71">
            <v>6</v>
          </cell>
          <cell r="E71">
            <v>-0.15</v>
          </cell>
          <cell r="F71">
            <v>-2.46</v>
          </cell>
          <cell r="G71">
            <v>6.05</v>
          </cell>
          <cell r="H71" t="str">
            <v>UNITECH</v>
          </cell>
          <cell r="I71">
            <v>6.1</v>
          </cell>
          <cell r="J71">
            <v>6.2</v>
          </cell>
          <cell r="K71">
            <v>5.95</v>
          </cell>
          <cell r="L71">
            <v>6.1</v>
          </cell>
          <cell r="M71">
            <v>77000</v>
          </cell>
          <cell r="N71">
            <v>147378000</v>
          </cell>
          <cell r="O71">
            <v>36498000</v>
          </cell>
        </row>
        <row r="72">
          <cell r="A72" t="str">
            <v>IRB16JUNFUT</v>
          </cell>
          <cell r="B72">
            <v>209.35</v>
          </cell>
          <cell r="C72">
            <v>209.45</v>
          </cell>
          <cell r="D72">
            <v>209.65</v>
          </cell>
          <cell r="E72">
            <v>-3.25</v>
          </cell>
          <cell r="F72">
            <v>-1.53</v>
          </cell>
          <cell r="G72">
            <v>210.9</v>
          </cell>
          <cell r="H72" t="str">
            <v>IRB</v>
          </cell>
          <cell r="I72">
            <v>212</v>
          </cell>
          <cell r="J72">
            <v>213.5</v>
          </cell>
          <cell r="K72">
            <v>209.1</v>
          </cell>
          <cell r="L72">
            <v>212.7</v>
          </cell>
          <cell r="M72">
            <v>2100</v>
          </cell>
          <cell r="N72">
            <v>7423500</v>
          </cell>
          <cell r="O72">
            <v>1770300</v>
          </cell>
        </row>
        <row r="73">
          <cell r="A73"/>
          <cell r="B73"/>
          <cell r="C73"/>
          <cell r="D73"/>
          <cell r="E73"/>
          <cell r="F73"/>
          <cell r="G73"/>
          <cell r="H73"/>
          <cell r="I73"/>
          <cell r="J73"/>
          <cell r="K73"/>
          <cell r="L73"/>
          <cell r="M73"/>
          <cell r="N73"/>
          <cell r="O73"/>
        </row>
        <row r="74">
          <cell r="A74" t="str">
            <v>Oil &amp; Gas :</v>
          </cell>
          <cell r="B74"/>
          <cell r="C74"/>
          <cell r="D74"/>
          <cell r="E74"/>
          <cell r="F74"/>
          <cell r="G74"/>
          <cell r="H74"/>
          <cell r="I74"/>
          <cell r="J74"/>
          <cell r="K74"/>
          <cell r="L74"/>
          <cell r="M74"/>
          <cell r="N74"/>
          <cell r="O74"/>
        </row>
        <row r="75">
          <cell r="A75" t="str">
            <v>Trading Symbol</v>
          </cell>
          <cell r="B75" t="str">
            <v>Best Buy Rate</v>
          </cell>
          <cell r="C75" t="str">
            <v>Last Traded Price</v>
          </cell>
          <cell r="D75" t="str">
            <v>Best Sell Rate</v>
          </cell>
          <cell r="E75" t="str">
            <v>Net Change</v>
          </cell>
          <cell r="F75" t="str">
            <v>Percentage Change</v>
          </cell>
          <cell r="G75" t="str">
            <v>ATP</v>
          </cell>
          <cell r="H75" t="str">
            <v>Symbol</v>
          </cell>
          <cell r="I75" t="str">
            <v>Open</v>
          </cell>
          <cell r="J75" t="str">
            <v>High Price</v>
          </cell>
          <cell r="K75" t="str">
            <v>Low Price</v>
          </cell>
          <cell r="L75" t="str">
            <v>Prev Close Price</v>
          </cell>
          <cell r="M75" t="str">
            <v>Min Lot Qty</v>
          </cell>
          <cell r="N75" t="str">
            <v>Open Interest</v>
          </cell>
          <cell r="O75" t="str">
            <v>Volume</v>
          </cell>
        </row>
        <row r="76">
          <cell r="A76" t="str">
            <v>BPCL16JUNFUT</v>
          </cell>
          <cell r="B76">
            <v>1005.05</v>
          </cell>
          <cell r="C76">
            <v>1005.5</v>
          </cell>
          <cell r="D76">
            <v>1005.6</v>
          </cell>
          <cell r="E76">
            <v>-3.5</v>
          </cell>
          <cell r="F76">
            <v>-0.35</v>
          </cell>
          <cell r="G76">
            <v>1009.35</v>
          </cell>
          <cell r="H76" t="str">
            <v>BPCL</v>
          </cell>
          <cell r="I76">
            <v>1008.5</v>
          </cell>
          <cell r="J76">
            <v>1014.2</v>
          </cell>
          <cell r="K76">
            <v>1003.6</v>
          </cell>
          <cell r="L76">
            <v>1009</v>
          </cell>
          <cell r="M76">
            <v>600</v>
          </cell>
          <cell r="N76">
            <v>5320800</v>
          </cell>
          <cell r="O76">
            <v>990000</v>
          </cell>
        </row>
        <row r="77">
          <cell r="A77" t="str">
            <v>RELIANCE16JUNFUT</v>
          </cell>
          <cell r="B77">
            <v>981.2</v>
          </cell>
          <cell r="C77">
            <v>981.4</v>
          </cell>
          <cell r="D77">
            <v>981.4</v>
          </cell>
          <cell r="E77">
            <v>-6.5</v>
          </cell>
          <cell r="F77">
            <v>-0.66</v>
          </cell>
          <cell r="G77">
            <v>983.12</v>
          </cell>
          <cell r="H77" t="str">
            <v>RELIANCE</v>
          </cell>
          <cell r="I77">
            <v>985.4</v>
          </cell>
          <cell r="J77">
            <v>987</v>
          </cell>
          <cell r="K77">
            <v>978.45</v>
          </cell>
          <cell r="L77">
            <v>987.9</v>
          </cell>
          <cell r="M77">
            <v>500</v>
          </cell>
          <cell r="N77">
            <v>21643500</v>
          </cell>
          <cell r="O77">
            <v>3208500</v>
          </cell>
        </row>
        <row r="78">
          <cell r="A78" t="str">
            <v>HINDPETRO16JUNFUT</v>
          </cell>
          <cell r="B78">
            <v>921</v>
          </cell>
          <cell r="C78">
            <v>921.5</v>
          </cell>
          <cell r="D78">
            <v>921.5</v>
          </cell>
          <cell r="E78">
            <v>-10.5</v>
          </cell>
          <cell r="F78">
            <v>-1.1299999999999999</v>
          </cell>
          <cell r="G78">
            <v>927.3</v>
          </cell>
          <cell r="H78" t="str">
            <v>HINDPETRO</v>
          </cell>
          <cell r="I78">
            <v>932.35</v>
          </cell>
          <cell r="J78">
            <v>936</v>
          </cell>
          <cell r="K78">
            <v>918.6</v>
          </cell>
          <cell r="L78">
            <v>932</v>
          </cell>
          <cell r="M78">
            <v>600</v>
          </cell>
          <cell r="N78">
            <v>5925600</v>
          </cell>
          <cell r="O78">
            <v>1400400</v>
          </cell>
        </row>
        <row r="79">
          <cell r="A79" t="str">
            <v>IOC16JUNFUT</v>
          </cell>
          <cell r="B79">
            <v>414</v>
          </cell>
          <cell r="C79">
            <v>414.05</v>
          </cell>
          <cell r="D79">
            <v>414.2</v>
          </cell>
          <cell r="E79">
            <v>-0.2</v>
          </cell>
          <cell r="F79">
            <v>-0.05</v>
          </cell>
          <cell r="G79">
            <v>414.34</v>
          </cell>
          <cell r="H79" t="str">
            <v>IOC</v>
          </cell>
          <cell r="I79">
            <v>413.05</v>
          </cell>
          <cell r="J79">
            <v>415.6</v>
          </cell>
          <cell r="K79">
            <v>412.15</v>
          </cell>
          <cell r="L79">
            <v>414.25</v>
          </cell>
          <cell r="M79">
            <v>1200</v>
          </cell>
          <cell r="N79">
            <v>9897600</v>
          </cell>
          <cell r="O79">
            <v>874800</v>
          </cell>
        </row>
        <row r="80">
          <cell r="A80" t="str">
            <v>ONGC16JUNFUT</v>
          </cell>
          <cell r="B80">
            <v>217.2</v>
          </cell>
          <cell r="C80">
            <v>217.25</v>
          </cell>
          <cell r="D80">
            <v>217.3</v>
          </cell>
          <cell r="E80">
            <v>-0.5</v>
          </cell>
          <cell r="F80">
            <v>-0.23</v>
          </cell>
          <cell r="G80">
            <v>218.52</v>
          </cell>
          <cell r="H80" t="str">
            <v>ONGC</v>
          </cell>
          <cell r="I80">
            <v>217.55</v>
          </cell>
          <cell r="J80">
            <v>219.6</v>
          </cell>
          <cell r="K80">
            <v>216.7</v>
          </cell>
          <cell r="L80">
            <v>217.75</v>
          </cell>
          <cell r="M80">
            <v>2000</v>
          </cell>
          <cell r="N80">
            <v>24778000</v>
          </cell>
          <cell r="O80">
            <v>5374000</v>
          </cell>
        </row>
        <row r="81">
          <cell r="A81" t="str">
            <v>CAIRN16JUNFUT</v>
          </cell>
          <cell r="B81">
            <v>138.75</v>
          </cell>
          <cell r="C81">
            <v>138.75</v>
          </cell>
          <cell r="D81">
            <v>138.85</v>
          </cell>
          <cell r="E81">
            <v>0</v>
          </cell>
          <cell r="F81">
            <v>0</v>
          </cell>
          <cell r="G81">
            <v>139.25</v>
          </cell>
          <cell r="H81" t="str">
            <v>CAIRN</v>
          </cell>
          <cell r="I81">
            <v>139.5</v>
          </cell>
          <cell r="J81">
            <v>140</v>
          </cell>
          <cell r="K81">
            <v>138.55000000000001</v>
          </cell>
          <cell r="L81">
            <v>138.75</v>
          </cell>
          <cell r="M81">
            <v>3000</v>
          </cell>
          <cell r="N81">
            <v>11817000</v>
          </cell>
          <cell r="O81">
            <v>1887000</v>
          </cell>
        </row>
        <row r="82">
          <cell r="A82" t="str">
            <v>CASTROLIND16JUNFUT</v>
          </cell>
          <cell r="B82">
            <v>376.9</v>
          </cell>
          <cell r="C82">
            <v>377.05</v>
          </cell>
          <cell r="D82">
            <v>377.15</v>
          </cell>
          <cell r="E82">
            <v>-1</v>
          </cell>
          <cell r="F82">
            <v>-0.26</v>
          </cell>
          <cell r="G82">
            <v>379.07</v>
          </cell>
          <cell r="H82" t="str">
            <v>CASTROLIND</v>
          </cell>
          <cell r="I82">
            <v>378.1</v>
          </cell>
          <cell r="J82">
            <v>382.5</v>
          </cell>
          <cell r="K82">
            <v>375.5</v>
          </cell>
          <cell r="L82">
            <v>378.05</v>
          </cell>
          <cell r="M82">
            <v>1100</v>
          </cell>
          <cell r="N82">
            <v>6915700</v>
          </cell>
          <cell r="O82">
            <v>1464100</v>
          </cell>
        </row>
        <row r="83">
          <cell r="A83" t="str">
            <v>OIL16JUNFUT</v>
          </cell>
          <cell r="B83">
            <v>358.8</v>
          </cell>
          <cell r="C83">
            <v>358.9</v>
          </cell>
          <cell r="D83">
            <v>359.4</v>
          </cell>
          <cell r="E83">
            <v>2.1</v>
          </cell>
          <cell r="F83">
            <v>0.59</v>
          </cell>
          <cell r="G83">
            <v>357.93</v>
          </cell>
          <cell r="H83" t="str">
            <v>OIL</v>
          </cell>
          <cell r="I83">
            <v>354</v>
          </cell>
          <cell r="J83">
            <v>359.85</v>
          </cell>
          <cell r="K83">
            <v>354</v>
          </cell>
          <cell r="L83">
            <v>356.8</v>
          </cell>
          <cell r="M83">
            <v>1200</v>
          </cell>
          <cell r="N83">
            <v>831600</v>
          </cell>
          <cell r="O83">
            <v>202800</v>
          </cell>
        </row>
        <row r="84">
          <cell r="A84" t="str">
            <v>GAIL16JUNFUT</v>
          </cell>
          <cell r="B84">
            <v>376.35</v>
          </cell>
          <cell r="C84">
            <v>376.45</v>
          </cell>
          <cell r="D84">
            <v>376.5</v>
          </cell>
          <cell r="E84">
            <v>-6.8</v>
          </cell>
          <cell r="F84">
            <v>-1.77</v>
          </cell>
          <cell r="G84">
            <v>379.05</v>
          </cell>
          <cell r="H84" t="str">
            <v>GAIL</v>
          </cell>
          <cell r="I84">
            <v>385.25</v>
          </cell>
          <cell r="J84">
            <v>385.25</v>
          </cell>
          <cell r="K84">
            <v>375.7</v>
          </cell>
          <cell r="L84">
            <v>383.25</v>
          </cell>
          <cell r="M84">
            <v>1400</v>
          </cell>
          <cell r="N84">
            <v>7478800</v>
          </cell>
          <cell r="O84">
            <v>1260000</v>
          </cell>
        </row>
        <row r="85">
          <cell r="A85"/>
          <cell r="B85"/>
          <cell r="C85"/>
          <cell r="D85"/>
          <cell r="E85"/>
          <cell r="F85"/>
          <cell r="G85"/>
          <cell r="H85"/>
          <cell r="I85"/>
          <cell r="J85"/>
          <cell r="K85"/>
          <cell r="L85"/>
          <cell r="M85"/>
          <cell r="N85"/>
          <cell r="O85"/>
        </row>
        <row r="86">
          <cell r="A86" t="str">
            <v>Power :</v>
          </cell>
          <cell r="B86"/>
          <cell r="C86"/>
          <cell r="D86"/>
          <cell r="E86"/>
          <cell r="F86"/>
          <cell r="G86"/>
          <cell r="H86"/>
          <cell r="I86"/>
          <cell r="J86"/>
          <cell r="K86"/>
          <cell r="L86"/>
          <cell r="M86"/>
          <cell r="N86"/>
          <cell r="O86"/>
        </row>
        <row r="87">
          <cell r="A87" t="str">
            <v>Trading Symbol</v>
          </cell>
          <cell r="B87" t="str">
            <v>Best Buy Rate</v>
          </cell>
          <cell r="C87" t="str">
            <v>Last Traded Price</v>
          </cell>
          <cell r="D87" t="str">
            <v>Best Sell Rate</v>
          </cell>
          <cell r="E87" t="str">
            <v>Net Change</v>
          </cell>
          <cell r="F87" t="str">
            <v>Percentage Change</v>
          </cell>
          <cell r="G87" t="str">
            <v>ATP</v>
          </cell>
          <cell r="H87" t="str">
            <v>Symbol</v>
          </cell>
          <cell r="I87" t="str">
            <v>Open</v>
          </cell>
          <cell r="J87" t="str">
            <v>High Price</v>
          </cell>
          <cell r="K87" t="str">
            <v>Low Price</v>
          </cell>
          <cell r="L87" t="str">
            <v>Prev Close Price</v>
          </cell>
          <cell r="M87" t="str">
            <v>Min Lot Qty</v>
          </cell>
          <cell r="N87" t="str">
            <v>Open Interest</v>
          </cell>
          <cell r="O87" t="str">
            <v>Volume</v>
          </cell>
        </row>
        <row r="88">
          <cell r="A88" t="str">
            <v>RECLTD16JUNFUT</v>
          </cell>
          <cell r="B88">
            <v>167.65</v>
          </cell>
          <cell r="C88">
            <v>167.75</v>
          </cell>
          <cell r="D88">
            <v>167.8</v>
          </cell>
          <cell r="E88">
            <v>-3.2</v>
          </cell>
          <cell r="F88">
            <v>-1.87</v>
          </cell>
          <cell r="G88">
            <v>171.38</v>
          </cell>
          <cell r="H88" t="str">
            <v>RECLTD</v>
          </cell>
          <cell r="I88">
            <v>171.9</v>
          </cell>
          <cell r="J88">
            <v>173.85</v>
          </cell>
          <cell r="K88">
            <v>167</v>
          </cell>
          <cell r="L88">
            <v>170.95</v>
          </cell>
          <cell r="M88">
            <v>2000</v>
          </cell>
          <cell r="N88">
            <v>36054000</v>
          </cell>
          <cell r="O88">
            <v>14876000</v>
          </cell>
        </row>
        <row r="89">
          <cell r="A89" t="str">
            <v>PFC16JUNFUT</v>
          </cell>
          <cell r="B89">
            <v>166.35</v>
          </cell>
          <cell r="C89">
            <v>166.5</v>
          </cell>
          <cell r="D89">
            <v>166.5</v>
          </cell>
          <cell r="E89">
            <v>-1.1499999999999999</v>
          </cell>
          <cell r="F89">
            <v>-0.69</v>
          </cell>
          <cell r="G89">
            <v>168.78</v>
          </cell>
          <cell r="H89" t="str">
            <v>PFC</v>
          </cell>
          <cell r="I89">
            <v>168.35</v>
          </cell>
          <cell r="J89">
            <v>170.85</v>
          </cell>
          <cell r="K89">
            <v>166.1</v>
          </cell>
          <cell r="L89">
            <v>167.65</v>
          </cell>
          <cell r="M89">
            <v>2000</v>
          </cell>
          <cell r="N89">
            <v>15818000</v>
          </cell>
          <cell r="O89">
            <v>4748000</v>
          </cell>
        </row>
        <row r="90">
          <cell r="A90" t="str">
            <v>JSWENERGY16JUNFUT</v>
          </cell>
          <cell r="B90">
            <v>80.2</v>
          </cell>
          <cell r="C90">
            <v>80.349999999999994</v>
          </cell>
          <cell r="D90">
            <v>80.400000000000006</v>
          </cell>
          <cell r="E90">
            <v>-3.25</v>
          </cell>
          <cell r="F90">
            <v>-3.89</v>
          </cell>
          <cell r="G90">
            <v>81.94</v>
          </cell>
          <cell r="H90" t="str">
            <v>JSWENERGY</v>
          </cell>
          <cell r="I90">
            <v>83.45</v>
          </cell>
          <cell r="J90">
            <v>83.85</v>
          </cell>
          <cell r="K90">
            <v>80.2</v>
          </cell>
          <cell r="L90">
            <v>83.6</v>
          </cell>
          <cell r="M90">
            <v>6000</v>
          </cell>
          <cell r="N90">
            <v>14052000</v>
          </cell>
          <cell r="O90">
            <v>5052000</v>
          </cell>
        </row>
        <row r="91">
          <cell r="A91" t="str">
            <v>PTC16JUNFUT</v>
          </cell>
          <cell r="B91">
            <v>75.400000000000006</v>
          </cell>
          <cell r="C91">
            <v>75.55</v>
          </cell>
          <cell r="D91">
            <v>75.5</v>
          </cell>
          <cell r="E91">
            <v>-1.45</v>
          </cell>
          <cell r="F91">
            <v>-1.88</v>
          </cell>
          <cell r="G91">
            <v>76.48</v>
          </cell>
          <cell r="H91" t="str">
            <v>PTC</v>
          </cell>
          <cell r="I91">
            <v>76.95</v>
          </cell>
          <cell r="J91">
            <v>77.05</v>
          </cell>
          <cell r="K91">
            <v>75.400000000000006</v>
          </cell>
          <cell r="L91">
            <v>77</v>
          </cell>
          <cell r="M91">
            <v>8000</v>
          </cell>
          <cell r="N91">
            <v>9504000</v>
          </cell>
          <cell r="O91">
            <v>3744000</v>
          </cell>
        </row>
        <row r="92">
          <cell r="A92" t="str">
            <v>RPOWER16JUNFUT</v>
          </cell>
          <cell r="B92">
            <v>51.25</v>
          </cell>
          <cell r="C92">
            <v>51.25</v>
          </cell>
          <cell r="D92">
            <v>51.3</v>
          </cell>
          <cell r="E92">
            <v>-1.05</v>
          </cell>
          <cell r="F92">
            <v>-2.0099999999999998</v>
          </cell>
          <cell r="G92">
            <v>51.8</v>
          </cell>
          <cell r="H92" t="str">
            <v>RPOWER</v>
          </cell>
          <cell r="I92">
            <v>52.5</v>
          </cell>
          <cell r="J92">
            <v>52.6</v>
          </cell>
          <cell r="K92">
            <v>51.1</v>
          </cell>
          <cell r="L92">
            <v>52.3</v>
          </cell>
          <cell r="M92">
            <v>12000</v>
          </cell>
          <cell r="N92">
            <v>48468000</v>
          </cell>
          <cell r="O92">
            <v>10968000</v>
          </cell>
        </row>
        <row r="93">
          <cell r="A93" t="str">
            <v>ADANIPOWER16JUNFUT</v>
          </cell>
          <cell r="B93">
            <v>29.6</v>
          </cell>
          <cell r="C93">
            <v>29.65</v>
          </cell>
          <cell r="D93">
            <v>29.7</v>
          </cell>
          <cell r="E93">
            <v>-0.5</v>
          </cell>
          <cell r="F93">
            <v>-1.66</v>
          </cell>
          <cell r="G93">
            <v>29.98</v>
          </cell>
          <cell r="H93" t="str">
            <v>ADANIPOWER</v>
          </cell>
          <cell r="I93">
            <v>30.2</v>
          </cell>
          <cell r="J93">
            <v>30.45</v>
          </cell>
          <cell r="K93">
            <v>29.6</v>
          </cell>
          <cell r="L93">
            <v>30.15</v>
          </cell>
          <cell r="M93">
            <v>20000</v>
          </cell>
          <cell r="N93">
            <v>84840000</v>
          </cell>
          <cell r="O93">
            <v>11940000</v>
          </cell>
        </row>
        <row r="94">
          <cell r="A94" t="str">
            <v>TATAPOWER16JUNFUT</v>
          </cell>
          <cell r="B94">
            <v>73.75</v>
          </cell>
          <cell r="C94">
            <v>73.8</v>
          </cell>
          <cell r="D94">
            <v>73.849999999999994</v>
          </cell>
          <cell r="E94">
            <v>0.15</v>
          </cell>
          <cell r="F94">
            <v>0.2</v>
          </cell>
          <cell r="G94">
            <v>73.92</v>
          </cell>
          <cell r="H94" t="str">
            <v>TATAPOWER</v>
          </cell>
          <cell r="I94">
            <v>73.650000000000006</v>
          </cell>
          <cell r="J94">
            <v>74.25</v>
          </cell>
          <cell r="K94">
            <v>73.3</v>
          </cell>
          <cell r="L94">
            <v>73.650000000000006</v>
          </cell>
          <cell r="M94">
            <v>8000</v>
          </cell>
          <cell r="N94">
            <v>25840000</v>
          </cell>
          <cell r="O94">
            <v>4000000</v>
          </cell>
        </row>
        <row r="95">
          <cell r="A95" t="str">
            <v>POWERGRID16JUNFUT</v>
          </cell>
          <cell r="B95">
            <v>155.44999999999999</v>
          </cell>
          <cell r="C95">
            <v>155.44999999999999</v>
          </cell>
          <cell r="D95">
            <v>155.55000000000001</v>
          </cell>
          <cell r="E95">
            <v>-0.65</v>
          </cell>
          <cell r="F95">
            <v>-0.42</v>
          </cell>
          <cell r="G95">
            <v>155.87</v>
          </cell>
          <cell r="H95" t="str">
            <v>POWERGRID</v>
          </cell>
          <cell r="I95">
            <v>155.55000000000001</v>
          </cell>
          <cell r="J95">
            <v>156.9</v>
          </cell>
          <cell r="K95">
            <v>155</v>
          </cell>
          <cell r="L95">
            <v>156.1</v>
          </cell>
          <cell r="M95">
            <v>4000</v>
          </cell>
          <cell r="N95">
            <v>20868000</v>
          </cell>
          <cell r="O95">
            <v>2256000</v>
          </cell>
        </row>
        <row r="96">
          <cell r="A96" t="str">
            <v>NTPC16JUNFUT</v>
          </cell>
          <cell r="B96">
            <v>152.4</v>
          </cell>
          <cell r="C96">
            <v>152.5</v>
          </cell>
          <cell r="D96">
            <v>152.6</v>
          </cell>
          <cell r="E96">
            <v>0.1</v>
          </cell>
          <cell r="F96">
            <v>7.0000000000000007E-2</v>
          </cell>
          <cell r="G96">
            <v>152.12</v>
          </cell>
          <cell r="H96" t="str">
            <v>NTPC</v>
          </cell>
          <cell r="I96">
            <v>152.05000000000001</v>
          </cell>
          <cell r="J96">
            <v>153.69999999999999</v>
          </cell>
          <cell r="K96">
            <v>150.85</v>
          </cell>
          <cell r="L96">
            <v>152.4</v>
          </cell>
          <cell r="M96">
            <v>4000</v>
          </cell>
          <cell r="N96">
            <v>19244000</v>
          </cell>
          <cell r="O96">
            <v>3800000</v>
          </cell>
        </row>
        <row r="97">
          <cell r="A97"/>
          <cell r="B97"/>
          <cell r="C97"/>
          <cell r="D97"/>
          <cell r="E97"/>
          <cell r="F97"/>
          <cell r="G97"/>
          <cell r="H97"/>
          <cell r="I97"/>
          <cell r="J97"/>
          <cell r="K97"/>
          <cell r="L97"/>
          <cell r="M97"/>
          <cell r="N97"/>
          <cell r="O97"/>
        </row>
        <row r="98">
          <cell r="A98" t="str">
            <v>FMCG :</v>
          </cell>
          <cell r="B98"/>
          <cell r="C98"/>
          <cell r="D98"/>
          <cell r="E98"/>
          <cell r="F98"/>
          <cell r="G98"/>
          <cell r="H98"/>
          <cell r="I98"/>
          <cell r="J98"/>
          <cell r="K98"/>
          <cell r="L98"/>
          <cell r="M98"/>
          <cell r="N98"/>
          <cell r="O98"/>
        </row>
        <row r="99">
          <cell r="A99" t="str">
            <v>Trading Symbol</v>
          </cell>
          <cell r="B99" t="str">
            <v>Best Buy Rate</v>
          </cell>
          <cell r="C99" t="str">
            <v>Last Traded Price</v>
          </cell>
          <cell r="D99" t="str">
            <v>Best Sell Rate</v>
          </cell>
          <cell r="E99" t="str">
            <v>Net Change</v>
          </cell>
          <cell r="F99" t="str">
            <v>Percentage Change</v>
          </cell>
          <cell r="G99" t="str">
            <v>ATP</v>
          </cell>
          <cell r="H99" t="str">
            <v>Symbol</v>
          </cell>
          <cell r="I99" t="str">
            <v>Open</v>
          </cell>
          <cell r="J99" t="str">
            <v>High Price</v>
          </cell>
          <cell r="K99" t="str">
            <v>Low Price</v>
          </cell>
          <cell r="L99" t="str">
            <v>Prev Close Price</v>
          </cell>
          <cell r="M99" t="str">
            <v>Min Lot Qty</v>
          </cell>
          <cell r="N99" t="str">
            <v>Open Interest</v>
          </cell>
          <cell r="O99" t="str">
            <v>Volume</v>
          </cell>
        </row>
        <row r="100">
          <cell r="A100" t="str">
            <v>COLPAL16JUNFUT</v>
          </cell>
          <cell r="B100">
            <v>884.1</v>
          </cell>
          <cell r="C100">
            <v>884.8</v>
          </cell>
          <cell r="D100">
            <v>886.35</v>
          </cell>
          <cell r="E100">
            <v>0.85</v>
          </cell>
          <cell r="F100">
            <v>0.1</v>
          </cell>
          <cell r="G100">
            <v>887.38</v>
          </cell>
          <cell r="H100" t="str">
            <v>COLPAL</v>
          </cell>
          <cell r="I100">
            <v>887</v>
          </cell>
          <cell r="J100">
            <v>892.8</v>
          </cell>
          <cell r="K100">
            <v>883.25</v>
          </cell>
          <cell r="L100">
            <v>883.95</v>
          </cell>
          <cell r="M100">
            <v>500</v>
          </cell>
          <cell r="N100">
            <v>2110000</v>
          </cell>
          <cell r="O100">
            <v>281500</v>
          </cell>
        </row>
        <row r="101">
          <cell r="A101" t="str">
            <v>HINDUNILVR16JUNFUT</v>
          </cell>
          <cell r="B101">
            <v>860</v>
          </cell>
          <cell r="C101">
            <v>860.15</v>
          </cell>
          <cell r="D101">
            <v>860.35</v>
          </cell>
          <cell r="E101">
            <v>-3.85</v>
          </cell>
          <cell r="F101">
            <v>-0.45</v>
          </cell>
          <cell r="G101">
            <v>864.64</v>
          </cell>
          <cell r="H101" t="str">
            <v>HINDUNILVR</v>
          </cell>
          <cell r="I101">
            <v>871.3</v>
          </cell>
          <cell r="J101">
            <v>871.3</v>
          </cell>
          <cell r="K101">
            <v>857.8</v>
          </cell>
          <cell r="L101">
            <v>864</v>
          </cell>
          <cell r="M101">
            <v>600</v>
          </cell>
          <cell r="N101">
            <v>5760000</v>
          </cell>
          <cell r="O101">
            <v>874200</v>
          </cell>
        </row>
        <row r="102">
          <cell r="A102" t="str">
            <v>GODREJIND16JUNFUT</v>
          </cell>
          <cell r="B102">
            <v>370.9</v>
          </cell>
          <cell r="C102">
            <v>370.9</v>
          </cell>
          <cell r="D102">
            <v>371.4</v>
          </cell>
          <cell r="E102">
            <v>-0.1</v>
          </cell>
          <cell r="F102">
            <v>-0.03</v>
          </cell>
          <cell r="G102">
            <v>372.34</v>
          </cell>
          <cell r="H102" t="str">
            <v>GODREJIND</v>
          </cell>
          <cell r="I102">
            <v>369.05</v>
          </cell>
          <cell r="J102">
            <v>375.7</v>
          </cell>
          <cell r="K102">
            <v>369.05</v>
          </cell>
          <cell r="L102">
            <v>371</v>
          </cell>
          <cell r="M102">
            <v>1300</v>
          </cell>
          <cell r="N102">
            <v>1448200</v>
          </cell>
          <cell r="O102">
            <v>672100</v>
          </cell>
        </row>
        <row r="103">
          <cell r="A103" t="str">
            <v>BRITANNIA16JUNFUT</v>
          </cell>
          <cell r="B103">
            <v>2591</v>
          </cell>
          <cell r="C103">
            <v>2592.35</v>
          </cell>
          <cell r="D103">
            <v>2592.35</v>
          </cell>
          <cell r="E103">
            <v>15.05</v>
          </cell>
          <cell r="F103">
            <v>0.57999999999999996</v>
          </cell>
          <cell r="G103">
            <v>2586.89</v>
          </cell>
          <cell r="H103" t="str">
            <v>BRITANNIA</v>
          </cell>
          <cell r="I103">
            <v>2579.0500000000002</v>
          </cell>
          <cell r="J103">
            <v>2598.9</v>
          </cell>
          <cell r="K103">
            <v>2570</v>
          </cell>
          <cell r="L103">
            <v>2577.3000000000002</v>
          </cell>
          <cell r="M103">
            <v>200</v>
          </cell>
          <cell r="N103">
            <v>1829000</v>
          </cell>
          <cell r="O103">
            <v>171600</v>
          </cell>
        </row>
        <row r="104">
          <cell r="A104" t="str">
            <v>JUBLFOOD16JUNFUT</v>
          </cell>
          <cell r="B104">
            <v>1052.5</v>
          </cell>
          <cell r="C104">
            <v>1052.55</v>
          </cell>
          <cell r="D104">
            <v>1053.45</v>
          </cell>
          <cell r="E104">
            <v>-8.25</v>
          </cell>
          <cell r="F104">
            <v>-0.78</v>
          </cell>
          <cell r="G104">
            <v>1060.01</v>
          </cell>
          <cell r="H104" t="str">
            <v>JUBLFOOD</v>
          </cell>
          <cell r="I104">
            <v>1058.0999999999999</v>
          </cell>
          <cell r="J104">
            <v>1069</v>
          </cell>
          <cell r="K104">
            <v>1051</v>
          </cell>
          <cell r="L104">
            <v>1060.8</v>
          </cell>
          <cell r="M104">
            <v>300</v>
          </cell>
          <cell r="N104">
            <v>2060100</v>
          </cell>
          <cell r="O104">
            <v>177300</v>
          </cell>
        </row>
        <row r="105">
          <cell r="A105" t="str">
            <v>ITC16JUNFUT</v>
          </cell>
          <cell r="B105">
            <v>355.45</v>
          </cell>
          <cell r="C105">
            <v>355.65</v>
          </cell>
          <cell r="D105">
            <v>355.5</v>
          </cell>
          <cell r="E105">
            <v>-3.1</v>
          </cell>
          <cell r="F105">
            <v>-0.86</v>
          </cell>
          <cell r="G105">
            <v>357.07</v>
          </cell>
          <cell r="H105" t="str">
            <v>ITC</v>
          </cell>
          <cell r="I105">
            <v>357.9</v>
          </cell>
          <cell r="J105">
            <v>359.65</v>
          </cell>
          <cell r="K105">
            <v>352.8</v>
          </cell>
          <cell r="L105">
            <v>358.75</v>
          </cell>
          <cell r="M105">
            <v>1600</v>
          </cell>
          <cell r="N105">
            <v>29224000</v>
          </cell>
          <cell r="O105">
            <v>3747200</v>
          </cell>
        </row>
        <row r="106">
          <cell r="A106" t="str">
            <v>MCLEODRUSS16JUNFUT</v>
          </cell>
          <cell r="B106">
            <v>196.45</v>
          </cell>
          <cell r="C106">
            <v>196.7</v>
          </cell>
          <cell r="D106">
            <v>196.7</v>
          </cell>
          <cell r="E106">
            <v>2.8</v>
          </cell>
          <cell r="F106">
            <v>1.44</v>
          </cell>
          <cell r="G106">
            <v>197.78</v>
          </cell>
          <cell r="H106" t="str">
            <v>MCLEODRUSS</v>
          </cell>
          <cell r="I106">
            <v>194.35</v>
          </cell>
          <cell r="J106">
            <v>201.4</v>
          </cell>
          <cell r="K106">
            <v>192.7</v>
          </cell>
          <cell r="L106">
            <v>193.9</v>
          </cell>
          <cell r="M106">
            <v>2200</v>
          </cell>
          <cell r="N106">
            <v>3036000</v>
          </cell>
          <cell r="O106">
            <v>3757600</v>
          </cell>
        </row>
        <row r="107">
          <cell r="A107" t="str">
            <v>TATAGLOBAL16JUNFUT</v>
          </cell>
          <cell r="B107">
            <v>127</v>
          </cell>
          <cell r="C107">
            <v>127.05</v>
          </cell>
          <cell r="D107">
            <v>127.15</v>
          </cell>
          <cell r="E107">
            <v>1.05</v>
          </cell>
          <cell r="F107">
            <v>0.83</v>
          </cell>
          <cell r="G107">
            <v>127.29</v>
          </cell>
          <cell r="H107" t="str">
            <v>TATAGLOBAL</v>
          </cell>
          <cell r="I107">
            <v>125.6</v>
          </cell>
          <cell r="J107">
            <v>128.9</v>
          </cell>
          <cell r="K107">
            <v>125.1</v>
          </cell>
          <cell r="L107">
            <v>126</v>
          </cell>
          <cell r="M107">
            <v>4000</v>
          </cell>
          <cell r="N107">
            <v>21760000</v>
          </cell>
          <cell r="O107">
            <v>8380000</v>
          </cell>
        </row>
        <row r="108">
          <cell r="A108" t="str">
            <v>GODREJCP16JUNFUT</v>
          </cell>
          <cell r="B108">
            <v>1559</v>
          </cell>
          <cell r="C108">
            <v>1559.9</v>
          </cell>
          <cell r="D108">
            <v>1561</v>
          </cell>
          <cell r="E108">
            <v>-14.1</v>
          </cell>
          <cell r="F108">
            <v>-0.9</v>
          </cell>
          <cell r="G108">
            <v>1564.5</v>
          </cell>
          <cell r="H108" t="str">
            <v>GODREJCP</v>
          </cell>
          <cell r="I108">
            <v>1570.95</v>
          </cell>
          <cell r="J108">
            <v>1579.65</v>
          </cell>
          <cell r="K108">
            <v>1554.05</v>
          </cell>
          <cell r="L108">
            <v>1574</v>
          </cell>
          <cell r="M108">
            <v>400</v>
          </cell>
          <cell r="N108">
            <v>404000</v>
          </cell>
          <cell r="O108">
            <v>84800</v>
          </cell>
        </row>
        <row r="109">
          <cell r="A109" t="str">
            <v>UBL16JUNFUT</v>
          </cell>
          <cell r="B109">
            <v>744.05</v>
          </cell>
          <cell r="C109">
            <v>744.6</v>
          </cell>
          <cell r="D109">
            <v>744.75</v>
          </cell>
          <cell r="E109">
            <v>-1.9</v>
          </cell>
          <cell r="F109">
            <v>-0.25</v>
          </cell>
          <cell r="G109">
            <v>744.51</v>
          </cell>
          <cell r="H109" t="str">
            <v>UBL</v>
          </cell>
          <cell r="I109">
            <v>744.4</v>
          </cell>
          <cell r="J109">
            <v>749.3</v>
          </cell>
          <cell r="K109">
            <v>740.8</v>
          </cell>
          <cell r="L109">
            <v>746.5</v>
          </cell>
          <cell r="M109">
            <v>500</v>
          </cell>
          <cell r="N109">
            <v>2413500</v>
          </cell>
          <cell r="O109">
            <v>174000</v>
          </cell>
        </row>
        <row r="110">
          <cell r="A110" t="str">
            <v>DABUR16JUNFUT</v>
          </cell>
          <cell r="B110">
            <v>310.2</v>
          </cell>
          <cell r="C110">
            <v>310.25</v>
          </cell>
          <cell r="D110">
            <v>310.45</v>
          </cell>
          <cell r="E110">
            <v>0.2</v>
          </cell>
          <cell r="F110">
            <v>0.06</v>
          </cell>
          <cell r="G110">
            <v>311.88</v>
          </cell>
          <cell r="H110" t="str">
            <v>DABUR</v>
          </cell>
          <cell r="I110">
            <v>309.75</v>
          </cell>
          <cell r="J110">
            <v>313.25</v>
          </cell>
          <cell r="K110">
            <v>309.2</v>
          </cell>
          <cell r="L110">
            <v>310.05</v>
          </cell>
          <cell r="M110">
            <v>2000</v>
          </cell>
          <cell r="N110">
            <v>5418000</v>
          </cell>
          <cell r="O110">
            <v>918000</v>
          </cell>
        </row>
        <row r="111">
          <cell r="A111"/>
          <cell r="B111"/>
          <cell r="C111"/>
          <cell r="D111"/>
          <cell r="E111"/>
          <cell r="F111"/>
          <cell r="G111"/>
          <cell r="H111"/>
          <cell r="I111"/>
          <cell r="J111"/>
          <cell r="K111"/>
          <cell r="L111"/>
          <cell r="M111"/>
          <cell r="N111"/>
          <cell r="O111"/>
        </row>
        <row r="112">
          <cell r="A112" t="str">
            <v>IT :</v>
          </cell>
          <cell r="B112"/>
          <cell r="C112"/>
          <cell r="D112"/>
          <cell r="E112"/>
          <cell r="F112"/>
          <cell r="G112"/>
          <cell r="H112"/>
          <cell r="I112"/>
          <cell r="J112"/>
          <cell r="K112"/>
          <cell r="L112"/>
          <cell r="M112"/>
          <cell r="N112"/>
          <cell r="O112"/>
        </row>
        <row r="113">
          <cell r="A113" t="str">
            <v>Trading Symbol</v>
          </cell>
          <cell r="B113" t="str">
            <v>Best Buy Rate</v>
          </cell>
          <cell r="C113" t="str">
            <v>Last Traded Price</v>
          </cell>
          <cell r="D113" t="str">
            <v>Best Sell Rate</v>
          </cell>
          <cell r="E113" t="str">
            <v>Net Change</v>
          </cell>
          <cell r="F113" t="str">
            <v>Percentage Change</v>
          </cell>
          <cell r="G113" t="str">
            <v>ATP</v>
          </cell>
          <cell r="H113" t="str">
            <v>Symbol</v>
          </cell>
          <cell r="I113" t="str">
            <v>Open</v>
          </cell>
          <cell r="J113" t="str">
            <v>High Price</v>
          </cell>
          <cell r="K113" t="str">
            <v>Low Price</v>
          </cell>
          <cell r="L113" t="str">
            <v>Prev Close Price</v>
          </cell>
          <cell r="M113" t="str">
            <v>Min Lot Qty</v>
          </cell>
          <cell r="N113" t="str">
            <v>Open Interest</v>
          </cell>
          <cell r="O113" t="str">
            <v>Volume</v>
          </cell>
        </row>
        <row r="114">
          <cell r="A114" t="str">
            <v>TCS16JUNFUT</v>
          </cell>
          <cell r="B114">
            <v>2647.7</v>
          </cell>
          <cell r="C114">
            <v>2649</v>
          </cell>
          <cell r="D114">
            <v>2649</v>
          </cell>
          <cell r="E114">
            <v>-4.3499999999999996</v>
          </cell>
          <cell r="F114">
            <v>-0.16</v>
          </cell>
          <cell r="G114">
            <v>2659.53</v>
          </cell>
          <cell r="H114" t="str">
            <v>TCS</v>
          </cell>
          <cell r="I114">
            <v>2646.15</v>
          </cell>
          <cell r="J114">
            <v>2677</v>
          </cell>
          <cell r="K114">
            <v>2636.5</v>
          </cell>
          <cell r="L114">
            <v>2653.35</v>
          </cell>
          <cell r="M114">
            <v>200</v>
          </cell>
          <cell r="N114">
            <v>3794800</v>
          </cell>
          <cell r="O114">
            <v>797600</v>
          </cell>
        </row>
        <row r="115">
          <cell r="A115" t="str">
            <v>INFY16JUNFUT</v>
          </cell>
          <cell r="B115">
            <v>1194.5999999999999</v>
          </cell>
          <cell r="C115">
            <v>1194.9000000000001</v>
          </cell>
          <cell r="D115">
            <v>1194.9000000000001</v>
          </cell>
          <cell r="E115">
            <v>-12.45</v>
          </cell>
          <cell r="F115">
            <v>-1.03</v>
          </cell>
          <cell r="G115">
            <v>1202.1199999999999</v>
          </cell>
          <cell r="H115" t="str">
            <v>INFY</v>
          </cell>
          <cell r="I115">
            <v>1204.4000000000001</v>
          </cell>
          <cell r="J115">
            <v>1213.9000000000001</v>
          </cell>
          <cell r="K115">
            <v>1190.5999999999999</v>
          </cell>
          <cell r="L115">
            <v>1207.3499999999999</v>
          </cell>
          <cell r="M115">
            <v>500</v>
          </cell>
          <cell r="N115">
            <v>11740000</v>
          </cell>
          <cell r="O115">
            <v>1723500</v>
          </cell>
        </row>
        <row r="116">
          <cell r="A116" t="str">
            <v>HCLTECH16JUNFUT</v>
          </cell>
          <cell r="B116">
            <v>770.25</v>
          </cell>
          <cell r="C116">
            <v>770.35</v>
          </cell>
          <cell r="D116">
            <v>770.45</v>
          </cell>
          <cell r="E116">
            <v>-0.5</v>
          </cell>
          <cell r="F116">
            <v>-0.06</v>
          </cell>
          <cell r="G116">
            <v>770.74</v>
          </cell>
          <cell r="H116" t="str">
            <v>HCLTECH</v>
          </cell>
          <cell r="I116">
            <v>772.05</v>
          </cell>
          <cell r="J116">
            <v>774.9</v>
          </cell>
          <cell r="K116">
            <v>767.7</v>
          </cell>
          <cell r="L116">
            <v>770.85</v>
          </cell>
          <cell r="M116">
            <v>600</v>
          </cell>
          <cell r="N116">
            <v>7285800</v>
          </cell>
          <cell r="O116">
            <v>786600</v>
          </cell>
        </row>
        <row r="117">
          <cell r="A117" t="str">
            <v>TECHM16JUNFUT</v>
          </cell>
          <cell r="B117">
            <v>535.35</v>
          </cell>
          <cell r="C117">
            <v>535.35</v>
          </cell>
          <cell r="D117">
            <v>535.79999999999995</v>
          </cell>
          <cell r="E117">
            <v>-1.75</v>
          </cell>
          <cell r="F117">
            <v>-0.33</v>
          </cell>
          <cell r="G117">
            <v>537.97</v>
          </cell>
          <cell r="H117" t="str">
            <v>TECHM</v>
          </cell>
          <cell r="I117">
            <v>543.04999999999995</v>
          </cell>
          <cell r="J117">
            <v>544</v>
          </cell>
          <cell r="K117">
            <v>532.45000000000005</v>
          </cell>
          <cell r="L117">
            <v>537.1</v>
          </cell>
          <cell r="M117">
            <v>1000</v>
          </cell>
          <cell r="N117">
            <v>6513000</v>
          </cell>
          <cell r="O117">
            <v>1895000</v>
          </cell>
        </row>
        <row r="118">
          <cell r="A118" t="str">
            <v>OFSS16JUNFUT</v>
          </cell>
          <cell r="B118">
            <v>3462.35</v>
          </cell>
          <cell r="C118">
            <v>3474</v>
          </cell>
          <cell r="D118">
            <v>3478.75</v>
          </cell>
          <cell r="E118">
            <v>-1.75</v>
          </cell>
          <cell r="F118">
            <v>-0.05</v>
          </cell>
          <cell r="G118">
            <v>3480.28</v>
          </cell>
          <cell r="H118" t="str">
            <v>OFSS</v>
          </cell>
          <cell r="I118">
            <v>3489</v>
          </cell>
          <cell r="J118">
            <v>3491.3</v>
          </cell>
          <cell r="K118">
            <v>3471</v>
          </cell>
          <cell r="L118">
            <v>3475.75</v>
          </cell>
          <cell r="M118">
            <v>150</v>
          </cell>
          <cell r="N118">
            <v>121500</v>
          </cell>
          <cell r="O118">
            <v>2100</v>
          </cell>
        </row>
        <row r="119">
          <cell r="A119" t="str">
            <v>MINDTREE16JUNFUT</v>
          </cell>
          <cell r="B119">
            <v>658.2</v>
          </cell>
          <cell r="C119">
            <v>658</v>
          </cell>
          <cell r="D119">
            <v>658.95</v>
          </cell>
          <cell r="E119">
            <v>0.25</v>
          </cell>
          <cell r="F119">
            <v>0.04</v>
          </cell>
          <cell r="G119">
            <v>660.23</v>
          </cell>
          <cell r="H119" t="str">
            <v>MINDTREE</v>
          </cell>
          <cell r="I119">
            <v>662.5</v>
          </cell>
          <cell r="J119">
            <v>663</v>
          </cell>
          <cell r="K119">
            <v>657.25</v>
          </cell>
          <cell r="L119">
            <v>657.75</v>
          </cell>
          <cell r="M119">
            <v>800</v>
          </cell>
          <cell r="N119">
            <v>1288000</v>
          </cell>
          <cell r="O119">
            <v>166400</v>
          </cell>
        </row>
        <row r="120">
          <cell r="A120" t="str">
            <v>WIPRO16JUNFUT</v>
          </cell>
          <cell r="B120">
            <v>562.75</v>
          </cell>
          <cell r="C120">
            <v>563.1</v>
          </cell>
          <cell r="D120">
            <v>563.15</v>
          </cell>
          <cell r="E120">
            <v>1.05</v>
          </cell>
          <cell r="F120">
            <v>0.19</v>
          </cell>
          <cell r="G120">
            <v>563.24</v>
          </cell>
          <cell r="H120" t="str">
            <v>WIPRO</v>
          </cell>
          <cell r="I120">
            <v>561.70000000000005</v>
          </cell>
          <cell r="J120">
            <v>564.54999999999995</v>
          </cell>
          <cell r="K120">
            <v>560.6</v>
          </cell>
          <cell r="L120">
            <v>562.04999999999995</v>
          </cell>
          <cell r="M120">
            <v>1000</v>
          </cell>
          <cell r="N120">
            <v>8125000</v>
          </cell>
          <cell r="O120">
            <v>1117000</v>
          </cell>
        </row>
        <row r="121">
          <cell r="A121" t="str">
            <v>HEXAWARE16JUNFUT</v>
          </cell>
          <cell r="B121">
            <v>218.8</v>
          </cell>
          <cell r="C121">
            <v>218.9</v>
          </cell>
          <cell r="D121">
            <v>219.1</v>
          </cell>
          <cell r="E121">
            <v>5.7</v>
          </cell>
          <cell r="F121">
            <v>2.67</v>
          </cell>
          <cell r="G121">
            <v>218.77</v>
          </cell>
          <cell r="H121" t="str">
            <v>HEXAWARE</v>
          </cell>
          <cell r="I121">
            <v>214</v>
          </cell>
          <cell r="J121">
            <v>222.35</v>
          </cell>
          <cell r="K121">
            <v>213.4</v>
          </cell>
          <cell r="L121">
            <v>213.2</v>
          </cell>
          <cell r="M121">
            <v>2000</v>
          </cell>
          <cell r="N121">
            <v>5978000</v>
          </cell>
          <cell r="O121">
            <v>5936000</v>
          </cell>
        </row>
        <row r="122">
          <cell r="A122"/>
          <cell r="B122"/>
          <cell r="C122"/>
          <cell r="D122"/>
          <cell r="E122"/>
          <cell r="F122"/>
          <cell r="G122"/>
          <cell r="H122"/>
          <cell r="I122"/>
          <cell r="J122"/>
          <cell r="K122"/>
          <cell r="L122"/>
          <cell r="M122"/>
          <cell r="N122"/>
          <cell r="O122"/>
        </row>
        <row r="123">
          <cell r="A123" t="str">
            <v>Pharma :</v>
          </cell>
          <cell r="B123"/>
          <cell r="C123"/>
          <cell r="D123"/>
          <cell r="E123"/>
          <cell r="F123"/>
          <cell r="G123"/>
          <cell r="H123"/>
          <cell r="I123"/>
          <cell r="J123"/>
          <cell r="K123"/>
          <cell r="L123"/>
          <cell r="M123"/>
          <cell r="N123"/>
          <cell r="O123"/>
        </row>
        <row r="124">
          <cell r="A124" t="str">
            <v>Trading Symbol</v>
          </cell>
          <cell r="B124" t="str">
            <v>Best Buy Rate</v>
          </cell>
          <cell r="C124" t="str">
            <v>Last Traded Price</v>
          </cell>
          <cell r="D124" t="str">
            <v>Best Sell Rate</v>
          </cell>
          <cell r="E124" t="str">
            <v>Net Change</v>
          </cell>
          <cell r="F124" t="str">
            <v>Percentage Change</v>
          </cell>
          <cell r="G124" t="str">
            <v>ATP</v>
          </cell>
          <cell r="H124" t="str">
            <v>Symbol</v>
          </cell>
          <cell r="I124" t="str">
            <v>Open</v>
          </cell>
          <cell r="J124" t="str">
            <v>High Price</v>
          </cell>
          <cell r="K124" t="str">
            <v>Low Price</v>
          </cell>
          <cell r="L124" t="str">
            <v>Prev Close Price</v>
          </cell>
          <cell r="M124" t="str">
            <v>Min Lot Qty</v>
          </cell>
          <cell r="N124" t="str">
            <v>Open Interest</v>
          </cell>
          <cell r="O124" t="str">
            <v>Volume</v>
          </cell>
        </row>
        <row r="125">
          <cell r="A125" t="str">
            <v>GLENMARK16JUNFUT</v>
          </cell>
          <cell r="B125">
            <v>770.6</v>
          </cell>
          <cell r="C125">
            <v>771.3</v>
          </cell>
          <cell r="D125">
            <v>771.4</v>
          </cell>
          <cell r="E125">
            <v>5.75</v>
          </cell>
          <cell r="F125">
            <v>0.75</v>
          </cell>
          <cell r="G125">
            <v>771.97</v>
          </cell>
          <cell r="H125" t="str">
            <v>GLENMARK</v>
          </cell>
          <cell r="I125">
            <v>765.1</v>
          </cell>
          <cell r="J125">
            <v>777.8</v>
          </cell>
          <cell r="K125">
            <v>764.15</v>
          </cell>
          <cell r="L125">
            <v>765.55</v>
          </cell>
          <cell r="M125">
            <v>500</v>
          </cell>
          <cell r="N125">
            <v>3454000</v>
          </cell>
          <cell r="O125">
            <v>568500</v>
          </cell>
        </row>
        <row r="126">
          <cell r="A126" t="str">
            <v>SUNPHARMA16JUNFUT</v>
          </cell>
          <cell r="B126">
            <v>737.55</v>
          </cell>
          <cell r="C126">
            <v>737.7</v>
          </cell>
          <cell r="D126">
            <v>737.75</v>
          </cell>
          <cell r="E126">
            <v>-0.95</v>
          </cell>
          <cell r="F126">
            <v>-0.13</v>
          </cell>
          <cell r="G126">
            <v>739.38</v>
          </cell>
          <cell r="H126" t="str">
            <v>SUNPHARMA</v>
          </cell>
          <cell r="I126">
            <v>739.9</v>
          </cell>
          <cell r="J126">
            <v>743.15</v>
          </cell>
          <cell r="K126">
            <v>735.55</v>
          </cell>
          <cell r="L126">
            <v>738.65</v>
          </cell>
          <cell r="M126">
            <v>600</v>
          </cell>
          <cell r="N126">
            <v>20885400</v>
          </cell>
          <cell r="O126">
            <v>3099000</v>
          </cell>
        </row>
        <row r="127">
          <cell r="A127" t="str">
            <v>LUPIN16JUNFUT</v>
          </cell>
          <cell r="B127">
            <v>1461.1</v>
          </cell>
          <cell r="C127">
            <v>1462</v>
          </cell>
          <cell r="D127">
            <v>1461.9</v>
          </cell>
          <cell r="E127">
            <v>11.35</v>
          </cell>
          <cell r="F127">
            <v>0.78</v>
          </cell>
          <cell r="G127">
            <v>1458.39</v>
          </cell>
          <cell r="H127" t="str">
            <v>LUPIN</v>
          </cell>
          <cell r="I127">
            <v>1455</v>
          </cell>
          <cell r="J127">
            <v>1466</v>
          </cell>
          <cell r="K127">
            <v>1446.6</v>
          </cell>
          <cell r="L127">
            <v>1450.65</v>
          </cell>
          <cell r="M127">
            <v>300</v>
          </cell>
          <cell r="N127">
            <v>5289000</v>
          </cell>
          <cell r="O127">
            <v>995400</v>
          </cell>
        </row>
        <row r="128">
          <cell r="A128" t="str">
            <v>WOCKPHARMA16JUNFUT</v>
          </cell>
          <cell r="B128">
            <v>885.25</v>
          </cell>
          <cell r="C128">
            <v>886.7</v>
          </cell>
          <cell r="D128">
            <v>886.25</v>
          </cell>
          <cell r="E128">
            <v>-15.35</v>
          </cell>
          <cell r="F128">
            <v>-1.7</v>
          </cell>
          <cell r="G128">
            <v>895.01</v>
          </cell>
          <cell r="H128" t="str">
            <v>WOCKPHARMA</v>
          </cell>
          <cell r="I128">
            <v>904.4</v>
          </cell>
          <cell r="J128">
            <v>908.85</v>
          </cell>
          <cell r="K128">
            <v>883</v>
          </cell>
          <cell r="L128">
            <v>902.05</v>
          </cell>
          <cell r="M128">
            <v>375</v>
          </cell>
          <cell r="N128">
            <v>2286000</v>
          </cell>
          <cell r="O128">
            <v>632250</v>
          </cell>
        </row>
        <row r="129">
          <cell r="A129" t="str">
            <v>CIPLA16JUNFUT</v>
          </cell>
          <cell r="B129">
            <v>481.6</v>
          </cell>
          <cell r="C129">
            <v>481.85</v>
          </cell>
          <cell r="D129">
            <v>481.95</v>
          </cell>
          <cell r="E129">
            <v>-1.95</v>
          </cell>
          <cell r="F129">
            <v>-0.4</v>
          </cell>
          <cell r="G129">
            <v>483.55</v>
          </cell>
          <cell r="H129" t="str">
            <v>CIPLA</v>
          </cell>
          <cell r="I129">
            <v>484.05</v>
          </cell>
          <cell r="J129">
            <v>487.35</v>
          </cell>
          <cell r="K129">
            <v>481.05</v>
          </cell>
          <cell r="L129">
            <v>483.8</v>
          </cell>
          <cell r="M129">
            <v>800</v>
          </cell>
          <cell r="N129">
            <v>12561600</v>
          </cell>
          <cell r="O129">
            <v>1394400</v>
          </cell>
        </row>
        <row r="130">
          <cell r="A130" t="str">
            <v>DRREDDY16JUNFUT</v>
          </cell>
          <cell r="B130">
            <v>3104.8</v>
          </cell>
          <cell r="C130">
            <v>3106.6</v>
          </cell>
          <cell r="D130">
            <v>3107.15</v>
          </cell>
          <cell r="E130">
            <v>51.4</v>
          </cell>
          <cell r="F130">
            <v>1.68</v>
          </cell>
          <cell r="G130">
            <v>3119.73</v>
          </cell>
          <cell r="H130" t="str">
            <v>DRREDDY</v>
          </cell>
          <cell r="I130">
            <v>3076.55</v>
          </cell>
          <cell r="J130">
            <v>3146.2</v>
          </cell>
          <cell r="K130">
            <v>3074.15</v>
          </cell>
          <cell r="L130">
            <v>3055.2</v>
          </cell>
          <cell r="M130">
            <v>150</v>
          </cell>
          <cell r="N130">
            <v>1732500</v>
          </cell>
          <cell r="O130">
            <v>686850</v>
          </cell>
        </row>
        <row r="131">
          <cell r="A131" t="str">
            <v>DIVISLAB16JUNFUT</v>
          </cell>
          <cell r="B131">
            <v>1108.3</v>
          </cell>
          <cell r="C131">
            <v>1109</v>
          </cell>
          <cell r="D131">
            <v>1109</v>
          </cell>
          <cell r="E131">
            <v>-9.8000000000000007</v>
          </cell>
          <cell r="F131">
            <v>-0.88</v>
          </cell>
          <cell r="G131">
            <v>1117.01</v>
          </cell>
          <cell r="H131" t="str">
            <v>DIVISLAB</v>
          </cell>
          <cell r="I131">
            <v>1117.4000000000001</v>
          </cell>
          <cell r="J131">
            <v>1125</v>
          </cell>
          <cell r="K131">
            <v>1109</v>
          </cell>
          <cell r="L131">
            <v>1118.8</v>
          </cell>
          <cell r="M131">
            <v>600</v>
          </cell>
          <cell r="N131">
            <v>1722000</v>
          </cell>
          <cell r="O131">
            <v>195000</v>
          </cell>
        </row>
        <row r="132">
          <cell r="A132" t="str">
            <v>AJANTPHARM16JUNFUT</v>
          </cell>
          <cell r="B132">
            <v>1445.75</v>
          </cell>
          <cell r="C132">
            <v>1446</v>
          </cell>
          <cell r="D132">
            <v>1446.8</v>
          </cell>
          <cell r="E132">
            <v>-26.05</v>
          </cell>
          <cell r="F132">
            <v>-1.77</v>
          </cell>
          <cell r="G132">
            <v>1453.86</v>
          </cell>
          <cell r="H132" t="str">
            <v>AJANTPHARM</v>
          </cell>
          <cell r="I132">
            <v>1468.5</v>
          </cell>
          <cell r="J132">
            <v>1469.85</v>
          </cell>
          <cell r="K132">
            <v>1443.95</v>
          </cell>
          <cell r="L132">
            <v>1472.05</v>
          </cell>
          <cell r="M132">
            <v>400</v>
          </cell>
          <cell r="N132">
            <v>390800</v>
          </cell>
          <cell r="O132">
            <v>288800</v>
          </cell>
        </row>
        <row r="133">
          <cell r="A133" t="str">
            <v>AUROPHARMA16JUNFUT</v>
          </cell>
          <cell r="B133">
            <v>719.65</v>
          </cell>
          <cell r="C133">
            <v>720</v>
          </cell>
          <cell r="D133">
            <v>720.2</v>
          </cell>
          <cell r="E133">
            <v>-4.3</v>
          </cell>
          <cell r="F133">
            <v>-0.59</v>
          </cell>
          <cell r="G133">
            <v>728.01</v>
          </cell>
          <cell r="H133" t="str">
            <v>AUROPHARMA</v>
          </cell>
          <cell r="I133">
            <v>725.3</v>
          </cell>
          <cell r="J133">
            <v>738</v>
          </cell>
          <cell r="K133">
            <v>715.6</v>
          </cell>
          <cell r="L133">
            <v>724.3</v>
          </cell>
          <cell r="M133">
            <v>700</v>
          </cell>
          <cell r="N133">
            <v>15536500</v>
          </cell>
          <cell r="O133">
            <v>3737300</v>
          </cell>
        </row>
        <row r="134">
          <cell r="A134" t="str">
            <v>STAR16JUNFUT</v>
          </cell>
          <cell r="B134">
            <v>1068.0999999999999</v>
          </cell>
          <cell r="C134">
            <v>1068.6500000000001</v>
          </cell>
          <cell r="D134">
            <v>1069.45</v>
          </cell>
          <cell r="E134">
            <v>-21.05</v>
          </cell>
          <cell r="F134">
            <v>-1.93</v>
          </cell>
          <cell r="G134">
            <v>1077.1099999999999</v>
          </cell>
          <cell r="H134" t="str">
            <v>STAR</v>
          </cell>
          <cell r="I134">
            <v>1085.8</v>
          </cell>
          <cell r="J134">
            <v>1092.0999999999999</v>
          </cell>
          <cell r="K134">
            <v>1065.0999999999999</v>
          </cell>
          <cell r="L134">
            <v>1089.7</v>
          </cell>
          <cell r="M134">
            <v>400</v>
          </cell>
          <cell r="N134">
            <v>1097600</v>
          </cell>
          <cell r="O134">
            <v>396400</v>
          </cell>
        </row>
        <row r="135">
          <cell r="A135" t="str">
            <v>BIOCON16JUNFUT</v>
          </cell>
          <cell r="B135">
            <v>718</v>
          </cell>
          <cell r="C135">
            <v>718.2</v>
          </cell>
          <cell r="D135">
            <v>718.45</v>
          </cell>
          <cell r="E135">
            <v>-6.9</v>
          </cell>
          <cell r="F135">
            <v>-0.95</v>
          </cell>
          <cell r="G135">
            <v>722.29</v>
          </cell>
          <cell r="H135" t="str">
            <v>BIOCON</v>
          </cell>
          <cell r="I135">
            <v>725.6</v>
          </cell>
          <cell r="J135">
            <v>729.15</v>
          </cell>
          <cell r="K135">
            <v>715.55</v>
          </cell>
          <cell r="L135">
            <v>725.1</v>
          </cell>
          <cell r="M135">
            <v>1100</v>
          </cell>
          <cell r="N135">
            <v>2964500</v>
          </cell>
          <cell r="O135">
            <v>884400</v>
          </cell>
        </row>
        <row r="136">
          <cell r="A136"/>
          <cell r="B136"/>
          <cell r="C136"/>
          <cell r="D136"/>
          <cell r="E136"/>
          <cell r="F136"/>
          <cell r="G136"/>
          <cell r="H136"/>
          <cell r="I136"/>
          <cell r="J136"/>
          <cell r="K136"/>
          <cell r="L136"/>
          <cell r="M136"/>
          <cell r="N136"/>
          <cell r="O136"/>
        </row>
        <row r="137">
          <cell r="A137" t="str">
            <v>Motors :</v>
          </cell>
          <cell r="B137"/>
          <cell r="C137"/>
          <cell r="D137"/>
          <cell r="E137"/>
          <cell r="F137"/>
          <cell r="G137"/>
          <cell r="H137"/>
          <cell r="I137"/>
          <cell r="J137"/>
          <cell r="K137"/>
          <cell r="L137"/>
          <cell r="M137"/>
          <cell r="N137"/>
          <cell r="O137"/>
        </row>
        <row r="138">
          <cell r="A138" t="str">
            <v>Trading Symbol</v>
          </cell>
          <cell r="B138" t="str">
            <v>Best Buy Rate</v>
          </cell>
          <cell r="C138" t="str">
            <v>Last Traded Price</v>
          </cell>
          <cell r="D138" t="str">
            <v>Best Sell Rate</v>
          </cell>
          <cell r="E138" t="str">
            <v>Net Change</v>
          </cell>
          <cell r="F138" t="str">
            <v>Percentage Change</v>
          </cell>
          <cell r="G138" t="str">
            <v>ATP</v>
          </cell>
          <cell r="H138" t="str">
            <v>Symbol</v>
          </cell>
          <cell r="I138" t="str">
            <v>Open</v>
          </cell>
          <cell r="J138" t="str">
            <v>High Price</v>
          </cell>
          <cell r="K138" t="str">
            <v>Low Price</v>
          </cell>
          <cell r="L138" t="str">
            <v>Prev Close Price</v>
          </cell>
          <cell r="M138" t="str">
            <v>Min Lot Qty</v>
          </cell>
          <cell r="N138" t="str">
            <v>Open Interest</v>
          </cell>
          <cell r="O138" t="str">
            <v>Volume</v>
          </cell>
        </row>
        <row r="139">
          <cell r="A139" t="str">
            <v>M&amp;M16JUNFUT</v>
          </cell>
          <cell r="B139">
            <v>1360.05</v>
          </cell>
          <cell r="C139">
            <v>1360.15</v>
          </cell>
          <cell r="D139">
            <v>1360.8</v>
          </cell>
          <cell r="E139">
            <v>-8.9</v>
          </cell>
          <cell r="F139">
            <v>-0.65</v>
          </cell>
          <cell r="G139">
            <v>1370.97</v>
          </cell>
          <cell r="H139" t="str">
            <v>M&amp;M</v>
          </cell>
          <cell r="I139">
            <v>1369.25</v>
          </cell>
          <cell r="J139">
            <v>1383.95</v>
          </cell>
          <cell r="K139">
            <v>1350.45</v>
          </cell>
          <cell r="L139">
            <v>1369.05</v>
          </cell>
          <cell r="M139">
            <v>400</v>
          </cell>
          <cell r="N139">
            <v>4777200</v>
          </cell>
          <cell r="O139">
            <v>1420400</v>
          </cell>
        </row>
        <row r="140">
          <cell r="A140" t="str">
            <v>TATAMOTORS16JUNFUT</v>
          </cell>
          <cell r="B140">
            <v>469.7</v>
          </cell>
          <cell r="C140">
            <v>469.9</v>
          </cell>
          <cell r="D140">
            <v>469.85</v>
          </cell>
          <cell r="E140">
            <v>-14.65</v>
          </cell>
          <cell r="F140">
            <v>-3.02</v>
          </cell>
          <cell r="G140">
            <v>476.02</v>
          </cell>
          <cell r="H140" t="str">
            <v>TATAMOTORS</v>
          </cell>
          <cell r="I140">
            <v>483.1</v>
          </cell>
          <cell r="J140">
            <v>484.65</v>
          </cell>
          <cell r="K140">
            <v>469.7</v>
          </cell>
          <cell r="L140">
            <v>484.55</v>
          </cell>
          <cell r="M140">
            <v>1500</v>
          </cell>
          <cell r="N140">
            <v>23398500</v>
          </cell>
          <cell r="O140">
            <v>18681000</v>
          </cell>
        </row>
        <row r="141">
          <cell r="A141" t="str">
            <v>TATAMTRDVR16JUNFUT</v>
          </cell>
          <cell r="B141">
            <v>314</v>
          </cell>
          <cell r="C141">
            <v>314.10000000000002</v>
          </cell>
          <cell r="D141">
            <v>314.14999999999998</v>
          </cell>
          <cell r="E141">
            <v>-10.95</v>
          </cell>
          <cell r="F141">
            <v>-3.37</v>
          </cell>
          <cell r="G141">
            <v>317.52</v>
          </cell>
          <cell r="H141" t="str">
            <v>TATAMTRDVR</v>
          </cell>
          <cell r="I141">
            <v>323.60000000000002</v>
          </cell>
          <cell r="J141">
            <v>323.95</v>
          </cell>
          <cell r="K141">
            <v>313.25</v>
          </cell>
          <cell r="L141">
            <v>325.05</v>
          </cell>
          <cell r="M141">
            <v>2100</v>
          </cell>
          <cell r="N141">
            <v>16075500</v>
          </cell>
          <cell r="O141">
            <v>3903900</v>
          </cell>
        </row>
        <row r="142">
          <cell r="A142" t="str">
            <v>MARUTI16JUNFUT</v>
          </cell>
          <cell r="B142">
            <v>4157.8999999999996</v>
          </cell>
          <cell r="C142">
            <v>4159</v>
          </cell>
          <cell r="D142">
            <v>4159.3500000000004</v>
          </cell>
          <cell r="E142">
            <v>-8.8000000000000007</v>
          </cell>
          <cell r="F142">
            <v>-0.21</v>
          </cell>
          <cell r="G142">
            <v>4168.1000000000004</v>
          </cell>
          <cell r="H142" t="str">
            <v>MARUTI</v>
          </cell>
          <cell r="I142">
            <v>4152.3999999999996</v>
          </cell>
          <cell r="J142">
            <v>4184</v>
          </cell>
          <cell r="K142">
            <v>4137.6000000000004</v>
          </cell>
          <cell r="L142">
            <v>4167.8</v>
          </cell>
          <cell r="M142">
            <v>125</v>
          </cell>
          <cell r="N142">
            <v>2198750</v>
          </cell>
          <cell r="O142">
            <v>695625</v>
          </cell>
        </row>
        <row r="143">
          <cell r="A143" t="str">
            <v>BAJAJ-AUTO16JUNFUT</v>
          </cell>
          <cell r="B143">
            <v>2625.95</v>
          </cell>
          <cell r="C143">
            <v>2628.95</v>
          </cell>
          <cell r="D143">
            <v>2629</v>
          </cell>
          <cell r="E143">
            <v>-8.15</v>
          </cell>
          <cell r="F143">
            <v>-0.31</v>
          </cell>
          <cell r="G143">
            <v>2628.13</v>
          </cell>
          <cell r="H143" t="str">
            <v>BAJAJ-AUTO</v>
          </cell>
          <cell r="I143">
            <v>2625.25</v>
          </cell>
          <cell r="J143">
            <v>2639.8</v>
          </cell>
          <cell r="K143">
            <v>2615.9</v>
          </cell>
          <cell r="L143">
            <v>2637.1</v>
          </cell>
          <cell r="M143">
            <v>200</v>
          </cell>
          <cell r="N143">
            <v>1457000</v>
          </cell>
          <cell r="O143">
            <v>251200</v>
          </cell>
        </row>
        <row r="144">
          <cell r="A144" t="str">
            <v>TVSMOTOR16JUNFUT</v>
          </cell>
          <cell r="B144">
            <v>294.7</v>
          </cell>
          <cell r="C144">
            <v>294.75</v>
          </cell>
          <cell r="D144">
            <v>294.95</v>
          </cell>
          <cell r="E144">
            <v>-0.8</v>
          </cell>
          <cell r="F144">
            <v>-0.27</v>
          </cell>
          <cell r="G144">
            <v>297.60000000000002</v>
          </cell>
          <cell r="H144" t="str">
            <v>TVSMOTOR</v>
          </cell>
          <cell r="I144">
            <v>296.25</v>
          </cell>
          <cell r="J144">
            <v>299.3</v>
          </cell>
          <cell r="K144">
            <v>294.75</v>
          </cell>
          <cell r="L144">
            <v>295.55</v>
          </cell>
          <cell r="M144">
            <v>2000</v>
          </cell>
          <cell r="N144">
            <v>5052000</v>
          </cell>
          <cell r="O144">
            <v>2198000</v>
          </cell>
        </row>
        <row r="145">
          <cell r="A145" t="str">
            <v>EXIDEIND16JUNFUT</v>
          </cell>
          <cell r="B145">
            <v>160.65</v>
          </cell>
          <cell r="C145">
            <v>160.6</v>
          </cell>
          <cell r="D145">
            <v>160.9</v>
          </cell>
          <cell r="E145">
            <v>-2.5</v>
          </cell>
          <cell r="F145">
            <v>-1.53</v>
          </cell>
          <cell r="G145">
            <v>162.47999999999999</v>
          </cell>
          <cell r="H145" t="str">
            <v>EXIDEIND</v>
          </cell>
          <cell r="I145">
            <v>163.4</v>
          </cell>
          <cell r="J145">
            <v>163.85</v>
          </cell>
          <cell r="K145">
            <v>160.5</v>
          </cell>
          <cell r="L145">
            <v>163.1</v>
          </cell>
          <cell r="M145">
            <v>3400</v>
          </cell>
          <cell r="N145">
            <v>5630400</v>
          </cell>
          <cell r="O145">
            <v>1101600</v>
          </cell>
        </row>
        <row r="146">
          <cell r="A146" t="str">
            <v>HEROMOTOCO16JUNFUT</v>
          </cell>
          <cell r="B146">
            <v>3061.15</v>
          </cell>
          <cell r="C146">
            <v>3059.8</v>
          </cell>
          <cell r="D146">
            <v>3063.95</v>
          </cell>
          <cell r="E146">
            <v>2.8</v>
          </cell>
          <cell r="F146">
            <v>0.09</v>
          </cell>
          <cell r="G146">
            <v>3061.65</v>
          </cell>
          <cell r="H146" t="str">
            <v>HEROMOTOCO</v>
          </cell>
          <cell r="I146">
            <v>3064.9</v>
          </cell>
          <cell r="J146">
            <v>3078.55</v>
          </cell>
          <cell r="K146">
            <v>3031.2</v>
          </cell>
          <cell r="L146">
            <v>3057</v>
          </cell>
          <cell r="M146">
            <v>200</v>
          </cell>
          <cell r="N146">
            <v>1078800</v>
          </cell>
          <cell r="O146">
            <v>418000</v>
          </cell>
        </row>
        <row r="147">
          <cell r="A147" t="str">
            <v>AMARAJABAT16JUNFUT</v>
          </cell>
          <cell r="B147">
            <v>862</v>
          </cell>
          <cell r="C147">
            <v>862.05</v>
          </cell>
          <cell r="D147">
            <v>862.85</v>
          </cell>
          <cell r="E147">
            <v>0.2</v>
          </cell>
          <cell r="F147">
            <v>0.02</v>
          </cell>
          <cell r="G147">
            <v>863.27</v>
          </cell>
          <cell r="H147" t="str">
            <v>AMARAJABAT</v>
          </cell>
          <cell r="I147">
            <v>853.25</v>
          </cell>
          <cell r="J147">
            <v>866.55</v>
          </cell>
          <cell r="K147">
            <v>853.25</v>
          </cell>
          <cell r="L147">
            <v>861.85</v>
          </cell>
          <cell r="M147">
            <v>600</v>
          </cell>
          <cell r="N147">
            <v>673200</v>
          </cell>
          <cell r="O147">
            <v>184800</v>
          </cell>
        </row>
        <row r="148">
          <cell r="A148" t="str">
            <v>CEATLTD16JUNFUT</v>
          </cell>
          <cell r="B148">
            <v>822.05</v>
          </cell>
          <cell r="C148">
            <v>823.25</v>
          </cell>
          <cell r="D148">
            <v>823.35</v>
          </cell>
          <cell r="E148">
            <v>-9.4499999999999993</v>
          </cell>
          <cell r="F148">
            <v>-1.1299999999999999</v>
          </cell>
          <cell r="G148">
            <v>831.12</v>
          </cell>
          <cell r="H148" t="str">
            <v>CEATLTD</v>
          </cell>
          <cell r="I148">
            <v>832.5</v>
          </cell>
          <cell r="J148">
            <v>843.75</v>
          </cell>
          <cell r="K148">
            <v>821.35</v>
          </cell>
          <cell r="L148">
            <v>832.7</v>
          </cell>
          <cell r="M148">
            <v>700</v>
          </cell>
          <cell r="N148">
            <v>2646000</v>
          </cell>
          <cell r="O148">
            <v>210700</v>
          </cell>
        </row>
        <row r="149">
          <cell r="A149" t="str">
            <v>MOTHERSUMI16JUNFUT</v>
          </cell>
          <cell r="B149">
            <v>302.55</v>
          </cell>
          <cell r="C149">
            <v>302.60000000000002</v>
          </cell>
          <cell r="D149">
            <v>302.85000000000002</v>
          </cell>
          <cell r="E149">
            <v>0</v>
          </cell>
          <cell r="F149">
            <v>0</v>
          </cell>
          <cell r="G149">
            <v>304.86</v>
          </cell>
          <cell r="H149" t="str">
            <v>MOTHERSUMI</v>
          </cell>
          <cell r="I149">
            <v>304.14999999999998</v>
          </cell>
          <cell r="J149">
            <v>307.45</v>
          </cell>
          <cell r="K149">
            <v>299.39999999999998</v>
          </cell>
          <cell r="L149">
            <v>302.60000000000002</v>
          </cell>
          <cell r="M149">
            <v>1500</v>
          </cell>
          <cell r="N149">
            <v>11742000</v>
          </cell>
          <cell r="O149">
            <v>5142000</v>
          </cell>
        </row>
        <row r="150">
          <cell r="A150" t="str">
            <v>APOLLOTYRE16JUNFUT</v>
          </cell>
          <cell r="B150">
            <v>148.19999999999999</v>
          </cell>
          <cell r="C150">
            <v>148.30000000000001</v>
          </cell>
          <cell r="D150">
            <v>148.4</v>
          </cell>
          <cell r="E150">
            <v>-0.9</v>
          </cell>
          <cell r="F150">
            <v>-0.6</v>
          </cell>
          <cell r="G150">
            <v>148.6</v>
          </cell>
          <cell r="H150" t="str">
            <v>APOLLOTYRE</v>
          </cell>
          <cell r="I150">
            <v>149.5</v>
          </cell>
          <cell r="J150">
            <v>149.9</v>
          </cell>
          <cell r="K150">
            <v>147.55000000000001</v>
          </cell>
          <cell r="L150">
            <v>149.19999999999999</v>
          </cell>
          <cell r="M150">
            <v>3000</v>
          </cell>
          <cell r="N150">
            <v>8673000</v>
          </cell>
          <cell r="O150">
            <v>2478000</v>
          </cell>
        </row>
        <row r="151">
          <cell r="A151" t="str">
            <v>ASHOKLEY16JUNFUT</v>
          </cell>
          <cell r="B151">
            <v>99.8</v>
          </cell>
          <cell r="C151">
            <v>99.9</v>
          </cell>
          <cell r="D151">
            <v>99.9</v>
          </cell>
          <cell r="E151">
            <v>-2.5</v>
          </cell>
          <cell r="F151">
            <v>-2.44</v>
          </cell>
          <cell r="G151">
            <v>100.99</v>
          </cell>
          <cell r="H151" t="str">
            <v>ASHOKLEY</v>
          </cell>
          <cell r="I151">
            <v>102.2</v>
          </cell>
          <cell r="J151">
            <v>102.6</v>
          </cell>
          <cell r="K151">
            <v>99.7</v>
          </cell>
          <cell r="L151">
            <v>102.4</v>
          </cell>
          <cell r="M151">
            <v>7000</v>
          </cell>
          <cell r="N151">
            <v>71575000</v>
          </cell>
          <cell r="O151">
            <v>23226000</v>
          </cell>
        </row>
        <row r="152">
          <cell r="A152"/>
          <cell r="B152"/>
          <cell r="C152"/>
          <cell r="D152"/>
          <cell r="E152"/>
          <cell r="F152"/>
          <cell r="G152"/>
          <cell r="H152"/>
          <cell r="I152"/>
          <cell r="J152"/>
          <cell r="K152"/>
          <cell r="L152"/>
          <cell r="M152"/>
          <cell r="N152"/>
          <cell r="O152"/>
        </row>
        <row r="153">
          <cell r="A153" t="str">
            <v>Others 1 :</v>
          </cell>
          <cell r="B153"/>
          <cell r="C153"/>
          <cell r="D153"/>
          <cell r="E153"/>
          <cell r="F153"/>
          <cell r="G153"/>
          <cell r="H153"/>
          <cell r="I153"/>
          <cell r="J153"/>
          <cell r="K153"/>
          <cell r="L153"/>
          <cell r="M153"/>
          <cell r="N153"/>
          <cell r="O153"/>
        </row>
        <row r="154">
          <cell r="A154" t="str">
            <v>Trading Symbol</v>
          </cell>
          <cell r="B154" t="str">
            <v>Best Buy Rate</v>
          </cell>
          <cell r="C154" t="str">
            <v>Last Traded Price</v>
          </cell>
          <cell r="D154" t="str">
            <v>Best Sell Rate</v>
          </cell>
          <cell r="E154" t="str">
            <v>Net Change</v>
          </cell>
          <cell r="F154" t="str">
            <v>Percentage Change</v>
          </cell>
          <cell r="G154" t="str">
            <v>ATP</v>
          </cell>
          <cell r="H154" t="str">
            <v>Symbol</v>
          </cell>
          <cell r="I154" t="str">
            <v>Open</v>
          </cell>
          <cell r="J154" t="str">
            <v>High Price</v>
          </cell>
          <cell r="K154" t="str">
            <v>Low Price</v>
          </cell>
          <cell r="L154" t="str">
            <v>Prev Close Price</v>
          </cell>
          <cell r="M154" t="str">
            <v>Min Lot Qty</v>
          </cell>
          <cell r="N154" t="str">
            <v>Open Interest</v>
          </cell>
          <cell r="O154" t="str">
            <v>Volume</v>
          </cell>
        </row>
        <row r="155">
          <cell r="A155" t="str">
            <v>GRASIM16JUNFUT</v>
          </cell>
          <cell r="B155">
            <v>4286.2</v>
          </cell>
          <cell r="C155">
            <v>4285.7</v>
          </cell>
          <cell r="D155">
            <v>4289.6000000000004</v>
          </cell>
          <cell r="E155">
            <v>-35.35</v>
          </cell>
          <cell r="F155">
            <v>-0.82</v>
          </cell>
          <cell r="G155">
            <v>4306.12</v>
          </cell>
          <cell r="H155" t="str">
            <v>GRASIM</v>
          </cell>
          <cell r="I155">
            <v>4326.8</v>
          </cell>
          <cell r="J155">
            <v>4331.8999999999996</v>
          </cell>
          <cell r="K155">
            <v>4271</v>
          </cell>
          <cell r="L155">
            <v>4321.05</v>
          </cell>
          <cell r="M155">
            <v>150</v>
          </cell>
          <cell r="N155">
            <v>960750</v>
          </cell>
          <cell r="O155">
            <v>82200</v>
          </cell>
        </row>
        <row r="156">
          <cell r="A156" t="str">
            <v>ULTRACEMCO16JUNFUT</v>
          </cell>
          <cell r="B156">
            <v>3321.9</v>
          </cell>
          <cell r="C156">
            <v>3322.55</v>
          </cell>
          <cell r="D156">
            <v>3324.85</v>
          </cell>
          <cell r="E156">
            <v>-40.799999999999997</v>
          </cell>
          <cell r="F156">
            <v>-1.21</v>
          </cell>
          <cell r="G156">
            <v>3339.58</v>
          </cell>
          <cell r="H156" t="str">
            <v>ULTRACEMCO</v>
          </cell>
          <cell r="I156">
            <v>3361.9</v>
          </cell>
          <cell r="J156">
            <v>3366.85</v>
          </cell>
          <cell r="K156">
            <v>3313</v>
          </cell>
          <cell r="L156">
            <v>3363.35</v>
          </cell>
          <cell r="M156">
            <v>200</v>
          </cell>
          <cell r="N156">
            <v>997800</v>
          </cell>
          <cell r="O156">
            <v>194600</v>
          </cell>
        </row>
        <row r="157">
          <cell r="A157" t="str">
            <v>ABIRLANUVO16JUNFUT</v>
          </cell>
          <cell r="B157">
            <v>1040.7</v>
          </cell>
          <cell r="C157">
            <v>1040.75</v>
          </cell>
          <cell r="D157">
            <v>1042.1500000000001</v>
          </cell>
          <cell r="E157">
            <v>-11.95</v>
          </cell>
          <cell r="F157">
            <v>-1.1399999999999999</v>
          </cell>
          <cell r="G157">
            <v>1046.06</v>
          </cell>
          <cell r="H157" t="str">
            <v>ABIRLANUVO</v>
          </cell>
          <cell r="I157">
            <v>1056.1500000000001</v>
          </cell>
          <cell r="J157">
            <v>1058</v>
          </cell>
          <cell r="K157">
            <v>1036.1500000000001</v>
          </cell>
          <cell r="L157">
            <v>1052.7</v>
          </cell>
          <cell r="M157">
            <v>250</v>
          </cell>
          <cell r="N157">
            <v>1344250</v>
          </cell>
          <cell r="O157">
            <v>261500</v>
          </cell>
        </row>
        <row r="158">
          <cell r="A158" t="str">
            <v>ACC16JUNFUT</v>
          </cell>
          <cell r="B158">
            <v>1566.6</v>
          </cell>
          <cell r="C158">
            <v>1567.4</v>
          </cell>
          <cell r="D158">
            <v>1567.95</v>
          </cell>
          <cell r="E158">
            <v>5.2</v>
          </cell>
          <cell r="F158">
            <v>0.33</v>
          </cell>
          <cell r="G158">
            <v>1568.01</v>
          </cell>
          <cell r="H158" t="str">
            <v>ACC</v>
          </cell>
          <cell r="I158">
            <v>1565.35</v>
          </cell>
          <cell r="J158">
            <v>1573.8</v>
          </cell>
          <cell r="K158">
            <v>1562.4</v>
          </cell>
          <cell r="L158">
            <v>1562.2</v>
          </cell>
          <cell r="M158">
            <v>375</v>
          </cell>
          <cell r="N158">
            <v>907875</v>
          </cell>
          <cell r="O158">
            <v>335625</v>
          </cell>
        </row>
        <row r="159">
          <cell r="A159" t="str">
            <v>CENTURYTEX16JUNFUT</v>
          </cell>
          <cell r="B159">
            <v>642.15</v>
          </cell>
          <cell r="C159">
            <v>642.15</v>
          </cell>
          <cell r="D159">
            <v>642.6</v>
          </cell>
          <cell r="E159">
            <v>-12.5</v>
          </cell>
          <cell r="F159">
            <v>-1.91</v>
          </cell>
          <cell r="G159">
            <v>646.38</v>
          </cell>
          <cell r="H159" t="str">
            <v>CENTURYTEX</v>
          </cell>
          <cell r="I159">
            <v>657.4</v>
          </cell>
          <cell r="J159">
            <v>658.25</v>
          </cell>
          <cell r="K159">
            <v>635.04999999999995</v>
          </cell>
          <cell r="L159">
            <v>654.65</v>
          </cell>
          <cell r="M159">
            <v>800</v>
          </cell>
          <cell r="N159">
            <v>6092800</v>
          </cell>
          <cell r="O159">
            <v>9014400</v>
          </cell>
        </row>
        <row r="160">
          <cell r="A160" t="str">
            <v>AMBUJACEM16JUNFUT</v>
          </cell>
          <cell r="B160">
            <v>242.2</v>
          </cell>
          <cell r="C160">
            <v>242.3</v>
          </cell>
          <cell r="D160">
            <v>242.35</v>
          </cell>
          <cell r="E160">
            <v>2.1</v>
          </cell>
          <cell r="F160">
            <v>0.87</v>
          </cell>
          <cell r="G160">
            <v>242.31</v>
          </cell>
          <cell r="H160" t="str">
            <v>AMBUJACEM</v>
          </cell>
          <cell r="I160">
            <v>239.55</v>
          </cell>
          <cell r="J160">
            <v>243.75</v>
          </cell>
          <cell r="K160">
            <v>239</v>
          </cell>
          <cell r="L160">
            <v>240.2</v>
          </cell>
          <cell r="M160">
            <v>2100</v>
          </cell>
          <cell r="N160">
            <v>9981300</v>
          </cell>
          <cell r="O160">
            <v>3131100</v>
          </cell>
        </row>
        <row r="161">
          <cell r="A161" t="str">
            <v>ASIANPAINT16JUNFUT</v>
          </cell>
          <cell r="B161">
            <v>984.65</v>
          </cell>
          <cell r="C161">
            <v>984.55</v>
          </cell>
          <cell r="D161">
            <v>985.1</v>
          </cell>
          <cell r="E161">
            <v>-0.25</v>
          </cell>
          <cell r="F161">
            <v>-0.03</v>
          </cell>
          <cell r="G161">
            <v>987.31</v>
          </cell>
          <cell r="H161" t="str">
            <v>ASIANPAINT</v>
          </cell>
          <cell r="I161">
            <v>981.15</v>
          </cell>
          <cell r="J161">
            <v>991.45</v>
          </cell>
          <cell r="K161">
            <v>981.15</v>
          </cell>
          <cell r="L161">
            <v>984.8</v>
          </cell>
          <cell r="M161">
            <v>600</v>
          </cell>
          <cell r="N161">
            <v>3384000</v>
          </cell>
          <cell r="O161">
            <v>735600</v>
          </cell>
        </row>
        <row r="162">
          <cell r="A162" t="str">
            <v>ADANIPORTS16JUNFUT</v>
          </cell>
          <cell r="B162">
            <v>205.15</v>
          </cell>
          <cell r="C162">
            <v>205.15</v>
          </cell>
          <cell r="D162">
            <v>205.3</v>
          </cell>
          <cell r="E162">
            <v>1</v>
          </cell>
          <cell r="F162">
            <v>0.49</v>
          </cell>
          <cell r="G162">
            <v>205.77</v>
          </cell>
          <cell r="H162" t="str">
            <v>ADANIPORTS</v>
          </cell>
          <cell r="I162">
            <v>204.55</v>
          </cell>
          <cell r="J162">
            <v>207.55</v>
          </cell>
          <cell r="K162">
            <v>203.65</v>
          </cell>
          <cell r="L162">
            <v>204.15</v>
          </cell>
          <cell r="M162">
            <v>1600</v>
          </cell>
          <cell r="N162">
            <v>30937600</v>
          </cell>
          <cell r="O162">
            <v>3896000</v>
          </cell>
        </row>
        <row r="163">
          <cell r="A163" t="str">
            <v>VOLTAS16JUNFUT</v>
          </cell>
          <cell r="B163">
            <v>321.64999999999998</v>
          </cell>
          <cell r="C163">
            <v>321.7</v>
          </cell>
          <cell r="D163">
            <v>321.85000000000002</v>
          </cell>
          <cell r="E163">
            <v>-2.1</v>
          </cell>
          <cell r="F163">
            <v>-0.65</v>
          </cell>
          <cell r="G163">
            <v>324.55</v>
          </cell>
          <cell r="H163" t="str">
            <v>VOLTAS</v>
          </cell>
          <cell r="I163">
            <v>323</v>
          </cell>
          <cell r="J163">
            <v>327</v>
          </cell>
          <cell r="K163">
            <v>321.05</v>
          </cell>
          <cell r="L163">
            <v>323.8</v>
          </cell>
          <cell r="M163">
            <v>1600</v>
          </cell>
          <cell r="N163">
            <v>4838400</v>
          </cell>
          <cell r="O163">
            <v>2744000</v>
          </cell>
        </row>
        <row r="164">
          <cell r="A164" t="str">
            <v>INDIACEM16JUNFUT</v>
          </cell>
          <cell r="B164">
            <v>102.15</v>
          </cell>
          <cell r="C164">
            <v>102.35</v>
          </cell>
          <cell r="D164">
            <v>102.4</v>
          </cell>
          <cell r="E164">
            <v>-1.8</v>
          </cell>
          <cell r="F164">
            <v>-1.73</v>
          </cell>
          <cell r="G164">
            <v>103.31</v>
          </cell>
          <cell r="H164" t="str">
            <v>INDIACEM</v>
          </cell>
          <cell r="I164">
            <v>103.8</v>
          </cell>
          <cell r="J164">
            <v>104.9</v>
          </cell>
          <cell r="K164">
            <v>102.1</v>
          </cell>
          <cell r="L164">
            <v>104.15</v>
          </cell>
          <cell r="M164">
            <v>6000</v>
          </cell>
          <cell r="N164">
            <v>29832000</v>
          </cell>
          <cell r="O164">
            <v>4512000</v>
          </cell>
        </row>
        <row r="165">
          <cell r="A165" t="str">
            <v>ADANIENT16JUNFUT</v>
          </cell>
          <cell r="B165">
            <v>77.349999999999994</v>
          </cell>
          <cell r="C165">
            <v>77.45</v>
          </cell>
          <cell r="D165">
            <v>77.5</v>
          </cell>
          <cell r="E165">
            <v>-1.5</v>
          </cell>
          <cell r="F165">
            <v>-1.9</v>
          </cell>
          <cell r="G165">
            <v>78.53</v>
          </cell>
          <cell r="H165" t="str">
            <v>ADANIENT</v>
          </cell>
          <cell r="I165">
            <v>79.400000000000006</v>
          </cell>
          <cell r="J165">
            <v>79.75</v>
          </cell>
          <cell r="K165">
            <v>77.2</v>
          </cell>
          <cell r="L165">
            <v>78.95</v>
          </cell>
          <cell r="M165">
            <v>6000</v>
          </cell>
          <cell r="N165">
            <v>12906000</v>
          </cell>
          <cell r="O165">
            <v>3672000</v>
          </cell>
        </row>
        <row r="166">
          <cell r="A166"/>
          <cell r="B166"/>
          <cell r="C166"/>
          <cell r="D166"/>
          <cell r="E166"/>
          <cell r="F166"/>
          <cell r="G166"/>
          <cell r="H166"/>
          <cell r="I166"/>
          <cell r="J166"/>
          <cell r="K166"/>
          <cell r="L166"/>
          <cell r="M166"/>
          <cell r="N166"/>
          <cell r="O166"/>
        </row>
        <row r="167">
          <cell r="A167" t="str">
            <v>Others 2 :</v>
          </cell>
          <cell r="B167"/>
          <cell r="C167"/>
          <cell r="D167"/>
          <cell r="E167"/>
          <cell r="F167"/>
          <cell r="G167"/>
          <cell r="H167"/>
          <cell r="I167"/>
          <cell r="J167"/>
          <cell r="K167"/>
          <cell r="L167"/>
          <cell r="M167"/>
          <cell r="N167"/>
          <cell r="O167"/>
        </row>
        <row r="168">
          <cell r="A168" t="str">
            <v>Trading Symbol</v>
          </cell>
          <cell r="B168" t="str">
            <v>Best Buy Rate</v>
          </cell>
          <cell r="C168" t="str">
            <v>Last Traded Price</v>
          </cell>
          <cell r="D168" t="str">
            <v>Best Sell Rate</v>
          </cell>
          <cell r="E168" t="str">
            <v>Net Change</v>
          </cell>
          <cell r="F168" t="str">
            <v>Percentage Change</v>
          </cell>
          <cell r="G168" t="str">
            <v>ATP</v>
          </cell>
          <cell r="H168" t="str">
            <v>Symbol</v>
          </cell>
          <cell r="I168" t="str">
            <v>Open</v>
          </cell>
          <cell r="J168" t="str">
            <v>High Price</v>
          </cell>
          <cell r="K168" t="str">
            <v>Low Price</v>
          </cell>
          <cell r="L168" t="str">
            <v>Prev Close Price</v>
          </cell>
          <cell r="M168" t="str">
            <v>Min Lot Qty</v>
          </cell>
          <cell r="N168" t="str">
            <v>Open Interest</v>
          </cell>
          <cell r="O168" t="str">
            <v>Volume</v>
          </cell>
        </row>
        <row r="169">
          <cell r="A169" t="str">
            <v>SIEMENS16JUNFUT</v>
          </cell>
          <cell r="B169">
            <v>1263.2</v>
          </cell>
          <cell r="C169">
            <v>1264.5</v>
          </cell>
          <cell r="D169">
            <v>1264.55</v>
          </cell>
          <cell r="E169">
            <v>-2.4500000000000002</v>
          </cell>
          <cell r="F169">
            <v>-0.19</v>
          </cell>
          <cell r="G169">
            <v>1267.96</v>
          </cell>
          <cell r="H169" t="str">
            <v>SIEMENS</v>
          </cell>
          <cell r="I169">
            <v>1267.75</v>
          </cell>
          <cell r="J169">
            <v>1275.9000000000001</v>
          </cell>
          <cell r="K169">
            <v>1262.05</v>
          </cell>
          <cell r="L169">
            <v>1266.95</v>
          </cell>
          <cell r="M169">
            <v>400</v>
          </cell>
          <cell r="N169">
            <v>1160800</v>
          </cell>
          <cell r="O169">
            <v>212400</v>
          </cell>
        </row>
        <row r="170">
          <cell r="A170" t="str">
            <v>BHEL16JUNFUT</v>
          </cell>
          <cell r="B170">
            <v>122.15</v>
          </cell>
          <cell r="C170">
            <v>122.25</v>
          </cell>
          <cell r="D170">
            <v>122.25</v>
          </cell>
          <cell r="E170">
            <v>-0.15</v>
          </cell>
          <cell r="F170">
            <v>-0.12</v>
          </cell>
          <cell r="G170">
            <v>122.54</v>
          </cell>
          <cell r="H170" t="str">
            <v>BHEL</v>
          </cell>
          <cell r="I170">
            <v>122.6</v>
          </cell>
          <cell r="J170">
            <v>123.5</v>
          </cell>
          <cell r="K170">
            <v>121.75</v>
          </cell>
          <cell r="L170">
            <v>122.4</v>
          </cell>
          <cell r="M170">
            <v>2000</v>
          </cell>
          <cell r="N170">
            <v>29408000</v>
          </cell>
          <cell r="O170">
            <v>6978000</v>
          </cell>
        </row>
        <row r="171">
          <cell r="A171" t="str">
            <v>RCOM16JUNFUT</v>
          </cell>
          <cell r="B171">
            <v>47.75</v>
          </cell>
          <cell r="C171">
            <v>47.8</v>
          </cell>
          <cell r="D171">
            <v>47.8</v>
          </cell>
          <cell r="E171">
            <v>-0.9</v>
          </cell>
          <cell r="F171">
            <v>-1.85</v>
          </cell>
          <cell r="G171">
            <v>48.24</v>
          </cell>
          <cell r="H171" t="str">
            <v>RCOM</v>
          </cell>
          <cell r="I171">
            <v>48.75</v>
          </cell>
          <cell r="J171">
            <v>49</v>
          </cell>
          <cell r="K171">
            <v>47.6</v>
          </cell>
          <cell r="L171">
            <v>48.7</v>
          </cell>
          <cell r="M171">
            <v>8000</v>
          </cell>
          <cell r="N171">
            <v>115496000</v>
          </cell>
          <cell r="O171">
            <v>22616000</v>
          </cell>
        </row>
        <row r="172">
          <cell r="A172" t="str">
            <v>SKSMICRO16JUNFUT</v>
          </cell>
          <cell r="B172">
            <v>687.65</v>
          </cell>
          <cell r="C172">
            <v>688.15</v>
          </cell>
          <cell r="D172">
            <v>688.15</v>
          </cell>
          <cell r="E172">
            <v>-12.45</v>
          </cell>
          <cell r="F172">
            <v>-1.78</v>
          </cell>
          <cell r="G172">
            <v>695.76</v>
          </cell>
          <cell r="H172" t="str">
            <v>SKSMICRO</v>
          </cell>
          <cell r="I172">
            <v>697.35</v>
          </cell>
          <cell r="J172">
            <v>705.9</v>
          </cell>
          <cell r="K172">
            <v>686</v>
          </cell>
          <cell r="L172">
            <v>700.6</v>
          </cell>
          <cell r="M172">
            <v>1000</v>
          </cell>
          <cell r="N172">
            <v>8291000</v>
          </cell>
          <cell r="O172">
            <v>2936000</v>
          </cell>
        </row>
        <row r="173">
          <cell r="A173" t="str">
            <v>LICHSGFIN16JUNFUT</v>
          </cell>
          <cell r="B173">
            <v>483.8</v>
          </cell>
          <cell r="C173">
            <v>484</v>
          </cell>
          <cell r="D173">
            <v>484.15</v>
          </cell>
          <cell r="E173">
            <v>-1.25</v>
          </cell>
          <cell r="F173">
            <v>-0.26</v>
          </cell>
          <cell r="G173">
            <v>485.11</v>
          </cell>
          <cell r="H173" t="str">
            <v>LICHSGFIN</v>
          </cell>
          <cell r="I173">
            <v>486.4</v>
          </cell>
          <cell r="J173">
            <v>488</v>
          </cell>
          <cell r="K173">
            <v>482.55</v>
          </cell>
          <cell r="L173">
            <v>485.25</v>
          </cell>
          <cell r="M173">
            <v>1100</v>
          </cell>
          <cell r="N173">
            <v>7395300</v>
          </cell>
          <cell r="O173">
            <v>1833700</v>
          </cell>
        </row>
        <row r="174">
          <cell r="A174" t="str">
            <v>DHFL16JUNFUT</v>
          </cell>
          <cell r="B174">
            <v>201.25</v>
          </cell>
          <cell r="C174">
            <v>201.1</v>
          </cell>
          <cell r="D174">
            <v>201.4</v>
          </cell>
          <cell r="E174">
            <v>-3.35</v>
          </cell>
          <cell r="F174">
            <v>-1.64</v>
          </cell>
          <cell r="G174">
            <v>202.73</v>
          </cell>
          <cell r="H174" t="str">
            <v>DHFL</v>
          </cell>
          <cell r="I174">
            <v>205.35</v>
          </cell>
          <cell r="J174">
            <v>205.7</v>
          </cell>
          <cell r="K174">
            <v>200.85</v>
          </cell>
          <cell r="L174">
            <v>204.45</v>
          </cell>
          <cell r="M174">
            <v>2200</v>
          </cell>
          <cell r="N174">
            <v>9882400</v>
          </cell>
          <cell r="O174">
            <v>1623600</v>
          </cell>
        </row>
        <row r="175">
          <cell r="A175" t="str">
            <v>M&amp;MFIN16JUNFUT</v>
          </cell>
          <cell r="B175">
            <v>316.35000000000002</v>
          </cell>
          <cell r="C175">
            <v>316.8</v>
          </cell>
          <cell r="D175">
            <v>316.8</v>
          </cell>
          <cell r="E175">
            <v>-6.15</v>
          </cell>
          <cell r="F175">
            <v>-1.9</v>
          </cell>
          <cell r="G175">
            <v>319.69</v>
          </cell>
          <cell r="H175" t="str">
            <v>M&amp;MFIN</v>
          </cell>
          <cell r="I175">
            <v>323.75</v>
          </cell>
          <cell r="J175">
            <v>324.45</v>
          </cell>
          <cell r="K175">
            <v>316</v>
          </cell>
          <cell r="L175">
            <v>322.95</v>
          </cell>
          <cell r="M175">
            <v>2000</v>
          </cell>
          <cell r="N175">
            <v>10438000</v>
          </cell>
          <cell r="O175">
            <v>1794000</v>
          </cell>
        </row>
        <row r="176">
          <cell r="A176" t="str">
            <v>IDEA16JUNFUT</v>
          </cell>
          <cell r="B176">
            <v>101.5</v>
          </cell>
          <cell r="C176">
            <v>101.45</v>
          </cell>
          <cell r="D176">
            <v>101.55</v>
          </cell>
          <cell r="E176">
            <v>-1</v>
          </cell>
          <cell r="F176">
            <v>-0.98</v>
          </cell>
          <cell r="G176">
            <v>102.07</v>
          </cell>
          <cell r="H176" t="str">
            <v>IDEA</v>
          </cell>
          <cell r="I176">
            <v>102.55</v>
          </cell>
          <cell r="J176">
            <v>102.9</v>
          </cell>
          <cell r="K176">
            <v>101.3</v>
          </cell>
          <cell r="L176">
            <v>102.45</v>
          </cell>
          <cell r="M176">
            <v>3000</v>
          </cell>
          <cell r="N176">
            <v>56502000</v>
          </cell>
          <cell r="O176">
            <v>5226000</v>
          </cell>
        </row>
        <row r="177">
          <cell r="A177" t="str">
            <v>TITAN16JUNFUT</v>
          </cell>
          <cell r="B177">
            <v>378.55</v>
          </cell>
          <cell r="C177">
            <v>378.7</v>
          </cell>
          <cell r="D177">
            <v>378.85</v>
          </cell>
          <cell r="E177">
            <v>2.7</v>
          </cell>
          <cell r="F177">
            <v>0.72</v>
          </cell>
          <cell r="G177">
            <v>379.3</v>
          </cell>
          <cell r="H177" t="str">
            <v>TITAN</v>
          </cell>
          <cell r="I177">
            <v>377.35</v>
          </cell>
          <cell r="J177">
            <v>381.2</v>
          </cell>
          <cell r="K177">
            <v>376.15</v>
          </cell>
          <cell r="L177">
            <v>376</v>
          </cell>
          <cell r="M177">
            <v>1500</v>
          </cell>
          <cell r="N177">
            <v>11491500</v>
          </cell>
          <cell r="O177">
            <v>1626000</v>
          </cell>
        </row>
        <row r="178">
          <cell r="A178" t="str">
            <v>JISLJALEQS16JUNFUT</v>
          </cell>
          <cell r="B178">
            <v>67.05</v>
          </cell>
          <cell r="C178">
            <v>67.05</v>
          </cell>
          <cell r="D178">
            <v>67.150000000000006</v>
          </cell>
          <cell r="E178">
            <v>-0.65</v>
          </cell>
          <cell r="F178">
            <v>-0.96</v>
          </cell>
          <cell r="G178">
            <v>67.87</v>
          </cell>
          <cell r="H178" t="str">
            <v>JISLJALEQS</v>
          </cell>
          <cell r="I178">
            <v>67.599999999999994</v>
          </cell>
          <cell r="J178">
            <v>68.650000000000006</v>
          </cell>
          <cell r="K178">
            <v>67.05</v>
          </cell>
          <cell r="L178">
            <v>67.7</v>
          </cell>
          <cell r="M178">
            <v>8000</v>
          </cell>
          <cell r="N178">
            <v>36000000</v>
          </cell>
          <cell r="O178">
            <v>4048000</v>
          </cell>
        </row>
        <row r="179">
          <cell r="A179"/>
          <cell r="B179"/>
          <cell r="C179"/>
          <cell r="D179"/>
          <cell r="E179"/>
          <cell r="F179"/>
          <cell r="G179"/>
          <cell r="H179"/>
          <cell r="I179"/>
          <cell r="J179"/>
          <cell r="K179"/>
          <cell r="L179"/>
          <cell r="M179"/>
          <cell r="N179"/>
          <cell r="O179"/>
        </row>
        <row r="180">
          <cell r="A180" t="str">
            <v>Others 3 :</v>
          </cell>
          <cell r="B180"/>
          <cell r="C180"/>
          <cell r="D180"/>
          <cell r="E180"/>
          <cell r="F180"/>
          <cell r="G180"/>
          <cell r="H180"/>
          <cell r="I180"/>
          <cell r="J180"/>
          <cell r="K180"/>
          <cell r="L180"/>
          <cell r="M180"/>
          <cell r="N180"/>
          <cell r="O180"/>
        </row>
        <row r="181">
          <cell r="A181" t="str">
            <v>Trading Symbol</v>
          </cell>
          <cell r="B181" t="str">
            <v>Best Buy Rate</v>
          </cell>
          <cell r="C181" t="str">
            <v>Last Traded Price</v>
          </cell>
          <cell r="D181" t="str">
            <v>Best Sell Rate</v>
          </cell>
          <cell r="E181" t="str">
            <v>Net Change</v>
          </cell>
          <cell r="F181" t="str">
            <v>Percentage Change</v>
          </cell>
          <cell r="G181" t="str">
            <v>ATP</v>
          </cell>
          <cell r="H181" t="str">
            <v>Symbol</v>
          </cell>
          <cell r="I181" t="str">
            <v>Open</v>
          </cell>
          <cell r="J181" t="str">
            <v>High Price</v>
          </cell>
          <cell r="K181" t="str">
            <v>Low Price</v>
          </cell>
          <cell r="L181" t="str">
            <v>Prev Close Price</v>
          </cell>
          <cell r="M181" t="str">
            <v>Min Lot Qty</v>
          </cell>
          <cell r="N181" t="str">
            <v>Open Interest</v>
          </cell>
          <cell r="O181" t="str">
            <v>Volume</v>
          </cell>
        </row>
        <row r="182">
          <cell r="A182" t="str">
            <v>IBULHSGFIN16JUNFUT</v>
          </cell>
          <cell r="B182">
            <v>688.2</v>
          </cell>
          <cell r="C182">
            <v>688</v>
          </cell>
          <cell r="D182">
            <v>689.15</v>
          </cell>
          <cell r="E182">
            <v>-8.1999999999999993</v>
          </cell>
          <cell r="F182">
            <v>-1.18</v>
          </cell>
          <cell r="G182">
            <v>692.97</v>
          </cell>
          <cell r="H182" t="str">
            <v>IBULHSGFIN</v>
          </cell>
          <cell r="I182">
            <v>697.45</v>
          </cell>
          <cell r="J182">
            <v>699</v>
          </cell>
          <cell r="K182">
            <v>686</v>
          </cell>
          <cell r="L182">
            <v>696.2</v>
          </cell>
          <cell r="M182">
            <v>800</v>
          </cell>
          <cell r="N182">
            <v>6990400</v>
          </cell>
          <cell r="O182">
            <v>1020000</v>
          </cell>
        </row>
        <row r="183">
          <cell r="A183" t="str">
            <v>EICHERMOT16JUNFUT</v>
          </cell>
          <cell r="B183">
            <v>18777</v>
          </cell>
          <cell r="C183">
            <v>18783</v>
          </cell>
          <cell r="D183">
            <v>18793.349999999999</v>
          </cell>
          <cell r="E183">
            <v>5.8</v>
          </cell>
          <cell r="F183">
            <v>0.03</v>
          </cell>
          <cell r="G183">
            <v>18792.39</v>
          </cell>
          <cell r="H183" t="str">
            <v>EICHERMOT</v>
          </cell>
          <cell r="I183">
            <v>18753.150000000001</v>
          </cell>
          <cell r="J183">
            <v>18870</v>
          </cell>
          <cell r="K183">
            <v>18720.05</v>
          </cell>
          <cell r="L183">
            <v>18777.2</v>
          </cell>
          <cell r="M183">
            <v>25</v>
          </cell>
          <cell r="N183">
            <v>197200</v>
          </cell>
          <cell r="O183">
            <v>19150</v>
          </cell>
        </row>
        <row r="184">
          <cell r="A184" t="str">
            <v>DISHTV16JUNFUT</v>
          </cell>
          <cell r="B184">
            <v>94</v>
          </cell>
          <cell r="C184">
            <v>94.1</v>
          </cell>
          <cell r="D184">
            <v>94.15</v>
          </cell>
          <cell r="E184">
            <v>-0.8</v>
          </cell>
          <cell r="F184">
            <v>-0.84</v>
          </cell>
          <cell r="G184">
            <v>94.31</v>
          </cell>
          <cell r="H184" t="str">
            <v>DISHTV</v>
          </cell>
          <cell r="I184">
            <v>94.75</v>
          </cell>
          <cell r="J184">
            <v>95.65</v>
          </cell>
          <cell r="K184">
            <v>93.45</v>
          </cell>
          <cell r="L184">
            <v>94.9</v>
          </cell>
          <cell r="M184">
            <v>5000</v>
          </cell>
          <cell r="N184">
            <v>22855000</v>
          </cell>
          <cell r="O184">
            <v>4720000</v>
          </cell>
        </row>
        <row r="185">
          <cell r="A185" t="str">
            <v>BAJFINANCE16JUNFUT</v>
          </cell>
          <cell r="B185">
            <v>7608</v>
          </cell>
          <cell r="C185">
            <v>7608.65</v>
          </cell>
          <cell r="D185">
            <v>7612.95</v>
          </cell>
          <cell r="E185">
            <v>-14.6</v>
          </cell>
          <cell r="F185">
            <v>-0.19</v>
          </cell>
          <cell r="G185">
            <v>7627.14</v>
          </cell>
          <cell r="H185" t="str">
            <v>BAJFINANCE</v>
          </cell>
          <cell r="I185">
            <v>7609.9</v>
          </cell>
          <cell r="J185">
            <v>7665.65</v>
          </cell>
          <cell r="K185">
            <v>7582.4</v>
          </cell>
          <cell r="L185">
            <v>7623.25</v>
          </cell>
          <cell r="M185">
            <v>125</v>
          </cell>
          <cell r="N185">
            <v>496375</v>
          </cell>
          <cell r="O185">
            <v>63250</v>
          </cell>
        </row>
        <row r="186">
          <cell r="A186" t="str">
            <v>ARVIND16JUNFUT</v>
          </cell>
          <cell r="B186">
            <v>327.2</v>
          </cell>
          <cell r="C186">
            <v>327.25</v>
          </cell>
          <cell r="D186">
            <v>327.3</v>
          </cell>
          <cell r="E186">
            <v>-0.75</v>
          </cell>
          <cell r="F186">
            <v>-0.23</v>
          </cell>
          <cell r="G186">
            <v>328.65</v>
          </cell>
          <cell r="H186" t="str">
            <v>ARVIND</v>
          </cell>
          <cell r="I186">
            <v>333.75</v>
          </cell>
          <cell r="J186">
            <v>334.8</v>
          </cell>
          <cell r="K186">
            <v>322.10000000000002</v>
          </cell>
          <cell r="L186">
            <v>328</v>
          </cell>
          <cell r="M186">
            <v>1700</v>
          </cell>
          <cell r="N186">
            <v>5965300</v>
          </cell>
          <cell r="O186">
            <v>26572700</v>
          </cell>
        </row>
        <row r="187">
          <cell r="A187" t="str">
            <v>BHARATFORG16JUNFUT</v>
          </cell>
          <cell r="B187">
            <v>738.95</v>
          </cell>
          <cell r="C187">
            <v>739.45</v>
          </cell>
          <cell r="D187">
            <v>739.6</v>
          </cell>
          <cell r="E187">
            <v>-17.25</v>
          </cell>
          <cell r="F187">
            <v>-2.2799999999999998</v>
          </cell>
          <cell r="G187">
            <v>750.47</v>
          </cell>
          <cell r="H187" t="str">
            <v>BHARATFORG</v>
          </cell>
          <cell r="I187">
            <v>757.95</v>
          </cell>
          <cell r="J187">
            <v>764.6</v>
          </cell>
          <cell r="K187">
            <v>738.4</v>
          </cell>
          <cell r="L187">
            <v>756.7</v>
          </cell>
          <cell r="M187">
            <v>500</v>
          </cell>
          <cell r="N187">
            <v>6523000</v>
          </cell>
          <cell r="O187">
            <v>1442000</v>
          </cell>
        </row>
        <row r="188">
          <cell r="A188" t="str">
            <v>BHARTIARTL16JUNFUT</v>
          </cell>
          <cell r="B188">
            <v>364.65</v>
          </cell>
          <cell r="C188">
            <v>364.7</v>
          </cell>
          <cell r="D188">
            <v>364.9</v>
          </cell>
          <cell r="E188">
            <v>2.5</v>
          </cell>
          <cell r="F188">
            <v>0.69</v>
          </cell>
          <cell r="G188">
            <v>364.38</v>
          </cell>
          <cell r="H188" t="str">
            <v>BHARTIARTL</v>
          </cell>
          <cell r="I188">
            <v>363.45</v>
          </cell>
          <cell r="J188">
            <v>367.35</v>
          </cell>
          <cell r="K188">
            <v>360.8</v>
          </cell>
          <cell r="L188">
            <v>362.2</v>
          </cell>
          <cell r="M188">
            <v>1200</v>
          </cell>
          <cell r="N188">
            <v>19494000</v>
          </cell>
          <cell r="O188">
            <v>3124800</v>
          </cell>
        </row>
        <row r="189">
          <cell r="A189" t="str">
            <v>BOSCHLTD16JUNFUT</v>
          </cell>
          <cell r="B189">
            <v>21745.75</v>
          </cell>
          <cell r="C189">
            <v>21740.7</v>
          </cell>
          <cell r="D189">
            <v>21759.65</v>
          </cell>
          <cell r="E189">
            <v>-262.7</v>
          </cell>
          <cell r="F189">
            <v>-1.19</v>
          </cell>
          <cell r="G189">
            <v>21857.22</v>
          </cell>
          <cell r="H189" t="str">
            <v>BOSCHLTD</v>
          </cell>
          <cell r="I189">
            <v>21852.5</v>
          </cell>
          <cell r="J189">
            <v>22022.85</v>
          </cell>
          <cell r="K189">
            <v>21710.1</v>
          </cell>
          <cell r="L189">
            <v>22003.4</v>
          </cell>
          <cell r="M189">
            <v>25</v>
          </cell>
          <cell r="N189">
            <v>112625</v>
          </cell>
          <cell r="O189">
            <v>17925</v>
          </cell>
        </row>
        <row r="190">
          <cell r="A190" t="str">
            <v>PIDILITIND16JUNFUT</v>
          </cell>
          <cell r="B190">
            <v>687.85</v>
          </cell>
          <cell r="C190">
            <v>688</v>
          </cell>
          <cell r="D190">
            <v>688.6</v>
          </cell>
          <cell r="E190">
            <v>-6.25</v>
          </cell>
          <cell r="F190">
            <v>-0.9</v>
          </cell>
          <cell r="G190">
            <v>692.28</v>
          </cell>
          <cell r="H190" t="str">
            <v>PIDILITIND</v>
          </cell>
          <cell r="I190">
            <v>691.3</v>
          </cell>
          <cell r="J190">
            <v>697.4</v>
          </cell>
          <cell r="K190">
            <v>687</v>
          </cell>
          <cell r="L190">
            <v>694.25</v>
          </cell>
          <cell r="M190">
            <v>1000</v>
          </cell>
          <cell r="N190">
            <v>1231000</v>
          </cell>
          <cell r="O190">
            <v>584000</v>
          </cell>
        </row>
        <row r="192">
          <cell r="A192" t="str">
            <v>Others 4 :</v>
          </cell>
          <cell r="B192"/>
          <cell r="C192"/>
          <cell r="D192"/>
          <cell r="E192"/>
          <cell r="F192"/>
          <cell r="G192"/>
          <cell r="H192"/>
          <cell r="I192"/>
          <cell r="J192"/>
          <cell r="K192"/>
          <cell r="L192"/>
          <cell r="M192"/>
          <cell r="N192"/>
          <cell r="O192"/>
        </row>
        <row r="193">
          <cell r="A193" t="str">
            <v>Trading Symbol</v>
          </cell>
          <cell r="B193" t="str">
            <v>Best Buy Rate</v>
          </cell>
          <cell r="C193" t="str">
            <v>Last Traded Price</v>
          </cell>
          <cell r="D193" t="str">
            <v>Best Sell Rate</v>
          </cell>
          <cell r="E193" t="str">
            <v>Net Change</v>
          </cell>
          <cell r="F193" t="str">
            <v>Percentage Change</v>
          </cell>
          <cell r="G193" t="str">
            <v>ATP</v>
          </cell>
          <cell r="H193" t="str">
            <v>Symbol</v>
          </cell>
          <cell r="I193" t="str">
            <v>Open</v>
          </cell>
          <cell r="J193" t="str">
            <v>High Price</v>
          </cell>
          <cell r="K193" t="str">
            <v>Low Price</v>
          </cell>
          <cell r="L193" t="str">
            <v>Prev Close Price</v>
          </cell>
          <cell r="M193" t="str">
            <v>Min Lot Qty</v>
          </cell>
          <cell r="N193" t="str">
            <v>Open Interest</v>
          </cell>
          <cell r="O193" t="str">
            <v>Volume</v>
          </cell>
        </row>
        <row r="194">
          <cell r="A194" t="str">
            <v>VEDL16JUNFUT</v>
          </cell>
          <cell r="B194">
            <v>125.1</v>
          </cell>
          <cell r="C194">
            <v>125.2</v>
          </cell>
          <cell r="D194">
            <v>125.2</v>
          </cell>
          <cell r="E194">
            <v>-0.7</v>
          </cell>
          <cell r="F194">
            <v>-0.56000000000000005</v>
          </cell>
          <cell r="G194">
            <v>124.86</v>
          </cell>
          <cell r="H194" t="str">
            <v>VEDL</v>
          </cell>
          <cell r="I194">
            <v>126</v>
          </cell>
          <cell r="J194">
            <v>127</v>
          </cell>
          <cell r="K194">
            <v>122.8</v>
          </cell>
          <cell r="L194">
            <v>125.9</v>
          </cell>
          <cell r="M194">
            <v>4000</v>
          </cell>
          <cell r="N194">
            <v>43016000</v>
          </cell>
          <cell r="O194">
            <v>23020000</v>
          </cell>
        </row>
        <row r="195">
          <cell r="A195" t="str">
            <v>UPL16JUNFUT</v>
          </cell>
          <cell r="B195">
            <v>558.04999999999995</v>
          </cell>
          <cell r="C195">
            <v>558</v>
          </cell>
          <cell r="D195">
            <v>558.45000000000005</v>
          </cell>
          <cell r="E195">
            <v>-6.1</v>
          </cell>
          <cell r="F195">
            <v>-1.08</v>
          </cell>
          <cell r="G195">
            <v>563.01</v>
          </cell>
          <cell r="H195" t="str">
            <v>UPL</v>
          </cell>
          <cell r="I195">
            <v>565.35</v>
          </cell>
          <cell r="J195">
            <v>568</v>
          </cell>
          <cell r="K195">
            <v>556.35</v>
          </cell>
          <cell r="L195">
            <v>564.1</v>
          </cell>
          <cell r="M195">
            <v>1000</v>
          </cell>
          <cell r="N195">
            <v>8919000</v>
          </cell>
          <cell r="O195">
            <v>1851000</v>
          </cell>
        </row>
        <row r="196">
          <cell r="A196" t="str">
            <v>SUNTV16JUNFUT</v>
          </cell>
          <cell r="B196">
            <v>365.65</v>
          </cell>
          <cell r="C196">
            <v>365.75</v>
          </cell>
          <cell r="D196">
            <v>366.1</v>
          </cell>
          <cell r="E196">
            <v>-1.05</v>
          </cell>
          <cell r="F196">
            <v>-0.28999999999999998</v>
          </cell>
          <cell r="G196">
            <v>368.22</v>
          </cell>
          <cell r="H196" t="str">
            <v>SUNTV</v>
          </cell>
          <cell r="I196">
            <v>366.95</v>
          </cell>
          <cell r="J196">
            <v>371.25</v>
          </cell>
          <cell r="K196">
            <v>364.3</v>
          </cell>
          <cell r="L196">
            <v>366.8</v>
          </cell>
          <cell r="M196">
            <v>2000</v>
          </cell>
          <cell r="N196">
            <v>6160000</v>
          </cell>
          <cell r="O196">
            <v>2060000</v>
          </cell>
        </row>
        <row r="197">
          <cell r="A197" t="str">
            <v>SRTRANSFIN16JUNFUT</v>
          </cell>
          <cell r="B197">
            <v>1150.3</v>
          </cell>
          <cell r="C197">
            <v>1151</v>
          </cell>
          <cell r="D197">
            <v>1151.8499999999999</v>
          </cell>
          <cell r="E197">
            <v>-8.1</v>
          </cell>
          <cell r="F197">
            <v>-0.7</v>
          </cell>
          <cell r="G197">
            <v>1154.68</v>
          </cell>
          <cell r="H197" t="str">
            <v>SRTRANSFIN</v>
          </cell>
          <cell r="I197">
            <v>1157.45</v>
          </cell>
          <cell r="J197">
            <v>1165.8</v>
          </cell>
          <cell r="K197">
            <v>1145.3</v>
          </cell>
          <cell r="L197">
            <v>1159.0999999999999</v>
          </cell>
          <cell r="M197">
            <v>600</v>
          </cell>
          <cell r="N197">
            <v>2815800</v>
          </cell>
          <cell r="O197">
            <v>335400</v>
          </cell>
        </row>
        <row r="198">
          <cell r="A198" t="str">
            <v>NCC16JUNFUT</v>
          </cell>
          <cell r="B198">
            <v>73.599999999999994</v>
          </cell>
          <cell r="C198">
            <v>73.7</v>
          </cell>
          <cell r="D198">
            <v>73.849999999999994</v>
          </cell>
          <cell r="E198">
            <v>-1.85</v>
          </cell>
          <cell r="F198">
            <v>-2.4500000000000002</v>
          </cell>
          <cell r="G198">
            <v>74.98</v>
          </cell>
          <cell r="H198" t="str">
            <v>NCC</v>
          </cell>
          <cell r="I198">
            <v>74.900000000000006</v>
          </cell>
          <cell r="J198">
            <v>76.400000000000006</v>
          </cell>
          <cell r="K198">
            <v>73.55</v>
          </cell>
          <cell r="L198">
            <v>75.55</v>
          </cell>
          <cell r="M198">
            <v>8000</v>
          </cell>
          <cell r="N198">
            <v>18120000</v>
          </cell>
          <cell r="O198">
            <v>3464000</v>
          </cell>
        </row>
        <row r="199">
          <cell r="A199" t="str">
            <v>SRF16JUNFUT</v>
          </cell>
          <cell r="B199">
            <v>1258.8499999999999</v>
          </cell>
          <cell r="C199">
            <v>1261.1500000000001</v>
          </cell>
          <cell r="D199">
            <v>1261</v>
          </cell>
          <cell r="E199">
            <v>-6.5</v>
          </cell>
          <cell r="F199">
            <v>-0.51</v>
          </cell>
          <cell r="G199">
            <v>1264.73</v>
          </cell>
          <cell r="H199" t="str">
            <v>SRF</v>
          </cell>
          <cell r="I199">
            <v>1268.05</v>
          </cell>
          <cell r="J199">
            <v>1273.8</v>
          </cell>
          <cell r="K199">
            <v>1256.5</v>
          </cell>
          <cell r="L199">
            <v>1267.6500000000001</v>
          </cell>
          <cell r="M199">
            <v>400</v>
          </cell>
          <cell r="N199">
            <v>591600</v>
          </cell>
          <cell r="O199">
            <v>105600</v>
          </cell>
        </row>
        <row r="200">
          <cell r="A200" t="str">
            <v>L&amp;TFH16JUNFUT</v>
          </cell>
          <cell r="B200">
            <v>75.650000000000006</v>
          </cell>
          <cell r="C200">
            <v>75.75</v>
          </cell>
          <cell r="D200">
            <v>75.75</v>
          </cell>
          <cell r="E200">
            <v>-0.85</v>
          </cell>
          <cell r="F200">
            <v>-1.1100000000000001</v>
          </cell>
          <cell r="G200">
            <v>76.34</v>
          </cell>
          <cell r="H200" t="str">
            <v>L&amp;TFH</v>
          </cell>
          <cell r="I200">
            <v>76.5</v>
          </cell>
          <cell r="J200">
            <v>77</v>
          </cell>
          <cell r="K200">
            <v>75.599999999999994</v>
          </cell>
          <cell r="L200">
            <v>76.599999999999994</v>
          </cell>
          <cell r="M200">
            <v>8000</v>
          </cell>
          <cell r="N200">
            <v>43496000</v>
          </cell>
          <cell r="O200">
            <v>2760000</v>
          </cell>
        </row>
        <row r="201">
          <cell r="A201" t="str">
            <v>ZEEL16JUNFUT</v>
          </cell>
          <cell r="B201">
            <v>448.85</v>
          </cell>
          <cell r="C201">
            <v>449</v>
          </cell>
          <cell r="D201">
            <v>449</v>
          </cell>
          <cell r="E201">
            <v>0.25</v>
          </cell>
          <cell r="F201">
            <v>0.06</v>
          </cell>
          <cell r="G201">
            <v>450.1</v>
          </cell>
          <cell r="H201" t="str">
            <v>ZEEL</v>
          </cell>
          <cell r="I201">
            <v>447.5</v>
          </cell>
          <cell r="J201">
            <v>453.6</v>
          </cell>
          <cell r="K201">
            <v>447.05</v>
          </cell>
          <cell r="L201">
            <v>448.75</v>
          </cell>
          <cell r="M201">
            <v>1300</v>
          </cell>
          <cell r="N201">
            <v>8212100</v>
          </cell>
          <cell r="O201">
            <v>1302600</v>
          </cell>
        </row>
        <row r="202">
          <cell r="A202" t="str">
            <v>HAVELLS16JUNFUT</v>
          </cell>
          <cell r="B202">
            <v>361.05</v>
          </cell>
          <cell r="C202">
            <v>361.35</v>
          </cell>
          <cell r="D202">
            <v>361.35</v>
          </cell>
          <cell r="E202">
            <v>-4.3</v>
          </cell>
          <cell r="F202">
            <v>-1.18</v>
          </cell>
          <cell r="G202">
            <v>363.64</v>
          </cell>
          <cell r="H202" t="str">
            <v>HAVELLS</v>
          </cell>
          <cell r="I202">
            <v>366.95</v>
          </cell>
          <cell r="J202">
            <v>367.85</v>
          </cell>
          <cell r="K202">
            <v>360.1</v>
          </cell>
          <cell r="L202">
            <v>365.65</v>
          </cell>
          <cell r="M202">
            <v>2000</v>
          </cell>
          <cell r="N202">
            <v>5370000</v>
          </cell>
          <cell r="O202">
            <v>1530000</v>
          </cell>
        </row>
        <row r="203">
          <cell r="A203" t="str">
            <v>TATACOMM16JUNFUT</v>
          </cell>
          <cell r="B203">
            <v>454.75</v>
          </cell>
          <cell r="C203">
            <v>455.15</v>
          </cell>
          <cell r="D203">
            <v>455.65</v>
          </cell>
          <cell r="E203">
            <v>-3.8</v>
          </cell>
          <cell r="F203">
            <v>-0.83</v>
          </cell>
          <cell r="G203">
            <v>455.19</v>
          </cell>
          <cell r="H203" t="str">
            <v>TATACOMM</v>
          </cell>
          <cell r="I203">
            <v>460.5</v>
          </cell>
          <cell r="J203">
            <v>463.2</v>
          </cell>
          <cell r="K203">
            <v>451.15</v>
          </cell>
          <cell r="L203">
            <v>458.95</v>
          </cell>
          <cell r="M203">
            <v>1100</v>
          </cell>
          <cell r="N203">
            <v>3468300</v>
          </cell>
          <cell r="O203">
            <v>627000</v>
          </cell>
        </row>
        <row r="204">
          <cell r="A204" t="str">
            <v>TATAELXSI16JUNFUT</v>
          </cell>
          <cell r="B204">
            <v>1785.2</v>
          </cell>
          <cell r="C204">
            <v>1785.2</v>
          </cell>
          <cell r="D204">
            <v>1786.65</v>
          </cell>
          <cell r="E204">
            <v>-5.85</v>
          </cell>
          <cell r="F204">
            <v>-0.33</v>
          </cell>
          <cell r="G204">
            <v>1790.69</v>
          </cell>
          <cell r="H204" t="str">
            <v>TATAELXSI</v>
          </cell>
          <cell r="I204">
            <v>1770.8</v>
          </cell>
          <cell r="J204">
            <v>1799.95</v>
          </cell>
          <cell r="K204">
            <v>1770.65</v>
          </cell>
          <cell r="L204">
            <v>1791.05</v>
          </cell>
          <cell r="M204">
            <v>300</v>
          </cell>
          <cell r="N204">
            <v>891900</v>
          </cell>
          <cell r="O204">
            <v>84000</v>
          </cell>
        </row>
        <row r="205">
          <cell r="A205" t="str">
            <v>CROMPGREAV16JUNFUT</v>
          </cell>
          <cell r="B205">
            <v>71.849999999999994</v>
          </cell>
          <cell r="C205">
            <v>71.8</v>
          </cell>
          <cell r="D205">
            <v>72</v>
          </cell>
          <cell r="E205">
            <v>-0.75</v>
          </cell>
          <cell r="F205">
            <v>-1.03</v>
          </cell>
          <cell r="G205">
            <v>72.599999999999994</v>
          </cell>
          <cell r="H205" t="str">
            <v>CROMPGREAV</v>
          </cell>
          <cell r="I205">
            <v>72.849999999999994</v>
          </cell>
          <cell r="J205">
            <v>73.25</v>
          </cell>
          <cell r="K205">
            <v>71.75</v>
          </cell>
          <cell r="L205">
            <v>72.55</v>
          </cell>
          <cell r="M205">
            <v>3000</v>
          </cell>
          <cell r="N205">
            <v>15366000</v>
          </cell>
          <cell r="O205">
            <v>1620000</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gin - NSE Fut (5Paisa)"/>
      <sheetName val="Margin - NSE Fut (Balaji)"/>
      <sheetName val="Margin - MCX (Balaji)"/>
      <sheetName val="Sector"/>
      <sheetName val="Current Pairs"/>
      <sheetName val="Pairs - Sep 14"/>
      <sheetName val="Pairs - August 14"/>
      <sheetName val="Pairs - July 14"/>
      <sheetName val="Pairs-May 14"/>
      <sheetName val="Pairs-March 14"/>
      <sheetName val="Pairs-February 14"/>
      <sheetName val="Pairs-June 13"/>
      <sheetName val="Pairs-December 12"/>
      <sheetName val="Pairs-October 12"/>
    </sheetNames>
    <sheetDataSet>
      <sheetData sheetId="0">
        <row r="1">
          <cell r="A1" t="str">
            <v>Span Margin Requirement - NSE Futures :</v>
          </cell>
          <cell r="D1" t="str">
            <v>http://www.5paisa.com/5pit/spma.asp</v>
          </cell>
          <cell r="K1">
            <v>68692.105351351362</v>
          </cell>
        </row>
        <row r="2">
          <cell r="A2" t="str">
            <v>Span Margin:: Jun 9, 2016</v>
          </cell>
          <cell r="B2"/>
          <cell r="C2"/>
          <cell r="D2"/>
          <cell r="E2"/>
          <cell r="F2"/>
          <cell r="G2"/>
          <cell r="H2"/>
          <cell r="I2"/>
          <cell r="J2"/>
          <cell r="K2"/>
        </row>
        <row r="3">
          <cell r="A3" t="str">
            <v>Symbol</v>
          </cell>
          <cell r="B3" t="str">
            <v>Mlot</v>
          </cell>
          <cell r="C3" t="str">
            <v>SpMgn%</v>
          </cell>
          <cell r="D3" t="str">
            <v>ExpMgn%</v>
          </cell>
          <cell r="E3" t="str">
            <v>TotMgn%</v>
          </cell>
          <cell r="F3" t="str">
            <v>SpMgnPerShare</v>
          </cell>
          <cell r="G3" t="str">
            <v>ExpMgnPerShr</v>
          </cell>
          <cell r="H3" t="str">
            <v>TotMgnPerShr</v>
          </cell>
          <cell r="I3" t="str">
            <v>SpMgnPerLt</v>
          </cell>
          <cell r="J3" t="str">
            <v>ExpMgnPerLt</v>
          </cell>
          <cell r="K3" t="str">
            <v>TotMgnPerLt</v>
          </cell>
        </row>
        <row r="4">
          <cell r="A4" t="str">
            <v>INDIAVIX</v>
          </cell>
          <cell r="B4">
            <v>650</v>
          </cell>
          <cell r="C4">
            <v>17.88</v>
          </cell>
          <cell r="D4">
            <v>5</v>
          </cell>
          <cell r="E4">
            <v>22.88</v>
          </cell>
          <cell r="F4">
            <v>271.05</v>
          </cell>
          <cell r="G4">
            <v>75.787499999999994</v>
          </cell>
          <cell r="H4">
            <v>346.83749999999998</v>
          </cell>
          <cell r="I4">
            <v>176183</v>
          </cell>
          <cell r="J4">
            <v>49261.875</v>
          </cell>
          <cell r="K4">
            <v>225444.875</v>
          </cell>
        </row>
        <row r="5">
          <cell r="A5" t="str">
            <v>INDIAVIX</v>
          </cell>
          <cell r="B5">
            <v>650</v>
          </cell>
          <cell r="C5">
            <v>17.61</v>
          </cell>
          <cell r="D5">
            <v>5</v>
          </cell>
          <cell r="E5">
            <v>22.61</v>
          </cell>
          <cell r="F5">
            <v>270.97379999999998</v>
          </cell>
          <cell r="G5">
            <v>76.9375</v>
          </cell>
          <cell r="H5">
            <v>347.98750000000001</v>
          </cell>
          <cell r="I5">
            <v>176132.97</v>
          </cell>
          <cell r="J5">
            <v>50009.375</v>
          </cell>
          <cell r="K5">
            <v>226192.375</v>
          </cell>
        </row>
        <row r="6">
          <cell r="A6" t="str">
            <v>INDIAVIX</v>
          </cell>
          <cell r="B6">
            <v>650</v>
          </cell>
          <cell r="C6">
            <v>17.53</v>
          </cell>
          <cell r="D6">
            <v>5</v>
          </cell>
          <cell r="E6">
            <v>22.53</v>
          </cell>
          <cell r="F6">
            <v>271.0138</v>
          </cell>
          <cell r="G6">
            <v>77.3</v>
          </cell>
          <cell r="H6">
            <v>348.35</v>
          </cell>
          <cell r="I6">
            <v>176158.97</v>
          </cell>
          <cell r="J6">
            <v>50245</v>
          </cell>
          <cell r="K6">
            <v>226428</v>
          </cell>
        </row>
        <row r="7">
          <cell r="A7" t="str">
            <v>JUSTDIAL</v>
          </cell>
          <cell r="B7">
            <v>500</v>
          </cell>
          <cell r="C7">
            <v>12.64</v>
          </cell>
          <cell r="D7">
            <v>7.04</v>
          </cell>
          <cell r="E7">
            <v>19.68</v>
          </cell>
          <cell r="F7">
            <v>80.58</v>
          </cell>
          <cell r="G7">
            <v>44.862400000000001</v>
          </cell>
          <cell r="H7">
            <v>125.44240000000001</v>
          </cell>
          <cell r="I7">
            <v>40290</v>
          </cell>
          <cell r="J7">
            <v>22431.200000000001</v>
          </cell>
          <cell r="K7">
            <v>62721.2</v>
          </cell>
        </row>
        <row r="8">
          <cell r="A8" t="str">
            <v>CROMPGREAV</v>
          </cell>
          <cell r="B8">
            <v>3000</v>
          </cell>
          <cell r="C8">
            <v>13.63</v>
          </cell>
          <cell r="D8">
            <v>5.92</v>
          </cell>
          <cell r="E8">
            <v>19.55</v>
          </cell>
          <cell r="F8">
            <v>9.76</v>
          </cell>
          <cell r="G8">
            <v>4.2386999999999997</v>
          </cell>
          <cell r="H8">
            <v>13.998699999999999</v>
          </cell>
          <cell r="I8">
            <v>29280</v>
          </cell>
          <cell r="J8">
            <v>12716.16</v>
          </cell>
          <cell r="K8">
            <v>41996.160000000003</v>
          </cell>
        </row>
        <row r="9">
          <cell r="A9" t="str">
            <v>IBREALEST</v>
          </cell>
          <cell r="B9">
            <v>9000</v>
          </cell>
          <cell r="C9">
            <v>11.97</v>
          </cell>
          <cell r="D9">
            <v>5.15</v>
          </cell>
          <cell r="E9">
            <v>17.12</v>
          </cell>
          <cell r="F9">
            <v>12.27</v>
          </cell>
          <cell r="G9">
            <v>5.2762000000000002</v>
          </cell>
          <cell r="H9">
            <v>17.546199999999999</v>
          </cell>
          <cell r="I9">
            <v>110430</v>
          </cell>
          <cell r="J9">
            <v>47485.574999999997</v>
          </cell>
          <cell r="K9">
            <v>157915.57500000001</v>
          </cell>
        </row>
        <row r="10">
          <cell r="A10" t="str">
            <v>IDEA</v>
          </cell>
          <cell r="B10">
            <v>3000</v>
          </cell>
          <cell r="C10">
            <v>11.86</v>
          </cell>
          <cell r="D10">
            <v>5</v>
          </cell>
          <cell r="E10">
            <v>16.86</v>
          </cell>
          <cell r="F10">
            <v>12.47</v>
          </cell>
          <cell r="G10">
            <v>5.2549999999999999</v>
          </cell>
          <cell r="H10">
            <v>17.725000000000001</v>
          </cell>
          <cell r="I10">
            <v>37410</v>
          </cell>
          <cell r="J10">
            <v>15765</v>
          </cell>
          <cell r="K10">
            <v>53175</v>
          </cell>
        </row>
        <row r="11">
          <cell r="A11" t="str">
            <v>CANBK</v>
          </cell>
          <cell r="B11">
            <v>2000</v>
          </cell>
          <cell r="C11">
            <v>11.69</v>
          </cell>
          <cell r="D11">
            <v>5</v>
          </cell>
          <cell r="E11">
            <v>16.690000000000001</v>
          </cell>
          <cell r="F11">
            <v>21.93</v>
          </cell>
          <cell r="G11">
            <v>9.375</v>
          </cell>
          <cell r="H11">
            <v>31.305</v>
          </cell>
          <cell r="I11">
            <v>43860</v>
          </cell>
          <cell r="J11">
            <v>18750</v>
          </cell>
          <cell r="K11">
            <v>62610</v>
          </cell>
        </row>
        <row r="12">
          <cell r="A12" t="str">
            <v>VEDL</v>
          </cell>
          <cell r="B12">
            <v>4000</v>
          </cell>
          <cell r="C12">
            <v>10.47</v>
          </cell>
          <cell r="D12">
            <v>6.1</v>
          </cell>
          <cell r="E12">
            <v>16.57</v>
          </cell>
          <cell r="F12">
            <v>11.57</v>
          </cell>
          <cell r="G12">
            <v>6.7374999999999998</v>
          </cell>
          <cell r="H12">
            <v>18.307500000000001</v>
          </cell>
          <cell r="I12">
            <v>46280</v>
          </cell>
          <cell r="J12">
            <v>26949.8</v>
          </cell>
          <cell r="K12">
            <v>73229.8</v>
          </cell>
        </row>
        <row r="13">
          <cell r="A13" t="str">
            <v>HINDALCO</v>
          </cell>
          <cell r="B13">
            <v>5000</v>
          </cell>
          <cell r="C13">
            <v>11.52</v>
          </cell>
          <cell r="D13">
            <v>5</v>
          </cell>
          <cell r="E13">
            <v>16.52</v>
          </cell>
          <cell r="F13">
            <v>12.68</v>
          </cell>
          <cell r="G13">
            <v>5.5025000000000004</v>
          </cell>
          <cell r="H13">
            <v>18.182500000000001</v>
          </cell>
          <cell r="I13">
            <v>63400</v>
          </cell>
          <cell r="J13">
            <v>27512.5</v>
          </cell>
          <cell r="K13">
            <v>90912.5</v>
          </cell>
        </row>
        <row r="14">
          <cell r="A14" t="str">
            <v>SUNTV</v>
          </cell>
          <cell r="B14">
            <v>2000</v>
          </cell>
          <cell r="C14">
            <v>11.43</v>
          </cell>
          <cell r="D14">
            <v>5</v>
          </cell>
          <cell r="E14">
            <v>16.43</v>
          </cell>
          <cell r="F14">
            <v>41.45</v>
          </cell>
          <cell r="G14">
            <v>18.125</v>
          </cell>
          <cell r="H14">
            <v>59.575000000000003</v>
          </cell>
          <cell r="I14">
            <v>82900</v>
          </cell>
          <cell r="J14">
            <v>36250</v>
          </cell>
          <cell r="K14">
            <v>119150</v>
          </cell>
        </row>
        <row r="15">
          <cell r="A15" t="str">
            <v>JUBLFOOD</v>
          </cell>
          <cell r="B15">
            <v>300</v>
          </cell>
          <cell r="C15">
            <v>10.59</v>
          </cell>
          <cell r="D15">
            <v>5</v>
          </cell>
          <cell r="E15">
            <v>15.59</v>
          </cell>
          <cell r="F15">
            <v>106.56</v>
          </cell>
          <cell r="G15">
            <v>50.307499999999997</v>
          </cell>
          <cell r="H15">
            <v>156.86750000000001</v>
          </cell>
          <cell r="I15">
            <v>31968</v>
          </cell>
          <cell r="J15">
            <v>15092.25</v>
          </cell>
          <cell r="K15">
            <v>47060.25</v>
          </cell>
        </row>
        <row r="16">
          <cell r="A16" t="str">
            <v>JPASSOCIAT</v>
          </cell>
          <cell r="B16">
            <v>48000</v>
          </cell>
          <cell r="C16">
            <v>10.52</v>
          </cell>
          <cell r="D16">
            <v>5</v>
          </cell>
          <cell r="E16">
            <v>15.52</v>
          </cell>
          <cell r="F16">
            <v>0.6</v>
          </cell>
          <cell r="G16">
            <v>0.28499999999999998</v>
          </cell>
          <cell r="H16">
            <v>0.88500000000000001</v>
          </cell>
          <cell r="I16">
            <v>28800</v>
          </cell>
          <cell r="J16">
            <v>13680</v>
          </cell>
          <cell r="K16">
            <v>42480</v>
          </cell>
        </row>
        <row r="17">
          <cell r="A17" t="str">
            <v>UNITECH</v>
          </cell>
          <cell r="B17">
            <v>77000</v>
          </cell>
          <cell r="C17">
            <v>10.119999999999999</v>
          </cell>
          <cell r="D17">
            <v>5.34</v>
          </cell>
          <cell r="E17">
            <v>15.46</v>
          </cell>
          <cell r="F17">
            <v>0.4</v>
          </cell>
          <cell r="G17">
            <v>0.2109</v>
          </cell>
          <cell r="H17">
            <v>0.6109</v>
          </cell>
          <cell r="I17">
            <v>30800</v>
          </cell>
          <cell r="J17">
            <v>16241.61</v>
          </cell>
          <cell r="K17">
            <v>47041.61</v>
          </cell>
        </row>
        <row r="18">
          <cell r="A18" t="str">
            <v>SBIN</v>
          </cell>
          <cell r="B18">
            <v>2000</v>
          </cell>
          <cell r="C18">
            <v>10.41</v>
          </cell>
          <cell r="D18">
            <v>5</v>
          </cell>
          <cell r="E18">
            <v>15.41</v>
          </cell>
          <cell r="F18">
            <v>21.74</v>
          </cell>
          <cell r="G18">
            <v>10.432499999999999</v>
          </cell>
          <cell r="H18">
            <v>32.172499999999999</v>
          </cell>
          <cell r="I18">
            <v>43480</v>
          </cell>
          <cell r="J18">
            <v>20865</v>
          </cell>
          <cell r="K18">
            <v>64345</v>
          </cell>
        </row>
        <row r="19">
          <cell r="A19" t="str">
            <v>TATAMTRDVR</v>
          </cell>
          <cell r="B19">
            <v>2100</v>
          </cell>
          <cell r="C19">
            <v>10.35</v>
          </cell>
          <cell r="D19">
            <v>5</v>
          </cell>
          <cell r="E19">
            <v>15.35</v>
          </cell>
          <cell r="F19">
            <v>33.31</v>
          </cell>
          <cell r="G19">
            <v>16.077500000000001</v>
          </cell>
          <cell r="H19">
            <v>49.387500000000003</v>
          </cell>
          <cell r="I19">
            <v>69951</v>
          </cell>
          <cell r="J19">
            <v>33762.75</v>
          </cell>
          <cell r="K19">
            <v>103713.75</v>
          </cell>
        </row>
        <row r="20">
          <cell r="A20" t="str">
            <v>LT</v>
          </cell>
          <cell r="B20">
            <v>300</v>
          </cell>
          <cell r="C20">
            <v>10.26</v>
          </cell>
          <cell r="D20">
            <v>5</v>
          </cell>
          <cell r="E20">
            <v>15.26</v>
          </cell>
          <cell r="F20">
            <v>153.46</v>
          </cell>
          <cell r="G20">
            <v>74.78</v>
          </cell>
          <cell r="H20">
            <v>228.24</v>
          </cell>
          <cell r="I20">
            <v>46038</v>
          </cell>
          <cell r="J20">
            <v>22434</v>
          </cell>
          <cell r="K20">
            <v>68472</v>
          </cell>
        </row>
        <row r="21">
          <cell r="A21" t="str">
            <v>SYNDIBANK</v>
          </cell>
          <cell r="B21">
            <v>5000</v>
          </cell>
          <cell r="C21">
            <v>10.08</v>
          </cell>
          <cell r="D21">
            <v>5</v>
          </cell>
          <cell r="E21">
            <v>15.08</v>
          </cell>
          <cell r="F21">
            <v>6.64</v>
          </cell>
          <cell r="G21">
            <v>3.2925</v>
          </cell>
          <cell r="H21">
            <v>9.9324999999999992</v>
          </cell>
          <cell r="I21">
            <v>33200</v>
          </cell>
          <cell r="J21">
            <v>16462.5</v>
          </cell>
          <cell r="K21">
            <v>49662.5</v>
          </cell>
        </row>
        <row r="22">
          <cell r="A22" t="str">
            <v>JINDALSTEL</v>
          </cell>
          <cell r="B22">
            <v>7000</v>
          </cell>
          <cell r="C22">
            <v>8.84</v>
          </cell>
          <cell r="D22">
            <v>6.08</v>
          </cell>
          <cell r="E22">
            <v>14.92</v>
          </cell>
          <cell r="F22">
            <v>5.54</v>
          </cell>
          <cell r="G22">
            <v>3.8090999999999999</v>
          </cell>
          <cell r="H22">
            <v>9.3491</v>
          </cell>
          <cell r="I22">
            <v>38780</v>
          </cell>
          <cell r="J22">
            <v>26663.84</v>
          </cell>
          <cell r="K22">
            <v>65443.839999999997</v>
          </cell>
        </row>
        <row r="23">
          <cell r="A23" t="str">
            <v>ADANIPORTS</v>
          </cell>
          <cell r="B23">
            <v>1600</v>
          </cell>
          <cell r="C23">
            <v>9.91</v>
          </cell>
          <cell r="D23">
            <v>5</v>
          </cell>
          <cell r="E23">
            <v>14.91</v>
          </cell>
          <cell r="F23">
            <v>20.53</v>
          </cell>
          <cell r="G23">
            <v>10.352499999999999</v>
          </cell>
          <cell r="H23">
            <v>30.8825</v>
          </cell>
          <cell r="I23">
            <v>32848</v>
          </cell>
          <cell r="J23">
            <v>16564</v>
          </cell>
          <cell r="K23">
            <v>49412</v>
          </cell>
        </row>
        <row r="24">
          <cell r="A24" t="str">
            <v>MOTHERSUMI</v>
          </cell>
          <cell r="B24">
            <v>1500</v>
          </cell>
          <cell r="C24">
            <v>9.8699999999999992</v>
          </cell>
          <cell r="D24">
            <v>5</v>
          </cell>
          <cell r="E24">
            <v>14.87</v>
          </cell>
          <cell r="F24">
            <v>28.48</v>
          </cell>
          <cell r="G24">
            <v>14.422499999999999</v>
          </cell>
          <cell r="H24">
            <v>42.902500000000003</v>
          </cell>
          <cell r="I24">
            <v>42720</v>
          </cell>
          <cell r="J24">
            <v>21633.75</v>
          </cell>
          <cell r="K24">
            <v>64353.75</v>
          </cell>
        </row>
        <row r="25">
          <cell r="A25" t="str">
            <v>KTKBANK</v>
          </cell>
          <cell r="B25">
            <v>4000</v>
          </cell>
          <cell r="C25">
            <v>9.58</v>
          </cell>
          <cell r="D25">
            <v>5</v>
          </cell>
          <cell r="E25">
            <v>14.58</v>
          </cell>
          <cell r="F25">
            <v>12.88</v>
          </cell>
          <cell r="G25">
            <v>6.72</v>
          </cell>
          <cell r="H25">
            <v>19.600000000000001</v>
          </cell>
          <cell r="I25">
            <v>51520</v>
          </cell>
          <cell r="J25">
            <v>26880</v>
          </cell>
          <cell r="K25">
            <v>78400</v>
          </cell>
        </row>
        <row r="26">
          <cell r="A26" t="str">
            <v>SRTRANSFIN</v>
          </cell>
          <cell r="B26">
            <v>600</v>
          </cell>
          <cell r="C26">
            <v>9.52</v>
          </cell>
          <cell r="D26">
            <v>5</v>
          </cell>
          <cell r="E26">
            <v>14.52</v>
          </cell>
          <cell r="F26">
            <v>112.22</v>
          </cell>
          <cell r="G26">
            <v>58.914999999999999</v>
          </cell>
          <cell r="H26">
            <v>171.13499999999999</v>
          </cell>
          <cell r="I26">
            <v>67332</v>
          </cell>
          <cell r="J26">
            <v>35349</v>
          </cell>
          <cell r="K26">
            <v>102681</v>
          </cell>
        </row>
        <row r="27">
          <cell r="A27" t="str">
            <v>RCOM</v>
          </cell>
          <cell r="B27">
            <v>8000</v>
          </cell>
          <cell r="C27">
            <v>9.48</v>
          </cell>
          <cell r="D27">
            <v>5</v>
          </cell>
          <cell r="E27">
            <v>14.48</v>
          </cell>
          <cell r="F27">
            <v>4.63</v>
          </cell>
          <cell r="G27">
            <v>2.44</v>
          </cell>
          <cell r="H27">
            <v>7.07</v>
          </cell>
          <cell r="I27">
            <v>37040</v>
          </cell>
          <cell r="J27">
            <v>19520</v>
          </cell>
          <cell r="K27">
            <v>56560</v>
          </cell>
        </row>
        <row r="28">
          <cell r="A28" t="str">
            <v>ADANIENT</v>
          </cell>
          <cell r="B28">
            <v>6000</v>
          </cell>
          <cell r="C28">
            <v>9.4600000000000009</v>
          </cell>
          <cell r="D28">
            <v>5</v>
          </cell>
          <cell r="E28">
            <v>14.46</v>
          </cell>
          <cell r="F28">
            <v>6.94</v>
          </cell>
          <cell r="G28">
            <v>3.665</v>
          </cell>
          <cell r="H28">
            <v>10.605</v>
          </cell>
          <cell r="I28">
            <v>41640</v>
          </cell>
          <cell r="J28">
            <v>21990</v>
          </cell>
          <cell r="K28">
            <v>63630</v>
          </cell>
        </row>
        <row r="29">
          <cell r="A29" t="str">
            <v>TATAMOTORS</v>
          </cell>
          <cell r="B29">
            <v>1500</v>
          </cell>
          <cell r="C29">
            <v>9.35</v>
          </cell>
          <cell r="D29">
            <v>5</v>
          </cell>
          <cell r="E29">
            <v>14.35</v>
          </cell>
          <cell r="F29">
            <v>43.58</v>
          </cell>
          <cell r="G29">
            <v>23.295000000000002</v>
          </cell>
          <cell r="H29">
            <v>66.875</v>
          </cell>
          <cell r="I29">
            <v>65370</v>
          </cell>
          <cell r="J29">
            <v>34942.5</v>
          </cell>
          <cell r="K29">
            <v>100312.5</v>
          </cell>
        </row>
        <row r="30">
          <cell r="A30" t="str">
            <v>UNIONBANK</v>
          </cell>
          <cell r="B30">
            <v>3000</v>
          </cell>
          <cell r="C30">
            <v>9.32</v>
          </cell>
          <cell r="D30">
            <v>5</v>
          </cell>
          <cell r="E30">
            <v>14.32</v>
          </cell>
          <cell r="F30">
            <v>10.87</v>
          </cell>
          <cell r="G30">
            <v>5.83</v>
          </cell>
          <cell r="H30">
            <v>16.7</v>
          </cell>
          <cell r="I30">
            <v>32610</v>
          </cell>
          <cell r="J30">
            <v>17490</v>
          </cell>
          <cell r="K30">
            <v>50100</v>
          </cell>
        </row>
        <row r="31">
          <cell r="A31" t="str">
            <v>IDFC</v>
          </cell>
          <cell r="B31">
            <v>3300</v>
          </cell>
          <cell r="C31">
            <v>9.07</v>
          </cell>
          <cell r="D31">
            <v>5</v>
          </cell>
          <cell r="E31">
            <v>14.07</v>
          </cell>
          <cell r="F31">
            <v>4.63</v>
          </cell>
          <cell r="G31">
            <v>2.5499999999999998</v>
          </cell>
          <cell r="H31">
            <v>7.18</v>
          </cell>
          <cell r="I31">
            <v>15279</v>
          </cell>
          <cell r="J31">
            <v>8415</v>
          </cell>
          <cell r="K31">
            <v>23694</v>
          </cell>
        </row>
        <row r="32">
          <cell r="A32" t="str">
            <v>ALBK</v>
          </cell>
          <cell r="B32">
            <v>6000</v>
          </cell>
          <cell r="C32">
            <v>9</v>
          </cell>
          <cell r="D32">
            <v>5</v>
          </cell>
          <cell r="E32">
            <v>14</v>
          </cell>
          <cell r="F32">
            <v>4.7300000000000004</v>
          </cell>
          <cell r="G32">
            <v>2.6274999999999999</v>
          </cell>
          <cell r="H32">
            <v>7.3574999999999999</v>
          </cell>
          <cell r="I32">
            <v>28380</v>
          </cell>
          <cell r="J32">
            <v>15765</v>
          </cell>
          <cell r="K32">
            <v>44145</v>
          </cell>
        </row>
        <row r="33">
          <cell r="A33" t="str">
            <v>BANKBARODA</v>
          </cell>
          <cell r="B33">
            <v>3100</v>
          </cell>
          <cell r="C33">
            <v>8.9499999999999993</v>
          </cell>
          <cell r="D33">
            <v>5</v>
          </cell>
          <cell r="E33">
            <v>13.95</v>
          </cell>
          <cell r="F33">
            <v>13.09</v>
          </cell>
          <cell r="G33">
            <v>7.3075000000000001</v>
          </cell>
          <cell r="H33">
            <v>20.397500000000001</v>
          </cell>
          <cell r="I33">
            <v>40579</v>
          </cell>
          <cell r="J33">
            <v>22653.25</v>
          </cell>
          <cell r="K33">
            <v>63232.25</v>
          </cell>
        </row>
        <row r="34">
          <cell r="A34" t="str">
            <v>BHEL</v>
          </cell>
          <cell r="B34">
            <v>2000</v>
          </cell>
          <cell r="C34">
            <v>8.9</v>
          </cell>
          <cell r="D34">
            <v>5</v>
          </cell>
          <cell r="E34">
            <v>13.9</v>
          </cell>
          <cell r="F34">
            <v>10.67</v>
          </cell>
          <cell r="G34">
            <v>5.9924999999999997</v>
          </cell>
          <cell r="H34">
            <v>16.662500000000001</v>
          </cell>
          <cell r="I34">
            <v>21340</v>
          </cell>
          <cell r="J34">
            <v>11985</v>
          </cell>
          <cell r="K34">
            <v>33325</v>
          </cell>
        </row>
        <row r="35">
          <cell r="A35" t="str">
            <v>FEDERALBNK</v>
          </cell>
          <cell r="B35">
            <v>8000</v>
          </cell>
          <cell r="C35">
            <v>8.85</v>
          </cell>
          <cell r="D35">
            <v>5</v>
          </cell>
          <cell r="E35">
            <v>13.85</v>
          </cell>
          <cell r="F35">
            <v>5.03</v>
          </cell>
          <cell r="G35">
            <v>2.84</v>
          </cell>
          <cell r="H35">
            <v>7.87</v>
          </cell>
          <cell r="I35">
            <v>40240</v>
          </cell>
          <cell r="J35">
            <v>22720</v>
          </cell>
          <cell r="K35">
            <v>62960</v>
          </cell>
        </row>
        <row r="36">
          <cell r="A36" t="str">
            <v>ORIENTBANK</v>
          </cell>
          <cell r="B36">
            <v>3000</v>
          </cell>
          <cell r="C36">
            <v>8.83</v>
          </cell>
          <cell r="D36">
            <v>5</v>
          </cell>
          <cell r="E36">
            <v>13.83</v>
          </cell>
          <cell r="F36">
            <v>7.45</v>
          </cell>
          <cell r="G36">
            <v>4.2175000000000002</v>
          </cell>
          <cell r="H36">
            <v>11.6675</v>
          </cell>
          <cell r="I36">
            <v>22350</v>
          </cell>
          <cell r="J36">
            <v>12652.5</v>
          </cell>
          <cell r="K36">
            <v>35002.5</v>
          </cell>
        </row>
        <row r="37">
          <cell r="A37" t="str">
            <v>HDIL</v>
          </cell>
          <cell r="B37">
            <v>6000</v>
          </cell>
          <cell r="C37">
            <v>8.58</v>
          </cell>
          <cell r="D37">
            <v>5.22</v>
          </cell>
          <cell r="E37">
            <v>13.8</v>
          </cell>
          <cell r="F37">
            <v>8.4600000000000009</v>
          </cell>
          <cell r="G37">
            <v>5.1468999999999996</v>
          </cell>
          <cell r="H37">
            <v>13.6069</v>
          </cell>
          <cell r="I37">
            <v>50760</v>
          </cell>
          <cell r="J37">
            <v>30881.52</v>
          </cell>
          <cell r="K37">
            <v>81641.52</v>
          </cell>
        </row>
        <row r="38">
          <cell r="A38" t="str">
            <v>UCOBANK</v>
          </cell>
          <cell r="B38">
            <v>10000</v>
          </cell>
          <cell r="C38">
            <v>8.7100000000000009</v>
          </cell>
          <cell r="D38">
            <v>5</v>
          </cell>
          <cell r="E38">
            <v>13.71</v>
          </cell>
          <cell r="F38">
            <v>3.02</v>
          </cell>
          <cell r="G38">
            <v>1.7324999999999999</v>
          </cell>
          <cell r="H38">
            <v>4.7525000000000004</v>
          </cell>
          <cell r="I38">
            <v>30200</v>
          </cell>
          <cell r="J38">
            <v>17325</v>
          </cell>
          <cell r="K38">
            <v>47525</v>
          </cell>
        </row>
        <row r="39">
          <cell r="A39" t="str">
            <v>ICIL</v>
          </cell>
          <cell r="B39">
            <v>500</v>
          </cell>
          <cell r="C39">
            <v>8.59</v>
          </cell>
          <cell r="D39">
            <v>5</v>
          </cell>
          <cell r="E39">
            <v>13.59</v>
          </cell>
          <cell r="F39">
            <v>79.63</v>
          </cell>
          <cell r="G39">
            <v>46.35</v>
          </cell>
          <cell r="H39">
            <v>125.98</v>
          </cell>
          <cell r="I39">
            <v>39815</v>
          </cell>
          <cell r="J39">
            <v>23175</v>
          </cell>
          <cell r="K39">
            <v>62990</v>
          </cell>
        </row>
        <row r="40">
          <cell r="A40" t="str">
            <v>HINDPETRO</v>
          </cell>
          <cell r="B40">
            <v>600</v>
          </cell>
          <cell r="C40">
            <v>8.4499999999999993</v>
          </cell>
          <cell r="D40">
            <v>5</v>
          </cell>
          <cell r="E40">
            <v>13.45</v>
          </cell>
          <cell r="F40">
            <v>77.11</v>
          </cell>
          <cell r="G40">
            <v>45.602499999999999</v>
          </cell>
          <cell r="H40">
            <v>122.71250000000001</v>
          </cell>
          <cell r="I40">
            <v>46266</v>
          </cell>
          <cell r="J40">
            <v>27361.5</v>
          </cell>
          <cell r="K40">
            <v>73627.5</v>
          </cell>
        </row>
        <row r="41">
          <cell r="A41" t="str">
            <v>SAIL</v>
          </cell>
          <cell r="B41">
            <v>9000</v>
          </cell>
          <cell r="C41">
            <v>8.3699999999999992</v>
          </cell>
          <cell r="D41">
            <v>5</v>
          </cell>
          <cell r="E41">
            <v>13.37</v>
          </cell>
          <cell r="F41">
            <v>3.52</v>
          </cell>
          <cell r="G41">
            <v>2.1025</v>
          </cell>
          <cell r="H41">
            <v>5.6224999999999996</v>
          </cell>
          <cell r="I41">
            <v>31680</v>
          </cell>
          <cell r="J41">
            <v>18922.5</v>
          </cell>
          <cell r="K41">
            <v>50602.5</v>
          </cell>
        </row>
        <row r="42">
          <cell r="A42" t="str">
            <v>ADANIPOWER</v>
          </cell>
          <cell r="B42">
            <v>20000</v>
          </cell>
          <cell r="C42">
            <v>8.3699999999999992</v>
          </cell>
          <cell r="D42">
            <v>5</v>
          </cell>
          <cell r="E42">
            <v>13.37</v>
          </cell>
          <cell r="F42">
            <v>2.52</v>
          </cell>
          <cell r="G42">
            <v>1.5049999999999999</v>
          </cell>
          <cell r="H42">
            <v>4.0250000000000004</v>
          </cell>
          <cell r="I42">
            <v>50400</v>
          </cell>
          <cell r="J42">
            <v>30100</v>
          </cell>
          <cell r="K42">
            <v>80500</v>
          </cell>
        </row>
        <row r="43">
          <cell r="A43" t="str">
            <v>DLF</v>
          </cell>
          <cell r="B43">
            <v>5000</v>
          </cell>
          <cell r="C43">
            <v>8.36</v>
          </cell>
          <cell r="D43">
            <v>5</v>
          </cell>
          <cell r="E43">
            <v>13.36</v>
          </cell>
          <cell r="F43">
            <v>11.38</v>
          </cell>
          <cell r="G43">
            <v>6.8</v>
          </cell>
          <cell r="H43">
            <v>18.18</v>
          </cell>
          <cell r="I43">
            <v>56900</v>
          </cell>
          <cell r="J43">
            <v>34000</v>
          </cell>
          <cell r="K43">
            <v>90900</v>
          </cell>
        </row>
        <row r="44">
          <cell r="A44" t="str">
            <v>BANKINDIA</v>
          </cell>
          <cell r="B44">
            <v>3000</v>
          </cell>
          <cell r="C44">
            <v>8.33</v>
          </cell>
          <cell r="D44">
            <v>5</v>
          </cell>
          <cell r="E44">
            <v>13.33</v>
          </cell>
          <cell r="F44">
            <v>7.15</v>
          </cell>
          <cell r="G44">
            <v>4.29</v>
          </cell>
          <cell r="H44">
            <v>11.44</v>
          </cell>
          <cell r="I44">
            <v>21450</v>
          </cell>
          <cell r="J44">
            <v>12870</v>
          </cell>
          <cell r="K44">
            <v>34320</v>
          </cell>
        </row>
        <row r="45">
          <cell r="A45" t="str">
            <v>DISHTV</v>
          </cell>
          <cell r="B45">
            <v>5000</v>
          </cell>
          <cell r="C45">
            <v>8.25</v>
          </cell>
          <cell r="D45">
            <v>5</v>
          </cell>
          <cell r="E45">
            <v>13.25</v>
          </cell>
          <cell r="F45">
            <v>7.35</v>
          </cell>
          <cell r="G45">
            <v>4.4524999999999997</v>
          </cell>
          <cell r="H45">
            <v>11.8025</v>
          </cell>
          <cell r="I45">
            <v>36750</v>
          </cell>
          <cell r="J45">
            <v>22262.5</v>
          </cell>
          <cell r="K45">
            <v>59012.5</v>
          </cell>
        </row>
        <row r="46">
          <cell r="A46" t="str">
            <v>IDBI</v>
          </cell>
          <cell r="B46">
            <v>8000</v>
          </cell>
          <cell r="C46">
            <v>8.07</v>
          </cell>
          <cell r="D46">
            <v>5</v>
          </cell>
          <cell r="E46">
            <v>13.07</v>
          </cell>
          <cell r="F46">
            <v>5.34</v>
          </cell>
          <cell r="G46">
            <v>3.3050000000000002</v>
          </cell>
          <cell r="H46">
            <v>8.6449999999999996</v>
          </cell>
          <cell r="I46">
            <v>42720</v>
          </cell>
          <cell r="J46">
            <v>26440</v>
          </cell>
          <cell r="K46">
            <v>69160</v>
          </cell>
        </row>
        <row r="47">
          <cell r="A47" t="str">
            <v>ICICIBANK</v>
          </cell>
          <cell r="B47">
            <v>1700</v>
          </cell>
          <cell r="C47">
            <v>8.0299999999999994</v>
          </cell>
          <cell r="D47">
            <v>5</v>
          </cell>
          <cell r="E47">
            <v>13.03</v>
          </cell>
          <cell r="F47">
            <v>20.04</v>
          </cell>
          <cell r="G47">
            <v>12.477499999999999</v>
          </cell>
          <cell r="H47">
            <v>32.517499999999998</v>
          </cell>
          <cell r="I47">
            <v>34068</v>
          </cell>
          <cell r="J47">
            <v>21211.75</v>
          </cell>
          <cell r="K47">
            <v>55279.75</v>
          </cell>
        </row>
        <row r="48">
          <cell r="A48" t="str">
            <v>ASHOKLEY</v>
          </cell>
          <cell r="B48">
            <v>7000</v>
          </cell>
          <cell r="C48">
            <v>8.01</v>
          </cell>
          <cell r="D48">
            <v>5</v>
          </cell>
          <cell r="E48">
            <v>13.01</v>
          </cell>
          <cell r="F48">
            <v>8.56</v>
          </cell>
          <cell r="G48">
            <v>5.3375000000000004</v>
          </cell>
          <cell r="H48">
            <v>13.897500000000001</v>
          </cell>
          <cell r="I48">
            <v>59920</v>
          </cell>
          <cell r="J48">
            <v>37362.5</v>
          </cell>
          <cell r="K48">
            <v>97282.5</v>
          </cell>
        </row>
        <row r="49">
          <cell r="A49" t="str">
            <v>BPCL</v>
          </cell>
          <cell r="B49">
            <v>600</v>
          </cell>
          <cell r="C49">
            <v>8</v>
          </cell>
          <cell r="D49">
            <v>5</v>
          </cell>
          <cell r="E49">
            <v>13</v>
          </cell>
          <cell r="F49">
            <v>78.63</v>
          </cell>
          <cell r="G49">
            <v>49.125</v>
          </cell>
          <cell r="H49">
            <v>127.755</v>
          </cell>
          <cell r="I49">
            <v>47178</v>
          </cell>
          <cell r="J49">
            <v>29475</v>
          </cell>
          <cell r="K49">
            <v>76653</v>
          </cell>
        </row>
        <row r="50">
          <cell r="A50" t="str">
            <v>ENGINERSIN</v>
          </cell>
          <cell r="B50">
            <v>2200</v>
          </cell>
          <cell r="C50">
            <v>7.98</v>
          </cell>
          <cell r="D50">
            <v>5</v>
          </cell>
          <cell r="E50">
            <v>12.98</v>
          </cell>
          <cell r="F50">
            <v>15.51</v>
          </cell>
          <cell r="G50">
            <v>9.7074999999999996</v>
          </cell>
          <cell r="H50">
            <v>25.217500000000001</v>
          </cell>
          <cell r="I50">
            <v>34122</v>
          </cell>
          <cell r="J50">
            <v>21356.5</v>
          </cell>
          <cell r="K50">
            <v>55478.5</v>
          </cell>
        </row>
        <row r="51">
          <cell r="A51" t="str">
            <v>SRF</v>
          </cell>
          <cell r="B51">
            <v>400</v>
          </cell>
          <cell r="C51">
            <v>7.95</v>
          </cell>
          <cell r="D51">
            <v>5</v>
          </cell>
          <cell r="E51">
            <v>12.95</v>
          </cell>
          <cell r="F51">
            <v>101.19</v>
          </cell>
          <cell r="G51">
            <v>63.6</v>
          </cell>
          <cell r="H51">
            <v>164.79</v>
          </cell>
          <cell r="I51">
            <v>40476</v>
          </cell>
          <cell r="J51">
            <v>25440</v>
          </cell>
          <cell r="K51">
            <v>65916</v>
          </cell>
        </row>
        <row r="52">
          <cell r="A52" t="str">
            <v>KPIT</v>
          </cell>
          <cell r="B52">
            <v>4000</v>
          </cell>
          <cell r="C52">
            <v>7.93</v>
          </cell>
          <cell r="D52">
            <v>5</v>
          </cell>
          <cell r="E52">
            <v>12.93</v>
          </cell>
          <cell r="F52">
            <v>14.9</v>
          </cell>
          <cell r="G52">
            <v>9.3849999999999998</v>
          </cell>
          <cell r="H52">
            <v>24.285</v>
          </cell>
          <cell r="I52">
            <v>59600</v>
          </cell>
          <cell r="J52">
            <v>37540</v>
          </cell>
          <cell r="K52">
            <v>97140</v>
          </cell>
        </row>
        <row r="53">
          <cell r="A53" t="str">
            <v>ANDHRABANK</v>
          </cell>
          <cell r="B53">
            <v>8000</v>
          </cell>
          <cell r="C53">
            <v>7.9</v>
          </cell>
          <cell r="D53">
            <v>5</v>
          </cell>
          <cell r="E53">
            <v>12.9</v>
          </cell>
          <cell r="F53">
            <v>3.93</v>
          </cell>
          <cell r="G53">
            <v>2.4849999999999999</v>
          </cell>
          <cell r="H53">
            <v>6.415</v>
          </cell>
          <cell r="I53">
            <v>31440</v>
          </cell>
          <cell r="J53">
            <v>19880</v>
          </cell>
          <cell r="K53">
            <v>51320</v>
          </cell>
        </row>
        <row r="54">
          <cell r="A54" t="str">
            <v>TECHM</v>
          </cell>
          <cell r="B54">
            <v>1000</v>
          </cell>
          <cell r="C54">
            <v>7.88</v>
          </cell>
          <cell r="D54">
            <v>5</v>
          </cell>
          <cell r="E54">
            <v>12.88</v>
          </cell>
          <cell r="F54">
            <v>42.59</v>
          </cell>
          <cell r="G54">
            <v>26.995000000000001</v>
          </cell>
          <cell r="H54">
            <v>69.584999999999994</v>
          </cell>
          <cell r="I54">
            <v>42590</v>
          </cell>
          <cell r="J54">
            <v>26995</v>
          </cell>
          <cell r="K54">
            <v>69585</v>
          </cell>
        </row>
        <row r="55">
          <cell r="A55" t="str">
            <v>PNB</v>
          </cell>
          <cell r="B55">
            <v>4000</v>
          </cell>
          <cell r="C55">
            <v>7.87</v>
          </cell>
          <cell r="D55">
            <v>5</v>
          </cell>
          <cell r="E55">
            <v>12.87</v>
          </cell>
          <cell r="F55">
            <v>6.14</v>
          </cell>
          <cell r="G55">
            <v>3.8975</v>
          </cell>
          <cell r="H55">
            <v>10.0375</v>
          </cell>
          <cell r="I55">
            <v>24560</v>
          </cell>
          <cell r="J55">
            <v>15590</v>
          </cell>
          <cell r="K55">
            <v>40150</v>
          </cell>
        </row>
        <row r="56">
          <cell r="A56" t="str">
            <v>NHPC</v>
          </cell>
          <cell r="B56">
            <v>27000</v>
          </cell>
          <cell r="C56">
            <v>7.87</v>
          </cell>
          <cell r="D56">
            <v>5</v>
          </cell>
          <cell r="E56">
            <v>12.87</v>
          </cell>
          <cell r="F56">
            <v>1.91</v>
          </cell>
          <cell r="G56">
            <v>1.2124999999999999</v>
          </cell>
          <cell r="H56">
            <v>3.1225000000000001</v>
          </cell>
          <cell r="I56">
            <v>51570</v>
          </cell>
          <cell r="J56">
            <v>32737.5</v>
          </cell>
          <cell r="K56">
            <v>84307.5</v>
          </cell>
        </row>
        <row r="57">
          <cell r="A57" t="str">
            <v>IFCI</v>
          </cell>
          <cell r="B57">
            <v>20000</v>
          </cell>
          <cell r="C57">
            <v>7.86</v>
          </cell>
          <cell r="D57">
            <v>5</v>
          </cell>
          <cell r="E57">
            <v>12.86</v>
          </cell>
          <cell r="F57">
            <v>1.91</v>
          </cell>
          <cell r="G57">
            <v>1.2150000000000001</v>
          </cell>
          <cell r="H57">
            <v>3.125</v>
          </cell>
          <cell r="I57">
            <v>38200</v>
          </cell>
          <cell r="J57">
            <v>24300</v>
          </cell>
          <cell r="K57">
            <v>62500</v>
          </cell>
        </row>
        <row r="58">
          <cell r="A58" t="str">
            <v>GMRINFRA</v>
          </cell>
          <cell r="B58">
            <v>39000</v>
          </cell>
          <cell r="C58">
            <v>7.84</v>
          </cell>
          <cell r="D58">
            <v>5</v>
          </cell>
          <cell r="E58">
            <v>12.84</v>
          </cell>
          <cell r="F58">
            <v>0.91</v>
          </cell>
          <cell r="G58">
            <v>0.57999999999999996</v>
          </cell>
          <cell r="H58">
            <v>1.49</v>
          </cell>
          <cell r="I58">
            <v>35490</v>
          </cell>
          <cell r="J58">
            <v>22620</v>
          </cell>
          <cell r="K58">
            <v>58110</v>
          </cell>
        </row>
        <row r="59">
          <cell r="A59" t="str">
            <v>RELINFRA</v>
          </cell>
          <cell r="B59">
            <v>1300</v>
          </cell>
          <cell r="C59">
            <v>7.8</v>
          </cell>
          <cell r="D59">
            <v>5</v>
          </cell>
          <cell r="E59">
            <v>12.8</v>
          </cell>
          <cell r="F59">
            <v>41.68</v>
          </cell>
          <cell r="G59">
            <v>26.715</v>
          </cell>
          <cell r="H59">
            <v>68.394999999999996</v>
          </cell>
          <cell r="I59">
            <v>54184</v>
          </cell>
          <cell r="J59">
            <v>34729.5</v>
          </cell>
          <cell r="K59">
            <v>88913.5</v>
          </cell>
        </row>
        <row r="60">
          <cell r="A60" t="str">
            <v>SUNPHARMA</v>
          </cell>
          <cell r="B60">
            <v>600</v>
          </cell>
          <cell r="C60">
            <v>7.75</v>
          </cell>
          <cell r="D60">
            <v>5</v>
          </cell>
          <cell r="E60">
            <v>12.75</v>
          </cell>
          <cell r="F60">
            <v>57.7</v>
          </cell>
          <cell r="G60">
            <v>37.19</v>
          </cell>
          <cell r="H60">
            <v>94.89</v>
          </cell>
          <cell r="I60">
            <v>34620</v>
          </cell>
          <cell r="J60">
            <v>22314</v>
          </cell>
          <cell r="K60">
            <v>56934</v>
          </cell>
        </row>
        <row r="61">
          <cell r="A61" t="str">
            <v>TV18BRDCST</v>
          </cell>
          <cell r="B61">
            <v>17000</v>
          </cell>
          <cell r="C61">
            <v>7.7</v>
          </cell>
          <cell r="D61">
            <v>5</v>
          </cell>
          <cell r="E61">
            <v>12.7</v>
          </cell>
          <cell r="F61">
            <v>3.12</v>
          </cell>
          <cell r="G61">
            <v>2.0249999999999999</v>
          </cell>
          <cell r="H61">
            <v>5.1449999999999996</v>
          </cell>
          <cell r="I61">
            <v>53040</v>
          </cell>
          <cell r="J61">
            <v>34425</v>
          </cell>
          <cell r="K61">
            <v>87465</v>
          </cell>
        </row>
        <row r="62">
          <cell r="A62" t="str">
            <v>SOUTHBANK</v>
          </cell>
          <cell r="B62">
            <v>22000</v>
          </cell>
          <cell r="C62">
            <v>7.7</v>
          </cell>
          <cell r="D62">
            <v>5</v>
          </cell>
          <cell r="E62">
            <v>12.7</v>
          </cell>
          <cell r="F62">
            <v>1.51</v>
          </cell>
          <cell r="G62">
            <v>0.98</v>
          </cell>
          <cell r="H62">
            <v>2.4900000000000002</v>
          </cell>
          <cell r="I62">
            <v>33220</v>
          </cell>
          <cell r="J62">
            <v>21560</v>
          </cell>
          <cell r="K62">
            <v>54780</v>
          </cell>
        </row>
        <row r="63">
          <cell r="A63" t="str">
            <v>GODREJCP</v>
          </cell>
          <cell r="B63">
            <v>400</v>
          </cell>
          <cell r="C63">
            <v>7.7</v>
          </cell>
          <cell r="D63">
            <v>5</v>
          </cell>
          <cell r="E63">
            <v>12.7</v>
          </cell>
          <cell r="F63">
            <v>119.62</v>
          </cell>
          <cell r="G63">
            <v>77.655000000000001</v>
          </cell>
          <cell r="H63">
            <v>197.27500000000001</v>
          </cell>
          <cell r="I63">
            <v>47848</v>
          </cell>
          <cell r="J63">
            <v>31062</v>
          </cell>
          <cell r="K63">
            <v>78910</v>
          </cell>
        </row>
        <row r="64">
          <cell r="A64" t="str">
            <v>LUPIN</v>
          </cell>
          <cell r="B64">
            <v>300</v>
          </cell>
          <cell r="C64">
            <v>7.66</v>
          </cell>
          <cell r="D64">
            <v>5</v>
          </cell>
          <cell r="E64">
            <v>12.66</v>
          </cell>
          <cell r="F64">
            <v>110.76</v>
          </cell>
          <cell r="G64">
            <v>72.234999999999999</v>
          </cell>
          <cell r="H64">
            <v>182.995</v>
          </cell>
          <cell r="I64">
            <v>33228</v>
          </cell>
          <cell r="J64">
            <v>21670.5</v>
          </cell>
          <cell r="K64">
            <v>54898.5</v>
          </cell>
        </row>
        <row r="65">
          <cell r="A65" t="str">
            <v>JSWENERGY</v>
          </cell>
          <cell r="B65">
            <v>6000</v>
          </cell>
          <cell r="C65">
            <v>7.64</v>
          </cell>
          <cell r="D65">
            <v>5</v>
          </cell>
          <cell r="E65">
            <v>12.64</v>
          </cell>
          <cell r="F65">
            <v>5.44</v>
          </cell>
          <cell r="G65">
            <v>3.56</v>
          </cell>
          <cell r="H65">
            <v>9</v>
          </cell>
          <cell r="I65">
            <v>32640</v>
          </cell>
          <cell r="J65">
            <v>21360</v>
          </cell>
          <cell r="K65">
            <v>54000</v>
          </cell>
        </row>
        <row r="66">
          <cell r="A66" t="str">
            <v>INDIACEM</v>
          </cell>
          <cell r="B66">
            <v>6000</v>
          </cell>
          <cell r="C66">
            <v>7.64</v>
          </cell>
          <cell r="D66">
            <v>5</v>
          </cell>
          <cell r="E66">
            <v>12.64</v>
          </cell>
          <cell r="F66">
            <v>7.45</v>
          </cell>
          <cell r="G66">
            <v>4.87</v>
          </cell>
          <cell r="H66">
            <v>12.32</v>
          </cell>
          <cell r="I66">
            <v>44700</v>
          </cell>
          <cell r="J66">
            <v>29220</v>
          </cell>
          <cell r="K66">
            <v>73920</v>
          </cell>
        </row>
        <row r="67">
          <cell r="A67" t="str">
            <v>L&amp;TFH</v>
          </cell>
          <cell r="B67">
            <v>8000</v>
          </cell>
          <cell r="C67">
            <v>7.63</v>
          </cell>
          <cell r="D67">
            <v>5</v>
          </cell>
          <cell r="E67">
            <v>12.63</v>
          </cell>
          <cell r="F67">
            <v>5.94</v>
          </cell>
          <cell r="G67">
            <v>3.8925000000000001</v>
          </cell>
          <cell r="H67">
            <v>9.8324999999999996</v>
          </cell>
          <cell r="I67">
            <v>47520</v>
          </cell>
          <cell r="J67">
            <v>31140</v>
          </cell>
          <cell r="K67">
            <v>78660</v>
          </cell>
        </row>
        <row r="68">
          <cell r="A68" t="str">
            <v>PCJEWELLER</v>
          </cell>
          <cell r="B68">
            <v>1300</v>
          </cell>
          <cell r="C68">
            <v>7.62</v>
          </cell>
          <cell r="D68">
            <v>5</v>
          </cell>
          <cell r="E68">
            <v>12.62</v>
          </cell>
          <cell r="F68">
            <v>27.09</v>
          </cell>
          <cell r="G68">
            <v>17.760000000000002</v>
          </cell>
          <cell r="H68">
            <v>44.85</v>
          </cell>
          <cell r="I68">
            <v>35217</v>
          </cell>
          <cell r="J68">
            <v>23088</v>
          </cell>
          <cell r="K68">
            <v>58305</v>
          </cell>
        </row>
        <row r="69">
          <cell r="A69" t="str">
            <v>TATAPOWER</v>
          </cell>
          <cell r="B69">
            <v>8000</v>
          </cell>
          <cell r="C69">
            <v>7.61</v>
          </cell>
          <cell r="D69">
            <v>5</v>
          </cell>
          <cell r="E69">
            <v>12.61</v>
          </cell>
          <cell r="F69">
            <v>5.64</v>
          </cell>
          <cell r="G69">
            <v>3.7025000000000001</v>
          </cell>
          <cell r="H69">
            <v>9.3424999999999994</v>
          </cell>
          <cell r="I69">
            <v>45120</v>
          </cell>
          <cell r="J69">
            <v>29620</v>
          </cell>
          <cell r="K69">
            <v>74740</v>
          </cell>
        </row>
        <row r="70">
          <cell r="A70" t="str">
            <v>IOB</v>
          </cell>
          <cell r="B70">
            <v>14000</v>
          </cell>
          <cell r="C70">
            <v>7.61</v>
          </cell>
          <cell r="D70">
            <v>5</v>
          </cell>
          <cell r="E70">
            <v>12.61</v>
          </cell>
          <cell r="F70">
            <v>2.0099999999999998</v>
          </cell>
          <cell r="G70">
            <v>1.32</v>
          </cell>
          <cell r="H70">
            <v>3.33</v>
          </cell>
          <cell r="I70">
            <v>28140</v>
          </cell>
          <cell r="J70">
            <v>18480</v>
          </cell>
          <cell r="K70">
            <v>46620</v>
          </cell>
        </row>
        <row r="71">
          <cell r="A71" t="str">
            <v>PTC</v>
          </cell>
          <cell r="B71">
            <v>8000</v>
          </cell>
          <cell r="C71">
            <v>7.6</v>
          </cell>
          <cell r="D71">
            <v>5</v>
          </cell>
          <cell r="E71">
            <v>12.6</v>
          </cell>
          <cell r="F71">
            <v>5.54</v>
          </cell>
          <cell r="G71">
            <v>3.6425000000000001</v>
          </cell>
          <cell r="H71">
            <v>9.1824999999999992</v>
          </cell>
          <cell r="I71">
            <v>44320</v>
          </cell>
          <cell r="J71">
            <v>29140</v>
          </cell>
          <cell r="K71">
            <v>73460</v>
          </cell>
        </row>
        <row r="72">
          <cell r="A72" t="str">
            <v>HINDUNILVR</v>
          </cell>
          <cell r="B72">
            <v>600</v>
          </cell>
          <cell r="C72">
            <v>7.59</v>
          </cell>
          <cell r="D72">
            <v>5</v>
          </cell>
          <cell r="E72">
            <v>12.59</v>
          </cell>
          <cell r="F72">
            <v>67.67</v>
          </cell>
          <cell r="G72">
            <v>44.56</v>
          </cell>
          <cell r="H72">
            <v>112.23</v>
          </cell>
          <cell r="I72">
            <v>40602</v>
          </cell>
          <cell r="J72">
            <v>26736</v>
          </cell>
          <cell r="K72">
            <v>67338</v>
          </cell>
        </row>
        <row r="73">
          <cell r="A73" t="str">
            <v>NTPC</v>
          </cell>
          <cell r="B73">
            <v>4000</v>
          </cell>
          <cell r="C73">
            <v>7.58</v>
          </cell>
          <cell r="D73">
            <v>5</v>
          </cell>
          <cell r="E73">
            <v>12.58</v>
          </cell>
          <cell r="F73">
            <v>11.28</v>
          </cell>
          <cell r="G73">
            <v>7.44</v>
          </cell>
          <cell r="H73">
            <v>18.72</v>
          </cell>
          <cell r="I73">
            <v>45120</v>
          </cell>
          <cell r="J73">
            <v>29760</v>
          </cell>
          <cell r="K73">
            <v>74880</v>
          </cell>
        </row>
        <row r="74">
          <cell r="A74" t="str">
            <v>NMDC</v>
          </cell>
          <cell r="B74">
            <v>5000</v>
          </cell>
          <cell r="C74">
            <v>7.57</v>
          </cell>
          <cell r="D74">
            <v>5</v>
          </cell>
          <cell r="E74">
            <v>12.57</v>
          </cell>
          <cell r="F74">
            <v>6.95</v>
          </cell>
          <cell r="G74">
            <v>4.585</v>
          </cell>
          <cell r="H74">
            <v>11.535</v>
          </cell>
          <cell r="I74">
            <v>34750</v>
          </cell>
          <cell r="J74">
            <v>22925</v>
          </cell>
          <cell r="K74">
            <v>57675</v>
          </cell>
        </row>
        <row r="75">
          <cell r="A75" t="str">
            <v>INFY</v>
          </cell>
          <cell r="B75">
            <v>500</v>
          </cell>
          <cell r="C75">
            <v>7.57</v>
          </cell>
          <cell r="D75">
            <v>5</v>
          </cell>
          <cell r="E75">
            <v>12.57</v>
          </cell>
          <cell r="F75">
            <v>94.76</v>
          </cell>
          <cell r="G75">
            <v>62.555</v>
          </cell>
          <cell r="H75">
            <v>157.315</v>
          </cell>
          <cell r="I75">
            <v>47380</v>
          </cell>
          <cell r="J75">
            <v>31277.5</v>
          </cell>
          <cell r="K75">
            <v>78657.5</v>
          </cell>
        </row>
        <row r="76">
          <cell r="A76" t="str">
            <v>PFC</v>
          </cell>
          <cell r="B76">
            <v>2000</v>
          </cell>
          <cell r="C76">
            <v>7.56</v>
          </cell>
          <cell r="D76">
            <v>5</v>
          </cell>
          <cell r="E76">
            <v>12.56</v>
          </cell>
          <cell r="F76">
            <v>12.49</v>
          </cell>
          <cell r="G76">
            <v>8.26</v>
          </cell>
          <cell r="H76">
            <v>20.75</v>
          </cell>
          <cell r="I76">
            <v>24980</v>
          </cell>
          <cell r="J76">
            <v>16520</v>
          </cell>
          <cell r="K76">
            <v>41500</v>
          </cell>
        </row>
        <row r="77">
          <cell r="A77" t="str">
            <v>HAVELLS</v>
          </cell>
          <cell r="B77">
            <v>2000</v>
          </cell>
          <cell r="C77">
            <v>7.56</v>
          </cell>
          <cell r="D77">
            <v>5</v>
          </cell>
          <cell r="E77">
            <v>12.56</v>
          </cell>
          <cell r="F77">
            <v>27.19</v>
          </cell>
          <cell r="G77">
            <v>17.9725</v>
          </cell>
          <cell r="H77">
            <v>45.162500000000001</v>
          </cell>
          <cell r="I77">
            <v>54380</v>
          </cell>
          <cell r="J77">
            <v>35945</v>
          </cell>
          <cell r="K77">
            <v>90325</v>
          </cell>
        </row>
        <row r="78">
          <cell r="A78" t="str">
            <v>EXIDEIND</v>
          </cell>
          <cell r="B78">
            <v>3400</v>
          </cell>
          <cell r="C78">
            <v>7.56</v>
          </cell>
          <cell r="D78">
            <v>5</v>
          </cell>
          <cell r="E78">
            <v>12.56</v>
          </cell>
          <cell r="F78">
            <v>12.29</v>
          </cell>
          <cell r="G78">
            <v>8.1225000000000005</v>
          </cell>
          <cell r="H78">
            <v>20.412500000000001</v>
          </cell>
          <cell r="I78">
            <v>41786</v>
          </cell>
          <cell r="J78">
            <v>27616.5</v>
          </cell>
          <cell r="K78">
            <v>69402.5</v>
          </cell>
        </row>
        <row r="79">
          <cell r="A79" t="str">
            <v>DABUR</v>
          </cell>
          <cell r="B79">
            <v>2000</v>
          </cell>
          <cell r="C79">
            <v>7.56</v>
          </cell>
          <cell r="D79">
            <v>5</v>
          </cell>
          <cell r="E79">
            <v>12.56</v>
          </cell>
          <cell r="F79">
            <v>23.26</v>
          </cell>
          <cell r="G79">
            <v>15.37</v>
          </cell>
          <cell r="H79">
            <v>38.630000000000003</v>
          </cell>
          <cell r="I79">
            <v>46520</v>
          </cell>
          <cell r="J79">
            <v>30740</v>
          </cell>
          <cell r="K79">
            <v>77260</v>
          </cell>
        </row>
        <row r="80">
          <cell r="A80" t="str">
            <v>CUMMINSIND</v>
          </cell>
          <cell r="B80">
            <v>600</v>
          </cell>
          <cell r="C80">
            <v>7.56</v>
          </cell>
          <cell r="D80">
            <v>5</v>
          </cell>
          <cell r="E80">
            <v>12.56</v>
          </cell>
          <cell r="F80">
            <v>60.32</v>
          </cell>
          <cell r="G80">
            <v>39.887500000000003</v>
          </cell>
          <cell r="H80">
            <v>100.2075</v>
          </cell>
          <cell r="I80">
            <v>36192</v>
          </cell>
          <cell r="J80">
            <v>23932.5</v>
          </cell>
          <cell r="K80">
            <v>60124.5</v>
          </cell>
        </row>
        <row r="81">
          <cell r="A81" t="str">
            <v>UPL</v>
          </cell>
          <cell r="B81">
            <v>1000</v>
          </cell>
          <cell r="C81">
            <v>7.55</v>
          </cell>
          <cell r="D81">
            <v>5</v>
          </cell>
          <cell r="E81">
            <v>12.55</v>
          </cell>
          <cell r="F81">
            <v>45.31</v>
          </cell>
          <cell r="G81">
            <v>29.97</v>
          </cell>
          <cell r="H81">
            <v>75.28</v>
          </cell>
          <cell r="I81">
            <v>45310</v>
          </cell>
          <cell r="J81">
            <v>29970</v>
          </cell>
          <cell r="K81">
            <v>75280</v>
          </cell>
        </row>
        <row r="82">
          <cell r="A82" t="str">
            <v>TITAN</v>
          </cell>
          <cell r="B82">
            <v>1500</v>
          </cell>
          <cell r="C82">
            <v>7.55</v>
          </cell>
          <cell r="D82">
            <v>5</v>
          </cell>
          <cell r="E82">
            <v>12.55</v>
          </cell>
          <cell r="F82">
            <v>27.19</v>
          </cell>
          <cell r="G82">
            <v>18</v>
          </cell>
          <cell r="H82">
            <v>45.19</v>
          </cell>
          <cell r="I82">
            <v>40785</v>
          </cell>
          <cell r="J82">
            <v>27000</v>
          </cell>
          <cell r="K82">
            <v>67785</v>
          </cell>
        </row>
        <row r="83">
          <cell r="A83" t="str">
            <v>RPOWER</v>
          </cell>
          <cell r="B83">
            <v>12000</v>
          </cell>
          <cell r="C83">
            <v>7.55</v>
          </cell>
          <cell r="D83">
            <v>5</v>
          </cell>
          <cell r="E83">
            <v>12.55</v>
          </cell>
          <cell r="F83">
            <v>3.93</v>
          </cell>
          <cell r="G83">
            <v>2.6025</v>
          </cell>
          <cell r="H83">
            <v>6.5324999999999998</v>
          </cell>
          <cell r="I83">
            <v>47160</v>
          </cell>
          <cell r="J83">
            <v>31230</v>
          </cell>
          <cell r="K83">
            <v>78390</v>
          </cell>
        </row>
        <row r="84">
          <cell r="A84" t="str">
            <v>PAGEIND</v>
          </cell>
          <cell r="B84">
            <v>50</v>
          </cell>
          <cell r="C84">
            <v>7.55</v>
          </cell>
          <cell r="D84">
            <v>5</v>
          </cell>
          <cell r="E84">
            <v>12.55</v>
          </cell>
          <cell r="F84">
            <v>1055.22</v>
          </cell>
          <cell r="G84">
            <v>698.29750000000001</v>
          </cell>
          <cell r="H84">
            <v>1753.5174999999999</v>
          </cell>
          <cell r="I84">
            <v>52761</v>
          </cell>
          <cell r="J84">
            <v>34914.875</v>
          </cell>
          <cell r="K84">
            <v>87675.875</v>
          </cell>
        </row>
        <row r="85">
          <cell r="A85" t="str">
            <v>CAIRN</v>
          </cell>
          <cell r="B85">
            <v>3000</v>
          </cell>
          <cell r="C85">
            <v>7.55</v>
          </cell>
          <cell r="D85">
            <v>5</v>
          </cell>
          <cell r="E85">
            <v>12.55</v>
          </cell>
          <cell r="F85">
            <v>10.77</v>
          </cell>
          <cell r="G85">
            <v>7.1275000000000004</v>
          </cell>
          <cell r="H85">
            <v>17.897500000000001</v>
          </cell>
          <cell r="I85">
            <v>32310</v>
          </cell>
          <cell r="J85">
            <v>21382.5</v>
          </cell>
          <cell r="K85">
            <v>53692.5</v>
          </cell>
        </row>
        <row r="86">
          <cell r="A86" t="str">
            <v>TATAGLOBAL</v>
          </cell>
          <cell r="B86">
            <v>4000</v>
          </cell>
          <cell r="C86">
            <v>7.54</v>
          </cell>
          <cell r="D86">
            <v>5</v>
          </cell>
          <cell r="E86">
            <v>12.54</v>
          </cell>
          <cell r="F86">
            <v>9.06</v>
          </cell>
          <cell r="G86">
            <v>6.0075000000000003</v>
          </cell>
          <cell r="H86">
            <v>15.067500000000001</v>
          </cell>
          <cell r="I86">
            <v>36240</v>
          </cell>
          <cell r="J86">
            <v>24030</v>
          </cell>
          <cell r="K86">
            <v>60270</v>
          </cell>
        </row>
        <row r="87">
          <cell r="A87" t="str">
            <v>RECLTD</v>
          </cell>
          <cell r="B87">
            <v>2000</v>
          </cell>
          <cell r="C87">
            <v>7.54</v>
          </cell>
          <cell r="D87">
            <v>5</v>
          </cell>
          <cell r="E87">
            <v>12.54</v>
          </cell>
          <cell r="F87">
            <v>12.28</v>
          </cell>
          <cell r="G87">
            <v>8.1325000000000003</v>
          </cell>
          <cell r="H87">
            <v>20.412500000000001</v>
          </cell>
          <cell r="I87">
            <v>24560</v>
          </cell>
          <cell r="J87">
            <v>16265</v>
          </cell>
          <cell r="K87">
            <v>40825</v>
          </cell>
        </row>
        <row r="88">
          <cell r="A88" t="str">
            <v>POWERGRID</v>
          </cell>
          <cell r="B88">
            <v>4000</v>
          </cell>
          <cell r="C88">
            <v>7.54</v>
          </cell>
          <cell r="D88">
            <v>5</v>
          </cell>
          <cell r="E88">
            <v>12.54</v>
          </cell>
          <cell r="F88">
            <v>11.38</v>
          </cell>
          <cell r="G88">
            <v>7.5449999999999999</v>
          </cell>
          <cell r="H88">
            <v>18.925000000000001</v>
          </cell>
          <cell r="I88">
            <v>45520</v>
          </cell>
          <cell r="J88">
            <v>30180</v>
          </cell>
          <cell r="K88">
            <v>75700</v>
          </cell>
        </row>
        <row r="89">
          <cell r="A89" t="str">
            <v>MCLEODRUSS</v>
          </cell>
          <cell r="B89">
            <v>2200</v>
          </cell>
          <cell r="C89">
            <v>7.54</v>
          </cell>
          <cell r="D89">
            <v>5</v>
          </cell>
          <cell r="E89">
            <v>12.54</v>
          </cell>
          <cell r="F89">
            <v>13.39</v>
          </cell>
          <cell r="G89">
            <v>8.8774999999999995</v>
          </cell>
          <cell r="H89">
            <v>22.267499999999998</v>
          </cell>
          <cell r="I89">
            <v>29458</v>
          </cell>
          <cell r="J89">
            <v>19530.5</v>
          </cell>
          <cell r="K89">
            <v>48988.5</v>
          </cell>
        </row>
        <row r="90">
          <cell r="A90" t="str">
            <v>JISLJALEQS</v>
          </cell>
          <cell r="B90">
            <v>8000</v>
          </cell>
          <cell r="C90">
            <v>7.54</v>
          </cell>
          <cell r="D90">
            <v>5</v>
          </cell>
          <cell r="E90">
            <v>12.54</v>
          </cell>
          <cell r="F90">
            <v>5.03</v>
          </cell>
          <cell r="G90">
            <v>3.3325</v>
          </cell>
          <cell r="H90">
            <v>8.3625000000000007</v>
          </cell>
          <cell r="I90">
            <v>40240</v>
          </cell>
          <cell r="J90">
            <v>26660</v>
          </cell>
          <cell r="K90">
            <v>66900</v>
          </cell>
        </row>
        <row r="91">
          <cell r="A91" t="str">
            <v>DHFL</v>
          </cell>
          <cell r="B91">
            <v>2200</v>
          </cell>
          <cell r="C91">
            <v>7.54</v>
          </cell>
          <cell r="D91">
            <v>5</v>
          </cell>
          <cell r="E91">
            <v>12.54</v>
          </cell>
          <cell r="F91">
            <v>15</v>
          </cell>
          <cell r="G91">
            <v>9.94</v>
          </cell>
          <cell r="H91">
            <v>24.94</v>
          </cell>
          <cell r="I91">
            <v>33000</v>
          </cell>
          <cell r="J91">
            <v>21868</v>
          </cell>
          <cell r="K91">
            <v>54868</v>
          </cell>
        </row>
        <row r="92">
          <cell r="A92" t="str">
            <v>BHARATFORG</v>
          </cell>
          <cell r="B92">
            <v>500</v>
          </cell>
          <cell r="C92">
            <v>7.54</v>
          </cell>
          <cell r="D92">
            <v>5</v>
          </cell>
          <cell r="E92">
            <v>12.54</v>
          </cell>
          <cell r="F92">
            <v>56.39</v>
          </cell>
          <cell r="G92">
            <v>37.357500000000002</v>
          </cell>
          <cell r="H92">
            <v>93.747500000000002</v>
          </cell>
          <cell r="I92">
            <v>28195</v>
          </cell>
          <cell r="J92">
            <v>18678.75</v>
          </cell>
          <cell r="K92">
            <v>46873.75</v>
          </cell>
        </row>
        <row r="93">
          <cell r="A93" t="str">
            <v>BEL</v>
          </cell>
          <cell r="B93">
            <v>450</v>
          </cell>
          <cell r="C93">
            <v>7.54</v>
          </cell>
          <cell r="D93">
            <v>5</v>
          </cell>
          <cell r="E93">
            <v>12.54</v>
          </cell>
          <cell r="F93">
            <v>91.74</v>
          </cell>
          <cell r="G93">
            <v>60.777500000000003</v>
          </cell>
          <cell r="H93">
            <v>152.51750000000001</v>
          </cell>
          <cell r="I93">
            <v>41283</v>
          </cell>
          <cell r="J93">
            <v>27349.875</v>
          </cell>
          <cell r="K93">
            <v>68632.875</v>
          </cell>
        </row>
        <row r="94">
          <cell r="A94" t="str">
            <v>OIL</v>
          </cell>
          <cell r="B94">
            <v>1200</v>
          </cell>
          <cell r="C94">
            <v>7.53</v>
          </cell>
          <cell r="D94">
            <v>5</v>
          </cell>
          <cell r="E94">
            <v>12.53</v>
          </cell>
          <cell r="F94">
            <v>26.58</v>
          </cell>
          <cell r="G94">
            <v>17.642499999999998</v>
          </cell>
          <cell r="H94">
            <v>44.222499999999997</v>
          </cell>
          <cell r="I94">
            <v>31896</v>
          </cell>
          <cell r="J94">
            <v>21171</v>
          </cell>
          <cell r="K94">
            <v>53067</v>
          </cell>
        </row>
        <row r="95">
          <cell r="A95" t="str">
            <v>INDUSINDBK</v>
          </cell>
          <cell r="B95">
            <v>600</v>
          </cell>
          <cell r="C95">
            <v>7.53</v>
          </cell>
          <cell r="D95">
            <v>5</v>
          </cell>
          <cell r="E95">
            <v>12.53</v>
          </cell>
          <cell r="F95">
            <v>83.68</v>
          </cell>
          <cell r="G95">
            <v>55.55</v>
          </cell>
          <cell r="H95">
            <v>139.22999999999999</v>
          </cell>
          <cell r="I95">
            <v>50208</v>
          </cell>
          <cell r="J95">
            <v>33330</v>
          </cell>
          <cell r="K95">
            <v>83538</v>
          </cell>
        </row>
        <row r="96">
          <cell r="A96" t="str">
            <v>HDFCBANK</v>
          </cell>
          <cell r="B96">
            <v>500</v>
          </cell>
          <cell r="C96">
            <v>7.53</v>
          </cell>
          <cell r="D96">
            <v>5</v>
          </cell>
          <cell r="E96">
            <v>12.53</v>
          </cell>
          <cell r="F96">
            <v>88.51</v>
          </cell>
          <cell r="G96">
            <v>58.717500000000001</v>
          </cell>
          <cell r="H96">
            <v>147.22749999999999</v>
          </cell>
          <cell r="I96">
            <v>44255</v>
          </cell>
          <cell r="J96">
            <v>29358.75</v>
          </cell>
          <cell r="K96">
            <v>73613.75</v>
          </cell>
        </row>
        <row r="97">
          <cell r="A97" t="str">
            <v>GRANULES</v>
          </cell>
          <cell r="B97">
            <v>5000</v>
          </cell>
          <cell r="C97">
            <v>7.53</v>
          </cell>
          <cell r="D97">
            <v>5</v>
          </cell>
          <cell r="E97">
            <v>12.53</v>
          </cell>
          <cell r="F97">
            <v>10.57</v>
          </cell>
          <cell r="G97">
            <v>7.0125000000000002</v>
          </cell>
          <cell r="H97">
            <v>17.5825</v>
          </cell>
          <cell r="I97">
            <v>52850</v>
          </cell>
          <cell r="J97">
            <v>35062.5</v>
          </cell>
          <cell r="K97">
            <v>87912.5</v>
          </cell>
        </row>
        <row r="98">
          <cell r="A98" t="str">
            <v>CASTROLIND</v>
          </cell>
          <cell r="B98">
            <v>1100</v>
          </cell>
          <cell r="C98">
            <v>7.53</v>
          </cell>
          <cell r="D98">
            <v>5</v>
          </cell>
          <cell r="E98">
            <v>12.53</v>
          </cell>
          <cell r="F98">
            <v>29.1</v>
          </cell>
          <cell r="G98">
            <v>19.297499999999999</v>
          </cell>
          <cell r="H98">
            <v>48.397500000000001</v>
          </cell>
          <cell r="I98">
            <v>32010</v>
          </cell>
          <cell r="J98">
            <v>21227.25</v>
          </cell>
          <cell r="K98">
            <v>53237.25</v>
          </cell>
        </row>
        <row r="99">
          <cell r="A99" t="str">
            <v>ASIANPAINT</v>
          </cell>
          <cell r="B99">
            <v>600</v>
          </cell>
          <cell r="C99">
            <v>7.53</v>
          </cell>
          <cell r="D99">
            <v>5</v>
          </cell>
          <cell r="E99">
            <v>12.53</v>
          </cell>
          <cell r="F99">
            <v>77.84</v>
          </cell>
          <cell r="G99">
            <v>51.63</v>
          </cell>
          <cell r="H99">
            <v>129.47</v>
          </cell>
          <cell r="I99">
            <v>46704</v>
          </cell>
          <cell r="J99">
            <v>30978</v>
          </cell>
          <cell r="K99">
            <v>77682</v>
          </cell>
        </row>
        <row r="100">
          <cell r="A100" t="str">
            <v>ZEEL</v>
          </cell>
          <cell r="B100">
            <v>1300</v>
          </cell>
          <cell r="C100">
            <v>7.52</v>
          </cell>
          <cell r="D100">
            <v>5</v>
          </cell>
          <cell r="E100">
            <v>12.52</v>
          </cell>
          <cell r="F100">
            <v>34.94</v>
          </cell>
          <cell r="G100">
            <v>23.2225</v>
          </cell>
          <cell r="H100">
            <v>58.162500000000001</v>
          </cell>
          <cell r="I100">
            <v>45422</v>
          </cell>
          <cell r="J100">
            <v>30189.25</v>
          </cell>
          <cell r="K100">
            <v>75611.25</v>
          </cell>
        </row>
        <row r="101">
          <cell r="A101" t="str">
            <v>WOCKPHARMA</v>
          </cell>
          <cell r="B101">
            <v>375</v>
          </cell>
          <cell r="C101">
            <v>7.52</v>
          </cell>
          <cell r="D101">
            <v>5</v>
          </cell>
          <cell r="E101">
            <v>12.52</v>
          </cell>
          <cell r="F101">
            <v>70.489999999999995</v>
          </cell>
          <cell r="G101">
            <v>46.844999999999999</v>
          </cell>
          <cell r="H101">
            <v>117.33499999999999</v>
          </cell>
          <cell r="I101">
            <v>26434</v>
          </cell>
          <cell r="J101">
            <v>17566.875</v>
          </cell>
          <cell r="K101">
            <v>44000.875</v>
          </cell>
        </row>
        <row r="102">
          <cell r="A102" t="str">
            <v>VOLTAS</v>
          </cell>
          <cell r="B102">
            <v>1600</v>
          </cell>
          <cell r="C102">
            <v>7.52</v>
          </cell>
          <cell r="D102">
            <v>5</v>
          </cell>
          <cell r="E102">
            <v>12.52</v>
          </cell>
          <cell r="F102">
            <v>25.48</v>
          </cell>
          <cell r="G102">
            <v>16.927499999999998</v>
          </cell>
          <cell r="H102">
            <v>42.407499999999999</v>
          </cell>
          <cell r="I102">
            <v>40768</v>
          </cell>
          <cell r="J102">
            <v>27084</v>
          </cell>
          <cell r="K102">
            <v>67852</v>
          </cell>
        </row>
        <row r="103">
          <cell r="A103" t="str">
            <v>ULTRACEMCO</v>
          </cell>
          <cell r="B103">
            <v>200</v>
          </cell>
          <cell r="C103">
            <v>7.52</v>
          </cell>
          <cell r="D103">
            <v>5</v>
          </cell>
          <cell r="E103">
            <v>12.52</v>
          </cell>
          <cell r="F103">
            <v>251.34</v>
          </cell>
          <cell r="G103">
            <v>167.07</v>
          </cell>
          <cell r="H103">
            <v>418.41</v>
          </cell>
          <cell r="I103">
            <v>50268</v>
          </cell>
          <cell r="J103">
            <v>33414</v>
          </cell>
          <cell r="K103">
            <v>83682</v>
          </cell>
        </row>
        <row r="104">
          <cell r="A104" t="str">
            <v>TVSMOTOR</v>
          </cell>
          <cell r="B104">
            <v>2000</v>
          </cell>
          <cell r="C104">
            <v>7.52</v>
          </cell>
          <cell r="D104">
            <v>5</v>
          </cell>
          <cell r="E104">
            <v>12.52</v>
          </cell>
          <cell r="F104">
            <v>22.25</v>
          </cell>
          <cell r="G104">
            <v>14.7875</v>
          </cell>
          <cell r="H104">
            <v>37.037500000000001</v>
          </cell>
          <cell r="I104">
            <v>44500</v>
          </cell>
          <cell r="J104">
            <v>29575</v>
          </cell>
          <cell r="K104">
            <v>74075</v>
          </cell>
        </row>
        <row r="105">
          <cell r="A105" t="str">
            <v>PETRONET</v>
          </cell>
          <cell r="B105">
            <v>3000</v>
          </cell>
          <cell r="C105">
            <v>7.52</v>
          </cell>
          <cell r="D105">
            <v>5</v>
          </cell>
          <cell r="E105">
            <v>12.52</v>
          </cell>
          <cell r="F105">
            <v>20.64</v>
          </cell>
          <cell r="G105">
            <v>13.71</v>
          </cell>
          <cell r="H105">
            <v>34.35</v>
          </cell>
          <cell r="I105">
            <v>61920</v>
          </cell>
          <cell r="J105">
            <v>41130</v>
          </cell>
          <cell r="K105">
            <v>103050</v>
          </cell>
        </row>
        <row r="106">
          <cell r="A106" t="str">
            <v>ONGC</v>
          </cell>
          <cell r="B106">
            <v>2000</v>
          </cell>
          <cell r="C106">
            <v>7.52</v>
          </cell>
          <cell r="D106">
            <v>5</v>
          </cell>
          <cell r="E106">
            <v>12.52</v>
          </cell>
          <cell r="F106">
            <v>16.11</v>
          </cell>
          <cell r="G106">
            <v>10.7075</v>
          </cell>
          <cell r="H106">
            <v>26.817499999999999</v>
          </cell>
          <cell r="I106">
            <v>32220</v>
          </cell>
          <cell r="J106">
            <v>21415</v>
          </cell>
          <cell r="K106">
            <v>53635</v>
          </cell>
        </row>
        <row r="107">
          <cell r="A107" t="str">
            <v>IRB</v>
          </cell>
          <cell r="B107">
            <v>2100</v>
          </cell>
          <cell r="C107">
            <v>7.52</v>
          </cell>
          <cell r="D107">
            <v>5</v>
          </cell>
          <cell r="E107">
            <v>12.52</v>
          </cell>
          <cell r="F107">
            <v>16.41</v>
          </cell>
          <cell r="G107">
            <v>10.904999999999999</v>
          </cell>
          <cell r="H107">
            <v>27.315000000000001</v>
          </cell>
          <cell r="I107">
            <v>34461</v>
          </cell>
          <cell r="J107">
            <v>22900.5</v>
          </cell>
          <cell r="K107">
            <v>57361.5</v>
          </cell>
        </row>
        <row r="108">
          <cell r="A108" t="str">
            <v>INFRATEL</v>
          </cell>
          <cell r="B108">
            <v>1300</v>
          </cell>
          <cell r="C108">
            <v>7.52</v>
          </cell>
          <cell r="D108">
            <v>5</v>
          </cell>
          <cell r="E108">
            <v>12.52</v>
          </cell>
          <cell r="F108">
            <v>28.3</v>
          </cell>
          <cell r="G108">
            <v>18.8125</v>
          </cell>
          <cell r="H108">
            <v>47.112499999999997</v>
          </cell>
          <cell r="I108">
            <v>36790</v>
          </cell>
          <cell r="J108">
            <v>24456.25</v>
          </cell>
          <cell r="K108">
            <v>61246.25</v>
          </cell>
        </row>
        <row r="109">
          <cell r="A109" t="str">
            <v>HINDZINC</v>
          </cell>
          <cell r="B109">
            <v>3200</v>
          </cell>
          <cell r="C109">
            <v>7.52</v>
          </cell>
          <cell r="D109">
            <v>5</v>
          </cell>
          <cell r="E109">
            <v>12.52</v>
          </cell>
          <cell r="F109">
            <v>12.99</v>
          </cell>
          <cell r="G109">
            <v>8.6349999999999998</v>
          </cell>
          <cell r="H109">
            <v>21.625</v>
          </cell>
          <cell r="I109">
            <v>41568</v>
          </cell>
          <cell r="J109">
            <v>27632</v>
          </cell>
          <cell r="K109">
            <v>69200</v>
          </cell>
        </row>
        <row r="110">
          <cell r="A110" t="str">
            <v>DIVISLAB</v>
          </cell>
          <cell r="B110">
            <v>600</v>
          </cell>
          <cell r="C110">
            <v>7.52</v>
          </cell>
          <cell r="D110">
            <v>5</v>
          </cell>
          <cell r="E110">
            <v>12.52</v>
          </cell>
          <cell r="F110">
            <v>86.6</v>
          </cell>
          <cell r="G110">
            <v>57.5625</v>
          </cell>
          <cell r="H110">
            <v>144.16249999999999</v>
          </cell>
          <cell r="I110">
            <v>51960</v>
          </cell>
          <cell r="J110">
            <v>34537.5</v>
          </cell>
          <cell r="K110">
            <v>86497.5</v>
          </cell>
        </row>
        <row r="111">
          <cell r="A111" t="str">
            <v>COALINDIA</v>
          </cell>
          <cell r="B111">
            <v>1200</v>
          </cell>
          <cell r="C111">
            <v>7.52</v>
          </cell>
          <cell r="D111">
            <v>5</v>
          </cell>
          <cell r="E111">
            <v>12.52</v>
          </cell>
          <cell r="F111">
            <v>23.26</v>
          </cell>
          <cell r="G111">
            <v>15.46</v>
          </cell>
          <cell r="H111">
            <v>38.72</v>
          </cell>
          <cell r="I111">
            <v>27912</v>
          </cell>
          <cell r="J111">
            <v>18552</v>
          </cell>
          <cell r="K111">
            <v>46464</v>
          </cell>
        </row>
        <row r="112">
          <cell r="A112" t="str">
            <v>CIPLA</v>
          </cell>
          <cell r="B112">
            <v>800</v>
          </cell>
          <cell r="C112">
            <v>7.52</v>
          </cell>
          <cell r="D112">
            <v>5</v>
          </cell>
          <cell r="E112">
            <v>12.52</v>
          </cell>
          <cell r="F112">
            <v>35.450000000000003</v>
          </cell>
          <cell r="G112">
            <v>23.567499999999999</v>
          </cell>
          <cell r="H112">
            <v>59.017499999999998</v>
          </cell>
          <cell r="I112">
            <v>28360</v>
          </cell>
          <cell r="J112">
            <v>18854</v>
          </cell>
          <cell r="K112">
            <v>47214</v>
          </cell>
        </row>
        <row r="113">
          <cell r="A113" t="str">
            <v>AMBUJACEM</v>
          </cell>
          <cell r="B113">
            <v>2100</v>
          </cell>
          <cell r="C113">
            <v>7.52</v>
          </cell>
          <cell r="D113">
            <v>5</v>
          </cell>
          <cell r="E113">
            <v>12.52</v>
          </cell>
          <cell r="F113">
            <v>17.72</v>
          </cell>
          <cell r="G113">
            <v>11.7775</v>
          </cell>
          <cell r="H113">
            <v>29.497499999999999</v>
          </cell>
          <cell r="I113">
            <v>37212</v>
          </cell>
          <cell r="J113">
            <v>24732.75</v>
          </cell>
          <cell r="K113">
            <v>61944.75</v>
          </cell>
        </row>
        <row r="114">
          <cell r="A114" t="str">
            <v>WIPRO</v>
          </cell>
          <cell r="B114">
            <v>1000</v>
          </cell>
          <cell r="C114">
            <v>7.51</v>
          </cell>
          <cell r="D114">
            <v>5</v>
          </cell>
          <cell r="E114">
            <v>12.51</v>
          </cell>
          <cell r="F114">
            <v>40.78</v>
          </cell>
          <cell r="G114">
            <v>27.137499999999999</v>
          </cell>
          <cell r="H114">
            <v>67.917500000000004</v>
          </cell>
          <cell r="I114">
            <v>40780</v>
          </cell>
          <cell r="J114">
            <v>27137.5</v>
          </cell>
          <cell r="K114">
            <v>67917.5</v>
          </cell>
        </row>
        <row r="115">
          <cell r="A115" t="str">
            <v>UBL</v>
          </cell>
          <cell r="B115">
            <v>500</v>
          </cell>
          <cell r="C115">
            <v>7.51</v>
          </cell>
          <cell r="D115">
            <v>5</v>
          </cell>
          <cell r="E115">
            <v>12.51</v>
          </cell>
          <cell r="F115">
            <v>55.59</v>
          </cell>
          <cell r="G115">
            <v>36.975000000000001</v>
          </cell>
          <cell r="H115">
            <v>92.564999999999998</v>
          </cell>
          <cell r="I115">
            <v>27795</v>
          </cell>
          <cell r="J115">
            <v>18487.5</v>
          </cell>
          <cell r="K115">
            <v>46282.5</v>
          </cell>
        </row>
        <row r="116">
          <cell r="A116" t="str">
            <v>TORNTPHARM</v>
          </cell>
          <cell r="B116">
            <v>400</v>
          </cell>
          <cell r="C116">
            <v>7.51</v>
          </cell>
          <cell r="D116">
            <v>5</v>
          </cell>
          <cell r="E116">
            <v>12.51</v>
          </cell>
          <cell r="F116">
            <v>103.72</v>
          </cell>
          <cell r="G116">
            <v>68.98</v>
          </cell>
          <cell r="H116">
            <v>172.7</v>
          </cell>
          <cell r="I116">
            <v>41488</v>
          </cell>
          <cell r="J116">
            <v>27592</v>
          </cell>
          <cell r="K116">
            <v>69080</v>
          </cell>
        </row>
        <row r="117">
          <cell r="A117" t="str">
            <v>TATACOMM</v>
          </cell>
          <cell r="B117">
            <v>1100</v>
          </cell>
          <cell r="C117">
            <v>7.51</v>
          </cell>
          <cell r="D117">
            <v>5</v>
          </cell>
          <cell r="E117">
            <v>12.51</v>
          </cell>
          <cell r="F117">
            <v>34.24</v>
          </cell>
          <cell r="G117">
            <v>22.774999999999999</v>
          </cell>
          <cell r="H117">
            <v>57.015000000000001</v>
          </cell>
          <cell r="I117">
            <v>37664</v>
          </cell>
          <cell r="J117">
            <v>25052.5</v>
          </cell>
          <cell r="K117">
            <v>62716.5</v>
          </cell>
        </row>
        <row r="118">
          <cell r="A118" t="str">
            <v>SKSMICRO</v>
          </cell>
          <cell r="B118">
            <v>1000</v>
          </cell>
          <cell r="C118">
            <v>7.51</v>
          </cell>
          <cell r="D118">
            <v>5</v>
          </cell>
          <cell r="E118">
            <v>12.51</v>
          </cell>
          <cell r="F118">
            <v>51.05</v>
          </cell>
          <cell r="G118">
            <v>33.96</v>
          </cell>
          <cell r="H118">
            <v>85.01</v>
          </cell>
          <cell r="I118">
            <v>51050</v>
          </cell>
          <cell r="J118">
            <v>33960</v>
          </cell>
          <cell r="K118">
            <v>85010</v>
          </cell>
        </row>
        <row r="119">
          <cell r="A119" t="str">
            <v>RELIANCE</v>
          </cell>
          <cell r="B119">
            <v>500</v>
          </cell>
          <cell r="C119">
            <v>7.51</v>
          </cell>
          <cell r="D119">
            <v>5</v>
          </cell>
          <cell r="E119">
            <v>12.51</v>
          </cell>
          <cell r="F119">
            <v>72.2</v>
          </cell>
          <cell r="G119">
            <v>48.034999999999997</v>
          </cell>
          <cell r="H119">
            <v>120.235</v>
          </cell>
          <cell r="I119">
            <v>36100</v>
          </cell>
          <cell r="J119">
            <v>24017.5</v>
          </cell>
          <cell r="K119">
            <v>60117.5</v>
          </cell>
        </row>
        <row r="120">
          <cell r="A120" t="str">
            <v>RELCAPITAL</v>
          </cell>
          <cell r="B120">
            <v>1500</v>
          </cell>
          <cell r="C120">
            <v>7.51</v>
          </cell>
          <cell r="D120">
            <v>5</v>
          </cell>
          <cell r="E120">
            <v>12.51</v>
          </cell>
          <cell r="F120">
            <v>31.12</v>
          </cell>
          <cell r="G120">
            <v>20.7075</v>
          </cell>
          <cell r="H120">
            <v>51.827500000000001</v>
          </cell>
          <cell r="I120">
            <v>46680</v>
          </cell>
          <cell r="J120">
            <v>31061.25</v>
          </cell>
          <cell r="K120">
            <v>77741.25</v>
          </cell>
        </row>
        <row r="121">
          <cell r="A121" t="str">
            <v>NCC</v>
          </cell>
          <cell r="B121">
            <v>8000</v>
          </cell>
          <cell r="C121">
            <v>7.51</v>
          </cell>
          <cell r="D121">
            <v>5</v>
          </cell>
          <cell r="E121">
            <v>12.51</v>
          </cell>
          <cell r="F121">
            <v>5.54</v>
          </cell>
          <cell r="G121">
            <v>3.6850000000000001</v>
          </cell>
          <cell r="H121">
            <v>9.2249999999999996</v>
          </cell>
          <cell r="I121">
            <v>44320</v>
          </cell>
          <cell r="J121">
            <v>29480</v>
          </cell>
          <cell r="K121">
            <v>73800</v>
          </cell>
        </row>
        <row r="122">
          <cell r="A122" t="str">
            <v>MINDTREE</v>
          </cell>
          <cell r="B122">
            <v>800</v>
          </cell>
          <cell r="C122">
            <v>7.51</v>
          </cell>
          <cell r="D122">
            <v>5</v>
          </cell>
          <cell r="E122">
            <v>12.51</v>
          </cell>
          <cell r="F122">
            <v>49.14</v>
          </cell>
          <cell r="G122">
            <v>32.71</v>
          </cell>
          <cell r="H122">
            <v>81.849999999999994</v>
          </cell>
          <cell r="I122">
            <v>39312</v>
          </cell>
          <cell r="J122">
            <v>26168</v>
          </cell>
          <cell r="K122">
            <v>65480</v>
          </cell>
        </row>
        <row r="123">
          <cell r="A123" t="str">
            <v>MARICO</v>
          </cell>
          <cell r="B123">
            <v>2600</v>
          </cell>
          <cell r="C123">
            <v>7.51</v>
          </cell>
          <cell r="D123">
            <v>5</v>
          </cell>
          <cell r="E123">
            <v>12.51</v>
          </cell>
          <cell r="F123">
            <v>19.329999999999998</v>
          </cell>
          <cell r="G123">
            <v>12.86</v>
          </cell>
          <cell r="H123">
            <v>32.19</v>
          </cell>
          <cell r="I123">
            <v>50258</v>
          </cell>
          <cell r="J123">
            <v>33436</v>
          </cell>
          <cell r="K123">
            <v>83694</v>
          </cell>
        </row>
        <row r="124">
          <cell r="A124" t="str">
            <v>LICHSGFIN</v>
          </cell>
          <cell r="B124">
            <v>1100</v>
          </cell>
          <cell r="C124">
            <v>7.51</v>
          </cell>
          <cell r="D124">
            <v>5</v>
          </cell>
          <cell r="E124">
            <v>12.51</v>
          </cell>
          <cell r="F124">
            <v>35.75</v>
          </cell>
          <cell r="G124">
            <v>23.797499999999999</v>
          </cell>
          <cell r="H124">
            <v>59.547499999999999</v>
          </cell>
          <cell r="I124">
            <v>39325</v>
          </cell>
          <cell r="J124">
            <v>26177.25</v>
          </cell>
          <cell r="K124">
            <v>65502.25</v>
          </cell>
        </row>
        <row r="125">
          <cell r="A125" t="str">
            <v>KSCL</v>
          </cell>
          <cell r="B125">
            <v>750</v>
          </cell>
          <cell r="C125">
            <v>7.51</v>
          </cell>
          <cell r="D125">
            <v>5</v>
          </cell>
          <cell r="E125">
            <v>12.51</v>
          </cell>
          <cell r="F125">
            <v>34.14</v>
          </cell>
          <cell r="G125">
            <v>22.725000000000001</v>
          </cell>
          <cell r="H125">
            <v>56.865000000000002</v>
          </cell>
          <cell r="I125">
            <v>25605</v>
          </cell>
          <cell r="J125">
            <v>17043.75</v>
          </cell>
          <cell r="K125">
            <v>42648.75</v>
          </cell>
        </row>
        <row r="126">
          <cell r="A126" t="str">
            <v>KOTAKBANK</v>
          </cell>
          <cell r="B126">
            <v>700</v>
          </cell>
          <cell r="C126">
            <v>7.51</v>
          </cell>
          <cell r="D126">
            <v>5</v>
          </cell>
          <cell r="E126">
            <v>12.51</v>
          </cell>
          <cell r="F126">
            <v>58.2</v>
          </cell>
          <cell r="G126">
            <v>38.697499999999998</v>
          </cell>
          <cell r="H126">
            <v>96.897499999999994</v>
          </cell>
          <cell r="I126">
            <v>40740</v>
          </cell>
          <cell r="J126">
            <v>27088.25</v>
          </cell>
          <cell r="K126">
            <v>67828.25</v>
          </cell>
        </row>
        <row r="127">
          <cell r="A127" t="str">
            <v>JETAIRWAYS</v>
          </cell>
          <cell r="B127">
            <v>900</v>
          </cell>
          <cell r="C127">
            <v>7.51</v>
          </cell>
          <cell r="D127">
            <v>5</v>
          </cell>
          <cell r="E127">
            <v>12.51</v>
          </cell>
          <cell r="F127">
            <v>41.69</v>
          </cell>
          <cell r="G127">
            <v>27.745000000000001</v>
          </cell>
          <cell r="H127">
            <v>69.435000000000002</v>
          </cell>
          <cell r="I127">
            <v>37521</v>
          </cell>
          <cell r="J127">
            <v>24970.5</v>
          </cell>
          <cell r="K127">
            <v>62491.5</v>
          </cell>
        </row>
        <row r="128">
          <cell r="A128" t="str">
            <v>IGL</v>
          </cell>
          <cell r="B128">
            <v>1100</v>
          </cell>
          <cell r="C128">
            <v>7.51</v>
          </cell>
          <cell r="D128">
            <v>5</v>
          </cell>
          <cell r="E128">
            <v>12.51</v>
          </cell>
          <cell r="F128">
            <v>43.6</v>
          </cell>
          <cell r="G128">
            <v>29.002500000000001</v>
          </cell>
          <cell r="H128">
            <v>72.602500000000006</v>
          </cell>
          <cell r="I128">
            <v>47960</v>
          </cell>
          <cell r="J128">
            <v>31902.75</v>
          </cell>
          <cell r="K128">
            <v>79862.75</v>
          </cell>
        </row>
        <row r="129">
          <cell r="A129" t="str">
            <v>HEXAWARE</v>
          </cell>
          <cell r="B129">
            <v>2000</v>
          </cell>
          <cell r="C129">
            <v>7.51</v>
          </cell>
          <cell r="D129">
            <v>5</v>
          </cell>
          <cell r="E129">
            <v>12.51</v>
          </cell>
          <cell r="F129">
            <v>16.21</v>
          </cell>
          <cell r="G129">
            <v>10.78</v>
          </cell>
          <cell r="H129">
            <v>26.99</v>
          </cell>
          <cell r="I129">
            <v>32420</v>
          </cell>
          <cell r="J129">
            <v>21560</v>
          </cell>
          <cell r="K129">
            <v>53980</v>
          </cell>
        </row>
        <row r="130">
          <cell r="A130" t="str">
            <v>GODREJIND</v>
          </cell>
          <cell r="B130">
            <v>1300</v>
          </cell>
          <cell r="C130">
            <v>7.51</v>
          </cell>
          <cell r="D130">
            <v>5</v>
          </cell>
          <cell r="E130">
            <v>12.51</v>
          </cell>
          <cell r="F130">
            <v>27.49</v>
          </cell>
          <cell r="G130">
            <v>18.287500000000001</v>
          </cell>
          <cell r="H130">
            <v>45.777500000000003</v>
          </cell>
          <cell r="I130">
            <v>35737</v>
          </cell>
          <cell r="J130">
            <v>23773.75</v>
          </cell>
          <cell r="K130">
            <v>59510.75</v>
          </cell>
        </row>
        <row r="131">
          <cell r="A131" t="str">
            <v>GAIL</v>
          </cell>
          <cell r="B131">
            <v>1400</v>
          </cell>
          <cell r="C131">
            <v>7.51</v>
          </cell>
          <cell r="D131">
            <v>5</v>
          </cell>
          <cell r="E131">
            <v>12.51</v>
          </cell>
          <cell r="F131">
            <v>28.3</v>
          </cell>
          <cell r="G131">
            <v>18.822500000000002</v>
          </cell>
          <cell r="H131">
            <v>47.122500000000002</v>
          </cell>
          <cell r="I131">
            <v>39620</v>
          </cell>
          <cell r="J131">
            <v>26351.5</v>
          </cell>
          <cell r="K131">
            <v>65971.5</v>
          </cell>
        </row>
        <row r="132">
          <cell r="A132" t="str">
            <v>EICHERMOT</v>
          </cell>
          <cell r="B132">
            <v>25</v>
          </cell>
          <cell r="C132">
            <v>7.51</v>
          </cell>
          <cell r="D132">
            <v>5</v>
          </cell>
          <cell r="E132">
            <v>12.51</v>
          </cell>
          <cell r="F132">
            <v>1418.56</v>
          </cell>
          <cell r="G132">
            <v>944.22500000000002</v>
          </cell>
          <cell r="H132">
            <v>2362.7849999999999</v>
          </cell>
          <cell r="I132">
            <v>35464</v>
          </cell>
          <cell r="J132">
            <v>23605.625</v>
          </cell>
          <cell r="K132">
            <v>59069.625</v>
          </cell>
        </row>
        <row r="133">
          <cell r="A133" t="str">
            <v>CADILAHC</v>
          </cell>
          <cell r="B133">
            <v>1500</v>
          </cell>
          <cell r="C133">
            <v>7.51</v>
          </cell>
          <cell r="D133">
            <v>5</v>
          </cell>
          <cell r="E133">
            <v>12.51</v>
          </cell>
          <cell r="F133">
            <v>24.17</v>
          </cell>
          <cell r="G133">
            <v>16.074999999999999</v>
          </cell>
          <cell r="H133">
            <v>40.244999999999997</v>
          </cell>
          <cell r="I133">
            <v>36255</v>
          </cell>
          <cell r="J133">
            <v>24112.5</v>
          </cell>
          <cell r="K133">
            <v>60367.5</v>
          </cell>
        </row>
        <row r="134">
          <cell r="A134" t="str">
            <v>BIOCON</v>
          </cell>
          <cell r="B134">
            <v>1100</v>
          </cell>
          <cell r="C134">
            <v>7.51</v>
          </cell>
          <cell r="D134">
            <v>5</v>
          </cell>
          <cell r="E134">
            <v>12.51</v>
          </cell>
          <cell r="F134">
            <v>54.78</v>
          </cell>
          <cell r="G134">
            <v>36.424999999999997</v>
          </cell>
          <cell r="H134">
            <v>91.204999999999998</v>
          </cell>
          <cell r="I134">
            <v>60258</v>
          </cell>
          <cell r="J134">
            <v>40067.5</v>
          </cell>
          <cell r="K134">
            <v>100325.5</v>
          </cell>
        </row>
        <row r="135">
          <cell r="A135" t="str">
            <v>BHARTIARTL</v>
          </cell>
          <cell r="B135">
            <v>1200</v>
          </cell>
          <cell r="C135">
            <v>7.51</v>
          </cell>
          <cell r="D135">
            <v>5</v>
          </cell>
          <cell r="E135">
            <v>12.51</v>
          </cell>
          <cell r="F135">
            <v>26.38</v>
          </cell>
          <cell r="G135">
            <v>17.547499999999999</v>
          </cell>
          <cell r="H135">
            <v>43.927500000000002</v>
          </cell>
          <cell r="I135">
            <v>31656</v>
          </cell>
          <cell r="J135">
            <v>21057</v>
          </cell>
          <cell r="K135">
            <v>52713</v>
          </cell>
        </row>
        <row r="136">
          <cell r="A136" t="str">
            <v>BEML</v>
          </cell>
          <cell r="B136">
            <v>500</v>
          </cell>
          <cell r="C136">
            <v>7.51</v>
          </cell>
          <cell r="D136">
            <v>5</v>
          </cell>
          <cell r="E136">
            <v>12.51</v>
          </cell>
          <cell r="F136">
            <v>63.24</v>
          </cell>
          <cell r="G136">
            <v>42.092500000000001</v>
          </cell>
          <cell r="H136">
            <v>105.3325</v>
          </cell>
          <cell r="I136">
            <v>31620</v>
          </cell>
          <cell r="J136">
            <v>21046.25</v>
          </cell>
          <cell r="K136">
            <v>52666.25</v>
          </cell>
        </row>
        <row r="137">
          <cell r="A137" t="str">
            <v>AUROPHARMA</v>
          </cell>
          <cell r="B137">
            <v>700</v>
          </cell>
          <cell r="C137">
            <v>7.51</v>
          </cell>
          <cell r="D137">
            <v>5</v>
          </cell>
          <cell r="E137">
            <v>12.51</v>
          </cell>
          <cell r="F137">
            <v>58.2</v>
          </cell>
          <cell r="G137">
            <v>38.74</v>
          </cell>
          <cell r="H137">
            <v>96.94</v>
          </cell>
          <cell r="I137">
            <v>40740</v>
          </cell>
          <cell r="J137">
            <v>27118</v>
          </cell>
          <cell r="K137">
            <v>67858</v>
          </cell>
        </row>
        <row r="138">
          <cell r="A138" t="str">
            <v>ARVIND</v>
          </cell>
          <cell r="B138">
            <v>1700</v>
          </cell>
          <cell r="C138">
            <v>7.51</v>
          </cell>
          <cell r="D138">
            <v>5</v>
          </cell>
          <cell r="E138">
            <v>12.51</v>
          </cell>
          <cell r="F138">
            <v>23.66</v>
          </cell>
          <cell r="G138">
            <v>15.75</v>
          </cell>
          <cell r="H138">
            <v>39.409999999999997</v>
          </cell>
          <cell r="I138">
            <v>40222</v>
          </cell>
          <cell r="J138">
            <v>26775</v>
          </cell>
          <cell r="K138">
            <v>66997</v>
          </cell>
        </row>
        <row r="139">
          <cell r="A139" t="str">
            <v>APOLLOTYRE</v>
          </cell>
          <cell r="B139">
            <v>3000</v>
          </cell>
          <cell r="C139">
            <v>7.51</v>
          </cell>
          <cell r="D139">
            <v>5</v>
          </cell>
          <cell r="E139">
            <v>12.51</v>
          </cell>
          <cell r="F139">
            <v>11.58</v>
          </cell>
          <cell r="G139">
            <v>7.7050000000000001</v>
          </cell>
          <cell r="H139">
            <v>19.285</v>
          </cell>
          <cell r="I139">
            <v>34740</v>
          </cell>
          <cell r="J139">
            <v>23115</v>
          </cell>
          <cell r="K139">
            <v>57855</v>
          </cell>
        </row>
        <row r="140">
          <cell r="A140" t="str">
            <v>TCS</v>
          </cell>
          <cell r="B140">
            <v>200</v>
          </cell>
          <cell r="C140">
            <v>7.5</v>
          </cell>
          <cell r="D140">
            <v>5</v>
          </cell>
          <cell r="E140">
            <v>12.5</v>
          </cell>
          <cell r="F140">
            <v>198.28</v>
          </cell>
          <cell r="G140">
            <v>132.13499999999999</v>
          </cell>
          <cell r="H140">
            <v>330.41500000000002</v>
          </cell>
          <cell r="I140">
            <v>39656</v>
          </cell>
          <cell r="J140">
            <v>26427</v>
          </cell>
          <cell r="K140">
            <v>66083</v>
          </cell>
        </row>
        <row r="141">
          <cell r="A141" t="str">
            <v>TATASTEEL</v>
          </cell>
          <cell r="B141">
            <v>2000</v>
          </cell>
          <cell r="C141">
            <v>7.5</v>
          </cell>
          <cell r="D141">
            <v>5</v>
          </cell>
          <cell r="E141">
            <v>12.5</v>
          </cell>
          <cell r="F141">
            <v>25.88</v>
          </cell>
          <cell r="G141">
            <v>17.2425</v>
          </cell>
          <cell r="H141">
            <v>43.122500000000002</v>
          </cell>
          <cell r="I141">
            <v>51760</v>
          </cell>
          <cell r="J141">
            <v>34485</v>
          </cell>
          <cell r="K141">
            <v>86245</v>
          </cell>
        </row>
        <row r="142">
          <cell r="A142" t="str">
            <v>TATAELXSI</v>
          </cell>
          <cell r="B142">
            <v>300</v>
          </cell>
          <cell r="C142">
            <v>7.5</v>
          </cell>
          <cell r="D142">
            <v>5</v>
          </cell>
          <cell r="E142">
            <v>12.5</v>
          </cell>
          <cell r="F142">
            <v>136.04</v>
          </cell>
          <cell r="G142">
            <v>90.6875</v>
          </cell>
          <cell r="H142">
            <v>226.72749999999999</v>
          </cell>
          <cell r="I142">
            <v>40812</v>
          </cell>
          <cell r="J142">
            <v>27206.25</v>
          </cell>
          <cell r="K142">
            <v>68018.25</v>
          </cell>
        </row>
        <row r="143">
          <cell r="A143" t="str">
            <v>TATACHEM</v>
          </cell>
          <cell r="B143">
            <v>1100</v>
          </cell>
          <cell r="C143">
            <v>7.5</v>
          </cell>
          <cell r="D143">
            <v>5</v>
          </cell>
          <cell r="E143">
            <v>12.5</v>
          </cell>
          <cell r="F143">
            <v>32.630000000000003</v>
          </cell>
          <cell r="G143">
            <v>21.727499999999999</v>
          </cell>
          <cell r="H143">
            <v>54.357500000000002</v>
          </cell>
          <cell r="I143">
            <v>35893</v>
          </cell>
          <cell r="J143">
            <v>23900.25</v>
          </cell>
          <cell r="K143">
            <v>59793.25</v>
          </cell>
        </row>
        <row r="144">
          <cell r="A144" t="str">
            <v>STAR</v>
          </cell>
          <cell r="B144">
            <v>400</v>
          </cell>
          <cell r="C144">
            <v>7.5</v>
          </cell>
          <cell r="D144">
            <v>5</v>
          </cell>
          <cell r="E144">
            <v>12.5</v>
          </cell>
          <cell r="F144">
            <v>85.29</v>
          </cell>
          <cell r="G144">
            <v>56.795000000000002</v>
          </cell>
          <cell r="H144">
            <v>142.08500000000001</v>
          </cell>
          <cell r="I144">
            <v>34116</v>
          </cell>
          <cell r="J144">
            <v>22718</v>
          </cell>
          <cell r="K144">
            <v>56834</v>
          </cell>
        </row>
        <row r="145">
          <cell r="A145" t="str">
            <v>SIEMENS</v>
          </cell>
          <cell r="B145">
            <v>400</v>
          </cell>
          <cell r="C145">
            <v>7.5</v>
          </cell>
          <cell r="D145">
            <v>5</v>
          </cell>
          <cell r="E145">
            <v>12.5</v>
          </cell>
          <cell r="F145">
            <v>91.13</v>
          </cell>
          <cell r="G145">
            <v>60.69</v>
          </cell>
          <cell r="H145">
            <v>151.82</v>
          </cell>
          <cell r="I145">
            <v>36452</v>
          </cell>
          <cell r="J145">
            <v>24276</v>
          </cell>
          <cell r="K145">
            <v>60728</v>
          </cell>
        </row>
        <row r="146">
          <cell r="A146" t="str">
            <v>PIDILITIND</v>
          </cell>
          <cell r="B146">
            <v>1000</v>
          </cell>
          <cell r="C146">
            <v>7.5</v>
          </cell>
          <cell r="D146">
            <v>5</v>
          </cell>
          <cell r="E146">
            <v>12.5</v>
          </cell>
          <cell r="F146">
            <v>53.67</v>
          </cell>
          <cell r="G146">
            <v>35.755000000000003</v>
          </cell>
          <cell r="H146">
            <v>89.424999999999997</v>
          </cell>
          <cell r="I146">
            <v>53670</v>
          </cell>
          <cell r="J146">
            <v>35755</v>
          </cell>
          <cell r="K146">
            <v>89425</v>
          </cell>
        </row>
        <row r="147">
          <cell r="A147" t="str">
            <v>OFSS</v>
          </cell>
          <cell r="B147">
            <v>150</v>
          </cell>
          <cell r="C147">
            <v>7.5</v>
          </cell>
          <cell r="D147">
            <v>5</v>
          </cell>
          <cell r="E147">
            <v>12.5</v>
          </cell>
          <cell r="F147">
            <v>260.10000000000002</v>
          </cell>
          <cell r="G147">
            <v>173.3475</v>
          </cell>
          <cell r="H147">
            <v>433.44749999999999</v>
          </cell>
          <cell r="I147">
            <v>39015</v>
          </cell>
          <cell r="J147">
            <v>26002.125</v>
          </cell>
          <cell r="K147">
            <v>65017.125</v>
          </cell>
        </row>
        <row r="148">
          <cell r="A148" t="str">
            <v>MRF</v>
          </cell>
          <cell r="B148">
            <v>15</v>
          </cell>
          <cell r="C148">
            <v>7.5</v>
          </cell>
          <cell r="D148">
            <v>5</v>
          </cell>
          <cell r="E148">
            <v>12.5</v>
          </cell>
          <cell r="F148">
            <v>2488.8000000000002</v>
          </cell>
          <cell r="G148">
            <v>1659.15</v>
          </cell>
          <cell r="H148">
            <v>4147.95</v>
          </cell>
          <cell r="I148">
            <v>37332</v>
          </cell>
          <cell r="J148">
            <v>24887.25</v>
          </cell>
          <cell r="K148">
            <v>62219.25</v>
          </cell>
        </row>
        <row r="149">
          <cell r="A149" t="str">
            <v>MCDOWELL-N</v>
          </cell>
          <cell r="B149">
            <v>250</v>
          </cell>
          <cell r="C149">
            <v>7.5</v>
          </cell>
          <cell r="D149">
            <v>5</v>
          </cell>
          <cell r="E149">
            <v>12.5</v>
          </cell>
          <cell r="F149">
            <v>185.99</v>
          </cell>
          <cell r="G149">
            <v>123.9825</v>
          </cell>
          <cell r="H149">
            <v>309.97250000000003</v>
          </cell>
          <cell r="I149">
            <v>46498</v>
          </cell>
          <cell r="J149">
            <v>30995.625</v>
          </cell>
          <cell r="K149">
            <v>77493.625</v>
          </cell>
        </row>
        <row r="150">
          <cell r="A150" t="str">
            <v>MARUTI</v>
          </cell>
          <cell r="B150">
            <v>125</v>
          </cell>
          <cell r="C150">
            <v>7.5</v>
          </cell>
          <cell r="D150">
            <v>5</v>
          </cell>
          <cell r="E150">
            <v>12.5</v>
          </cell>
          <cell r="F150">
            <v>312.16000000000003</v>
          </cell>
          <cell r="G150">
            <v>208.10499999999999</v>
          </cell>
          <cell r="H150">
            <v>520.26499999999999</v>
          </cell>
          <cell r="I150">
            <v>39020</v>
          </cell>
          <cell r="J150">
            <v>26013.125</v>
          </cell>
          <cell r="K150">
            <v>65033.125</v>
          </cell>
        </row>
        <row r="151">
          <cell r="A151" t="str">
            <v>M&amp;MFIN</v>
          </cell>
          <cell r="B151">
            <v>2000</v>
          </cell>
          <cell r="C151">
            <v>7.5</v>
          </cell>
          <cell r="D151">
            <v>5</v>
          </cell>
          <cell r="E151">
            <v>12.5</v>
          </cell>
          <cell r="F151">
            <v>24.97</v>
          </cell>
          <cell r="G151">
            <v>16.637499999999999</v>
          </cell>
          <cell r="H151">
            <v>41.607500000000002</v>
          </cell>
          <cell r="I151">
            <v>49940</v>
          </cell>
          <cell r="J151">
            <v>33275</v>
          </cell>
          <cell r="K151">
            <v>83215</v>
          </cell>
        </row>
        <row r="152">
          <cell r="A152" t="str">
            <v>M&amp;M</v>
          </cell>
          <cell r="B152">
            <v>400</v>
          </cell>
          <cell r="C152">
            <v>7.5</v>
          </cell>
          <cell r="D152">
            <v>5</v>
          </cell>
          <cell r="E152">
            <v>12.5</v>
          </cell>
          <cell r="F152">
            <v>104.02</v>
          </cell>
          <cell r="G152">
            <v>69.334999999999994</v>
          </cell>
          <cell r="H152">
            <v>173.35499999999999</v>
          </cell>
          <cell r="I152">
            <v>41608</v>
          </cell>
          <cell r="J152">
            <v>27734</v>
          </cell>
          <cell r="K152">
            <v>69342</v>
          </cell>
        </row>
        <row r="153">
          <cell r="A153" t="str">
            <v>JSWSTEEL</v>
          </cell>
          <cell r="B153">
            <v>600</v>
          </cell>
          <cell r="C153">
            <v>7.5</v>
          </cell>
          <cell r="D153">
            <v>5</v>
          </cell>
          <cell r="E153">
            <v>12.5</v>
          </cell>
          <cell r="F153">
            <v>104.02</v>
          </cell>
          <cell r="G153">
            <v>69.342500000000001</v>
          </cell>
          <cell r="H153">
            <v>173.36250000000001</v>
          </cell>
          <cell r="I153">
            <v>62412</v>
          </cell>
          <cell r="J153">
            <v>41605.5</v>
          </cell>
          <cell r="K153">
            <v>104017.5</v>
          </cell>
        </row>
        <row r="154">
          <cell r="A154" t="str">
            <v>ITC</v>
          </cell>
          <cell r="B154">
            <v>1600</v>
          </cell>
          <cell r="C154">
            <v>7.5</v>
          </cell>
          <cell r="D154">
            <v>5</v>
          </cell>
          <cell r="E154">
            <v>12.5</v>
          </cell>
          <cell r="F154">
            <v>27.39</v>
          </cell>
          <cell r="G154">
            <v>18.239999999999998</v>
          </cell>
          <cell r="H154">
            <v>45.63</v>
          </cell>
          <cell r="I154">
            <v>43824</v>
          </cell>
          <cell r="J154">
            <v>29184</v>
          </cell>
          <cell r="K154">
            <v>73008</v>
          </cell>
        </row>
        <row r="155">
          <cell r="A155" t="str">
            <v>IOC</v>
          </cell>
          <cell r="B155">
            <v>1200</v>
          </cell>
          <cell r="C155">
            <v>7.5</v>
          </cell>
          <cell r="D155">
            <v>5</v>
          </cell>
          <cell r="E155">
            <v>12.5</v>
          </cell>
          <cell r="F155">
            <v>31.62</v>
          </cell>
          <cell r="G155">
            <v>21.07</v>
          </cell>
          <cell r="H155">
            <v>52.69</v>
          </cell>
          <cell r="I155">
            <v>37944</v>
          </cell>
          <cell r="J155">
            <v>25284</v>
          </cell>
          <cell r="K155">
            <v>63228</v>
          </cell>
        </row>
        <row r="156">
          <cell r="A156" t="str">
            <v>IBULHSGFIN</v>
          </cell>
          <cell r="B156">
            <v>800</v>
          </cell>
          <cell r="C156">
            <v>7.5</v>
          </cell>
          <cell r="D156">
            <v>5</v>
          </cell>
          <cell r="E156">
            <v>12.5</v>
          </cell>
          <cell r="F156">
            <v>55.69</v>
          </cell>
          <cell r="G156">
            <v>37.087499999999999</v>
          </cell>
          <cell r="H156">
            <v>92.777500000000003</v>
          </cell>
          <cell r="I156">
            <v>44552</v>
          </cell>
          <cell r="J156">
            <v>29670</v>
          </cell>
          <cell r="K156">
            <v>74222</v>
          </cell>
        </row>
        <row r="157">
          <cell r="A157" t="str">
            <v>HEROMOTOCO</v>
          </cell>
          <cell r="B157">
            <v>200</v>
          </cell>
          <cell r="C157">
            <v>7.5</v>
          </cell>
          <cell r="D157">
            <v>5</v>
          </cell>
          <cell r="E157">
            <v>12.5</v>
          </cell>
          <cell r="F157">
            <v>234.83</v>
          </cell>
          <cell r="G157">
            <v>156.495</v>
          </cell>
          <cell r="H157">
            <v>391.32499999999999</v>
          </cell>
          <cell r="I157">
            <v>46966</v>
          </cell>
          <cell r="J157">
            <v>31299</v>
          </cell>
          <cell r="K157">
            <v>78265</v>
          </cell>
        </row>
        <row r="158">
          <cell r="A158" t="str">
            <v>HDFC</v>
          </cell>
          <cell r="B158">
            <v>400</v>
          </cell>
          <cell r="C158">
            <v>7.5</v>
          </cell>
          <cell r="D158">
            <v>5</v>
          </cell>
          <cell r="E158">
            <v>12.5</v>
          </cell>
          <cell r="F158">
            <v>94.45</v>
          </cell>
          <cell r="G158">
            <v>62.935000000000002</v>
          </cell>
          <cell r="H158">
            <v>157.38499999999999</v>
          </cell>
          <cell r="I158">
            <v>37780</v>
          </cell>
          <cell r="J158">
            <v>25174</v>
          </cell>
          <cell r="K158">
            <v>62954</v>
          </cell>
        </row>
        <row r="159">
          <cell r="A159" t="str">
            <v>HCLTECH</v>
          </cell>
          <cell r="B159">
            <v>600</v>
          </cell>
          <cell r="C159">
            <v>7.5</v>
          </cell>
          <cell r="D159">
            <v>5</v>
          </cell>
          <cell r="E159">
            <v>12.5</v>
          </cell>
          <cell r="F159">
            <v>54.88</v>
          </cell>
          <cell r="G159">
            <v>36.542499999999997</v>
          </cell>
          <cell r="H159">
            <v>91.422499999999999</v>
          </cell>
          <cell r="I159">
            <v>32928</v>
          </cell>
          <cell r="J159">
            <v>21925.5</v>
          </cell>
          <cell r="K159">
            <v>54853.5</v>
          </cell>
        </row>
        <row r="160">
          <cell r="A160" t="str">
            <v>GRASIM</v>
          </cell>
          <cell r="B160">
            <v>150</v>
          </cell>
          <cell r="C160">
            <v>7.5</v>
          </cell>
          <cell r="D160">
            <v>5</v>
          </cell>
          <cell r="E160">
            <v>12.5</v>
          </cell>
          <cell r="F160">
            <v>326.77</v>
          </cell>
          <cell r="G160">
            <v>217.83250000000001</v>
          </cell>
          <cell r="H160">
            <v>544.60249999999996</v>
          </cell>
          <cell r="I160">
            <v>49016</v>
          </cell>
          <cell r="J160">
            <v>32674.875</v>
          </cell>
          <cell r="K160">
            <v>81690.875</v>
          </cell>
        </row>
        <row r="161">
          <cell r="A161" t="str">
            <v>GLENMARK</v>
          </cell>
          <cell r="B161">
            <v>500</v>
          </cell>
          <cell r="C161">
            <v>7.5</v>
          </cell>
          <cell r="D161">
            <v>5</v>
          </cell>
          <cell r="E161">
            <v>12.5</v>
          </cell>
          <cell r="F161">
            <v>57.6</v>
          </cell>
          <cell r="G161">
            <v>38.36</v>
          </cell>
          <cell r="H161">
            <v>95.96</v>
          </cell>
          <cell r="I161">
            <v>28800</v>
          </cell>
          <cell r="J161">
            <v>19180</v>
          </cell>
          <cell r="K161">
            <v>47980</v>
          </cell>
        </row>
        <row r="162">
          <cell r="A162" t="str">
            <v>DRREDDY</v>
          </cell>
          <cell r="B162">
            <v>150</v>
          </cell>
          <cell r="C162">
            <v>7.5</v>
          </cell>
          <cell r="D162">
            <v>5</v>
          </cell>
          <cell r="E162">
            <v>12.5</v>
          </cell>
          <cell r="F162">
            <v>238.15</v>
          </cell>
          <cell r="G162">
            <v>158.73500000000001</v>
          </cell>
          <cell r="H162">
            <v>396.88499999999999</v>
          </cell>
          <cell r="I162">
            <v>35723</v>
          </cell>
          <cell r="J162">
            <v>23810.25</v>
          </cell>
          <cell r="K162">
            <v>59533.25</v>
          </cell>
        </row>
        <row r="163">
          <cell r="A163" t="str">
            <v>CONCOR</v>
          </cell>
          <cell r="B163">
            <v>400</v>
          </cell>
          <cell r="C163">
            <v>7.5</v>
          </cell>
          <cell r="D163">
            <v>5</v>
          </cell>
          <cell r="E163">
            <v>12.5</v>
          </cell>
          <cell r="F163">
            <v>101.81</v>
          </cell>
          <cell r="G163">
            <v>67.837500000000006</v>
          </cell>
          <cell r="H163">
            <v>169.64750000000001</v>
          </cell>
          <cell r="I163">
            <v>40724</v>
          </cell>
          <cell r="J163">
            <v>27135</v>
          </cell>
          <cell r="K163">
            <v>67859</v>
          </cell>
        </row>
        <row r="164">
          <cell r="A164" t="str">
            <v>COLPAL</v>
          </cell>
          <cell r="B164">
            <v>500</v>
          </cell>
          <cell r="C164">
            <v>7.5</v>
          </cell>
          <cell r="D164">
            <v>5</v>
          </cell>
          <cell r="E164">
            <v>12.5</v>
          </cell>
          <cell r="F164">
            <v>64.45</v>
          </cell>
          <cell r="G164">
            <v>42.924999999999997</v>
          </cell>
          <cell r="H164">
            <v>107.375</v>
          </cell>
          <cell r="I164">
            <v>32225</v>
          </cell>
          <cell r="J164">
            <v>21462.5</v>
          </cell>
          <cell r="K164">
            <v>53687.5</v>
          </cell>
        </row>
        <row r="165">
          <cell r="A165" t="str">
            <v>CESC</v>
          </cell>
          <cell r="B165">
            <v>1000</v>
          </cell>
          <cell r="C165">
            <v>7.5</v>
          </cell>
          <cell r="D165">
            <v>5</v>
          </cell>
          <cell r="E165">
            <v>12.5</v>
          </cell>
          <cell r="F165">
            <v>41.89</v>
          </cell>
          <cell r="G165">
            <v>27.91</v>
          </cell>
          <cell r="H165">
            <v>69.8</v>
          </cell>
          <cell r="I165">
            <v>41890</v>
          </cell>
          <cell r="J165">
            <v>27910</v>
          </cell>
          <cell r="K165">
            <v>69800</v>
          </cell>
        </row>
        <row r="166">
          <cell r="A166" t="str">
            <v>CENTURYTEX</v>
          </cell>
          <cell r="B166">
            <v>800</v>
          </cell>
          <cell r="C166">
            <v>7.5</v>
          </cell>
          <cell r="D166">
            <v>5</v>
          </cell>
          <cell r="E166">
            <v>12.5</v>
          </cell>
          <cell r="F166">
            <v>48.44</v>
          </cell>
          <cell r="G166">
            <v>32.29</v>
          </cell>
          <cell r="H166">
            <v>80.73</v>
          </cell>
          <cell r="I166">
            <v>38752</v>
          </cell>
          <cell r="J166">
            <v>25832</v>
          </cell>
          <cell r="K166">
            <v>64584</v>
          </cell>
        </row>
        <row r="167">
          <cell r="A167" t="str">
            <v>CEATLTD</v>
          </cell>
          <cell r="B167">
            <v>700</v>
          </cell>
          <cell r="C167">
            <v>7.5</v>
          </cell>
          <cell r="D167">
            <v>5</v>
          </cell>
          <cell r="E167">
            <v>12.5</v>
          </cell>
          <cell r="F167">
            <v>68.27</v>
          </cell>
          <cell r="G167">
            <v>45.502499999999998</v>
          </cell>
          <cell r="H167">
            <v>113.77249999999999</v>
          </cell>
          <cell r="I167">
            <v>47789</v>
          </cell>
          <cell r="J167">
            <v>31851.75</v>
          </cell>
          <cell r="K167">
            <v>79640.75</v>
          </cell>
        </row>
        <row r="168">
          <cell r="A168" t="str">
            <v>BRITANNIA</v>
          </cell>
          <cell r="B168">
            <v>200</v>
          </cell>
          <cell r="C168">
            <v>7.5</v>
          </cell>
          <cell r="D168">
            <v>5</v>
          </cell>
          <cell r="E168">
            <v>12.5</v>
          </cell>
          <cell r="F168">
            <v>210.76</v>
          </cell>
          <cell r="G168">
            <v>140.47</v>
          </cell>
          <cell r="H168">
            <v>351.23</v>
          </cell>
          <cell r="I168">
            <v>42152</v>
          </cell>
          <cell r="J168">
            <v>28094</v>
          </cell>
          <cell r="K168">
            <v>70246</v>
          </cell>
        </row>
        <row r="169">
          <cell r="A169" t="str">
            <v>BOSCHLTD</v>
          </cell>
          <cell r="B169">
            <v>25</v>
          </cell>
          <cell r="C169">
            <v>7.5</v>
          </cell>
          <cell r="D169">
            <v>5</v>
          </cell>
          <cell r="E169">
            <v>12.5</v>
          </cell>
          <cell r="F169">
            <v>1684.48</v>
          </cell>
          <cell r="G169">
            <v>1121.7650000000001</v>
          </cell>
          <cell r="H169">
            <v>2806.2449999999999</v>
          </cell>
          <cell r="I169">
            <v>42112</v>
          </cell>
          <cell r="J169">
            <v>28044.125</v>
          </cell>
          <cell r="K169">
            <v>70156.125</v>
          </cell>
        </row>
        <row r="170">
          <cell r="A170" t="str">
            <v>BATAINDIA</v>
          </cell>
          <cell r="B170">
            <v>1000</v>
          </cell>
          <cell r="C170">
            <v>7.5</v>
          </cell>
          <cell r="D170">
            <v>5</v>
          </cell>
          <cell r="E170">
            <v>12.5</v>
          </cell>
          <cell r="F170">
            <v>41.69</v>
          </cell>
          <cell r="G170">
            <v>27.774999999999999</v>
          </cell>
          <cell r="H170">
            <v>69.465000000000003</v>
          </cell>
          <cell r="I170">
            <v>41690</v>
          </cell>
          <cell r="J170">
            <v>27775</v>
          </cell>
          <cell r="K170">
            <v>69465</v>
          </cell>
        </row>
        <row r="171">
          <cell r="A171" t="str">
            <v>BAJFINANCE</v>
          </cell>
          <cell r="B171">
            <v>125</v>
          </cell>
          <cell r="C171">
            <v>7.5</v>
          </cell>
          <cell r="D171">
            <v>5</v>
          </cell>
          <cell r="E171">
            <v>12.5</v>
          </cell>
          <cell r="F171">
            <v>579.32000000000005</v>
          </cell>
          <cell r="G171">
            <v>386.185</v>
          </cell>
          <cell r="H171">
            <v>965.505</v>
          </cell>
          <cell r="I171">
            <v>72415</v>
          </cell>
          <cell r="J171">
            <v>48273.125</v>
          </cell>
          <cell r="K171">
            <v>120688.125</v>
          </cell>
        </row>
        <row r="172">
          <cell r="A172" t="str">
            <v>BAJAJ-AUTO</v>
          </cell>
          <cell r="B172">
            <v>200</v>
          </cell>
          <cell r="C172">
            <v>7.5</v>
          </cell>
          <cell r="D172">
            <v>5</v>
          </cell>
          <cell r="E172">
            <v>12.5</v>
          </cell>
          <cell r="F172">
            <v>199.38</v>
          </cell>
          <cell r="G172">
            <v>132.9075</v>
          </cell>
          <cell r="H172">
            <v>332.28750000000002</v>
          </cell>
          <cell r="I172">
            <v>39876</v>
          </cell>
          <cell r="J172">
            <v>26581.5</v>
          </cell>
          <cell r="K172">
            <v>66457.5</v>
          </cell>
        </row>
        <row r="173">
          <cell r="A173" t="str">
            <v>AXISBANK</v>
          </cell>
          <cell r="B173">
            <v>1000</v>
          </cell>
          <cell r="C173">
            <v>7.5</v>
          </cell>
          <cell r="D173">
            <v>5</v>
          </cell>
          <cell r="E173">
            <v>12.5</v>
          </cell>
          <cell r="F173">
            <v>40.380000000000003</v>
          </cell>
          <cell r="G173">
            <v>26.887499999999999</v>
          </cell>
          <cell r="H173">
            <v>67.267499999999998</v>
          </cell>
          <cell r="I173">
            <v>40380</v>
          </cell>
          <cell r="J173">
            <v>26887.5</v>
          </cell>
          <cell r="K173">
            <v>67267.5</v>
          </cell>
        </row>
        <row r="174">
          <cell r="A174" t="str">
            <v>APOLLOHOSP</v>
          </cell>
          <cell r="B174">
            <v>400</v>
          </cell>
          <cell r="C174">
            <v>7.5</v>
          </cell>
          <cell r="D174">
            <v>5</v>
          </cell>
          <cell r="E174">
            <v>12.5</v>
          </cell>
          <cell r="F174">
            <v>101.91</v>
          </cell>
          <cell r="G174">
            <v>67.932500000000005</v>
          </cell>
          <cell r="H174">
            <v>169.8425</v>
          </cell>
          <cell r="I174">
            <v>40764</v>
          </cell>
          <cell r="J174">
            <v>27173</v>
          </cell>
          <cell r="K174">
            <v>67937</v>
          </cell>
        </row>
        <row r="175">
          <cell r="A175" t="str">
            <v>AMARAJABAT</v>
          </cell>
          <cell r="B175">
            <v>600</v>
          </cell>
          <cell r="C175">
            <v>7.5</v>
          </cell>
          <cell r="D175">
            <v>5</v>
          </cell>
          <cell r="E175">
            <v>12.5</v>
          </cell>
          <cell r="F175">
            <v>62.94</v>
          </cell>
          <cell r="G175">
            <v>41.94</v>
          </cell>
          <cell r="H175">
            <v>104.88</v>
          </cell>
          <cell r="I175">
            <v>37764</v>
          </cell>
          <cell r="J175">
            <v>25164</v>
          </cell>
          <cell r="K175">
            <v>62928</v>
          </cell>
        </row>
        <row r="176">
          <cell r="A176" t="str">
            <v>AJANTPHARM</v>
          </cell>
          <cell r="B176">
            <v>400</v>
          </cell>
          <cell r="C176">
            <v>7.5</v>
          </cell>
          <cell r="D176">
            <v>5</v>
          </cell>
          <cell r="E176">
            <v>12.5</v>
          </cell>
          <cell r="F176">
            <v>119.33</v>
          </cell>
          <cell r="G176">
            <v>79.474999999999994</v>
          </cell>
          <cell r="H176">
            <v>198.80500000000001</v>
          </cell>
          <cell r="I176">
            <v>47732</v>
          </cell>
          <cell r="J176">
            <v>31790</v>
          </cell>
          <cell r="K176">
            <v>79522</v>
          </cell>
        </row>
        <row r="177">
          <cell r="A177" t="str">
            <v>ACC</v>
          </cell>
          <cell r="B177">
            <v>375</v>
          </cell>
          <cell r="C177">
            <v>7.5</v>
          </cell>
          <cell r="D177">
            <v>5</v>
          </cell>
          <cell r="E177">
            <v>12.5</v>
          </cell>
          <cell r="F177">
            <v>116.31</v>
          </cell>
          <cell r="G177">
            <v>77.527500000000003</v>
          </cell>
          <cell r="H177">
            <v>193.83750000000001</v>
          </cell>
          <cell r="I177">
            <v>43616</v>
          </cell>
          <cell r="J177">
            <v>29072.8125</v>
          </cell>
          <cell r="K177">
            <v>72688.8125</v>
          </cell>
        </row>
        <row r="178">
          <cell r="A178" t="str">
            <v>ABIRLANUVO</v>
          </cell>
          <cell r="B178">
            <v>250</v>
          </cell>
          <cell r="C178">
            <v>7.5</v>
          </cell>
          <cell r="D178">
            <v>5</v>
          </cell>
          <cell r="E178">
            <v>12.5</v>
          </cell>
          <cell r="F178">
            <v>79.45</v>
          </cell>
          <cell r="G178">
            <v>52.935000000000002</v>
          </cell>
          <cell r="H178">
            <v>132.38499999999999</v>
          </cell>
          <cell r="I178">
            <v>19863</v>
          </cell>
          <cell r="J178">
            <v>13233.75</v>
          </cell>
          <cell r="K178">
            <v>33096.75</v>
          </cell>
        </row>
        <row r="179">
          <cell r="A179" t="str">
            <v>YESBANK</v>
          </cell>
          <cell r="B179">
            <v>700</v>
          </cell>
          <cell r="C179">
            <v>7.49</v>
          </cell>
          <cell r="D179">
            <v>5</v>
          </cell>
          <cell r="E179">
            <v>12.49</v>
          </cell>
          <cell r="F179">
            <v>79.75</v>
          </cell>
          <cell r="G179">
            <v>53.167499999999997</v>
          </cell>
          <cell r="H179">
            <v>132.91749999999999</v>
          </cell>
          <cell r="I179">
            <v>55825</v>
          </cell>
          <cell r="J179">
            <v>37217.25</v>
          </cell>
          <cell r="K179">
            <v>93042.25</v>
          </cell>
        </row>
        <row r="180">
          <cell r="A180" t="str">
            <v>FTSE100</v>
          </cell>
          <cell r="B180">
            <v>75</v>
          </cell>
          <cell r="C180">
            <v>5</v>
          </cell>
          <cell r="D180">
            <v>5</v>
          </cell>
          <cell r="E180">
            <v>10</v>
          </cell>
          <cell r="F180">
            <v>314.39</v>
          </cell>
          <cell r="G180">
            <v>314.3</v>
          </cell>
          <cell r="H180">
            <v>628.69000000000005</v>
          </cell>
          <cell r="I180">
            <v>23579</v>
          </cell>
          <cell r="J180">
            <v>23572.5</v>
          </cell>
          <cell r="K180">
            <v>47151.5</v>
          </cell>
        </row>
        <row r="181">
          <cell r="A181" t="str">
            <v>S&amp;P500</v>
          </cell>
          <cell r="B181">
            <v>250</v>
          </cell>
          <cell r="C181">
            <v>5</v>
          </cell>
          <cell r="D181">
            <v>3</v>
          </cell>
          <cell r="E181">
            <v>8</v>
          </cell>
          <cell r="F181">
            <v>105.7</v>
          </cell>
          <cell r="G181">
            <v>63.412500000000001</v>
          </cell>
          <cell r="H181">
            <v>169.11250000000001</v>
          </cell>
          <cell r="I181">
            <v>26425</v>
          </cell>
          <cell r="J181">
            <v>15853.125</v>
          </cell>
          <cell r="K181">
            <v>42278.125</v>
          </cell>
        </row>
        <row r="182">
          <cell r="A182" t="str">
            <v>NIFTYPSE</v>
          </cell>
          <cell r="B182">
            <v>150</v>
          </cell>
          <cell r="C182">
            <v>5</v>
          </cell>
          <cell r="D182">
            <v>3</v>
          </cell>
          <cell r="E182">
            <v>8</v>
          </cell>
          <cell r="F182">
            <v>151.44999999999999</v>
          </cell>
          <cell r="G182">
            <v>90.801000000000002</v>
          </cell>
          <cell r="H182">
            <v>242.251</v>
          </cell>
          <cell r="I182">
            <v>22718</v>
          </cell>
          <cell r="J182">
            <v>13620.15</v>
          </cell>
          <cell r="K182">
            <v>36338.15</v>
          </cell>
        </row>
        <row r="183">
          <cell r="A183" t="str">
            <v>NIFTYMID50</v>
          </cell>
          <cell r="B183">
            <v>150</v>
          </cell>
          <cell r="C183">
            <v>5</v>
          </cell>
          <cell r="D183">
            <v>3</v>
          </cell>
          <cell r="E183">
            <v>8</v>
          </cell>
          <cell r="F183">
            <v>169.9</v>
          </cell>
          <cell r="G183">
            <v>101.9025</v>
          </cell>
          <cell r="H183">
            <v>271.80250000000001</v>
          </cell>
          <cell r="I183">
            <v>25485</v>
          </cell>
          <cell r="J183">
            <v>15285.375</v>
          </cell>
          <cell r="K183">
            <v>40770.375</v>
          </cell>
        </row>
        <row r="184">
          <cell r="A184" t="str">
            <v>NIFTYIT</v>
          </cell>
          <cell r="B184">
            <v>45</v>
          </cell>
          <cell r="C184">
            <v>5</v>
          </cell>
          <cell r="D184">
            <v>3</v>
          </cell>
          <cell r="E184">
            <v>8</v>
          </cell>
          <cell r="F184">
            <v>573.33000000000004</v>
          </cell>
          <cell r="G184">
            <v>343.5</v>
          </cell>
          <cell r="H184">
            <v>916.83</v>
          </cell>
          <cell r="I184">
            <v>25800</v>
          </cell>
          <cell r="J184">
            <v>15457.5</v>
          </cell>
          <cell r="K184">
            <v>41257.5</v>
          </cell>
        </row>
        <row r="185">
          <cell r="A185" t="str">
            <v>NIFTYINFRA</v>
          </cell>
          <cell r="B185">
            <v>150</v>
          </cell>
          <cell r="C185">
            <v>5</v>
          </cell>
          <cell r="D185">
            <v>3</v>
          </cell>
          <cell r="E185">
            <v>8</v>
          </cell>
          <cell r="F185">
            <v>139.15</v>
          </cell>
          <cell r="G185">
            <v>83.419499999999999</v>
          </cell>
          <cell r="H185">
            <v>222.56950000000001</v>
          </cell>
          <cell r="I185">
            <v>20873</v>
          </cell>
          <cell r="J185">
            <v>12512.924999999999</v>
          </cell>
          <cell r="K185">
            <v>33385.925000000003</v>
          </cell>
        </row>
        <row r="186">
          <cell r="A186" t="str">
            <v>NIFTY</v>
          </cell>
          <cell r="B186">
            <v>75</v>
          </cell>
          <cell r="C186">
            <v>5</v>
          </cell>
          <cell r="D186">
            <v>3</v>
          </cell>
          <cell r="E186">
            <v>8</v>
          </cell>
          <cell r="F186">
            <v>414.23</v>
          </cell>
          <cell r="G186">
            <v>248.49449999999999</v>
          </cell>
          <cell r="H186">
            <v>662.72450000000003</v>
          </cell>
          <cell r="I186">
            <v>31067</v>
          </cell>
          <cell r="J186">
            <v>18637.087500000001</v>
          </cell>
          <cell r="K186">
            <v>49704.087500000001</v>
          </cell>
        </row>
        <row r="187">
          <cell r="A187" t="str">
            <v>DJIA</v>
          </cell>
          <cell r="B187">
            <v>30</v>
          </cell>
          <cell r="C187">
            <v>5</v>
          </cell>
          <cell r="D187">
            <v>3</v>
          </cell>
          <cell r="E187">
            <v>8</v>
          </cell>
          <cell r="F187">
            <v>898.33</v>
          </cell>
          <cell r="G187">
            <v>538.95000000000005</v>
          </cell>
          <cell r="H187">
            <v>1437.28</v>
          </cell>
          <cell r="I187">
            <v>26950</v>
          </cell>
          <cell r="J187">
            <v>16168.5</v>
          </cell>
          <cell r="K187">
            <v>43118.5</v>
          </cell>
        </row>
        <row r="188">
          <cell r="A188" t="str">
            <v>BANKNIFTY</v>
          </cell>
          <cell r="B188">
            <v>30</v>
          </cell>
          <cell r="C188">
            <v>5</v>
          </cell>
          <cell r="D188">
            <v>3</v>
          </cell>
          <cell r="E188">
            <v>8</v>
          </cell>
          <cell r="F188">
            <v>894.7</v>
          </cell>
          <cell r="G188">
            <v>536.80200000000002</v>
          </cell>
          <cell r="H188">
            <v>1431.502</v>
          </cell>
          <cell r="I188">
            <v>26841</v>
          </cell>
          <cell r="J188">
            <v>16104.06</v>
          </cell>
          <cell r="K188">
            <v>42945.06</v>
          </cell>
        </row>
        <row r="189">
          <cell r="A189" t="str">
            <v>EURINR</v>
          </cell>
          <cell r="B189">
            <v>1</v>
          </cell>
          <cell r="K189">
            <v>1000</v>
          </cell>
        </row>
        <row r="190">
          <cell r="A190" t="str">
            <v>GBPINR</v>
          </cell>
          <cell r="B190">
            <v>1</v>
          </cell>
          <cell r="K190">
            <v>1000</v>
          </cell>
        </row>
        <row r="191">
          <cell r="A191" t="str">
            <v>JPYINR</v>
          </cell>
          <cell r="B191">
            <v>1</v>
          </cell>
          <cell r="K191">
            <v>1000</v>
          </cell>
        </row>
        <row r="192">
          <cell r="A192" t="str">
            <v>USDINR</v>
          </cell>
          <cell r="B192">
            <v>1</v>
          </cell>
          <cell r="K192">
            <v>1000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KNIFTY-I"/>
    </sheetNames>
    <sheetDataSet>
      <sheetData sheetId="0">
        <row r="294">
          <cell r="B294">
            <v>42440</v>
          </cell>
        </row>
        <row r="302">
          <cell r="B302">
            <v>42452</v>
          </cell>
          <cell r="D302">
            <v>15952.6504</v>
          </cell>
          <cell r="E302">
            <v>15963</v>
          </cell>
          <cell r="F302">
            <v>15810</v>
          </cell>
          <cell r="G302">
            <v>15936.200199999999</v>
          </cell>
          <cell r="I302">
            <v>2820750</v>
          </cell>
        </row>
        <row r="303">
          <cell r="B303">
            <v>42457</v>
          </cell>
          <cell r="D303">
            <v>15890.0996</v>
          </cell>
          <cell r="E303">
            <v>15909.5996</v>
          </cell>
          <cell r="F303">
            <v>15569.950199999999</v>
          </cell>
          <cell r="G303">
            <v>15666.700199999999</v>
          </cell>
          <cell r="I303">
            <v>3251880</v>
          </cell>
        </row>
        <row r="304">
          <cell r="B304">
            <v>42458</v>
          </cell>
          <cell r="D304">
            <v>15640</v>
          </cell>
          <cell r="E304">
            <v>15827</v>
          </cell>
          <cell r="F304">
            <v>15622.950199999999</v>
          </cell>
          <cell r="G304">
            <v>15714.5</v>
          </cell>
          <cell r="I304">
            <v>3241470</v>
          </cell>
        </row>
        <row r="305">
          <cell r="B305">
            <v>42459</v>
          </cell>
          <cell r="D305">
            <v>15879</v>
          </cell>
          <cell r="E305">
            <v>16179</v>
          </cell>
          <cell r="F305">
            <v>15784.25</v>
          </cell>
          <cell r="G305">
            <v>16147.4004</v>
          </cell>
          <cell r="I305">
            <v>3788970</v>
          </cell>
        </row>
        <row r="306">
          <cell r="B306">
            <v>42460</v>
          </cell>
          <cell r="D306">
            <v>16100</v>
          </cell>
          <cell r="E306">
            <v>16293.950199999999</v>
          </cell>
          <cell r="F306">
            <v>16079.5996</v>
          </cell>
          <cell r="G306">
            <v>16148.5996</v>
          </cell>
          <cell r="I306">
            <v>3388920</v>
          </cell>
        </row>
        <row r="307">
          <cell r="B307">
            <v>42461</v>
          </cell>
          <cell r="D307">
            <v>16200</v>
          </cell>
          <cell r="E307">
            <v>16320</v>
          </cell>
          <cell r="F307">
            <v>16088</v>
          </cell>
          <cell r="G307">
            <v>16253.1504</v>
          </cell>
          <cell r="I307">
            <v>2962320</v>
          </cell>
        </row>
        <row r="308">
          <cell r="B308">
            <v>42464</v>
          </cell>
          <cell r="D308">
            <v>16306.950199999999</v>
          </cell>
          <cell r="E308">
            <v>16341.6504</v>
          </cell>
          <cell r="F308">
            <v>16126</v>
          </cell>
          <cell r="G308">
            <v>16257.9004</v>
          </cell>
          <cell r="I308">
            <v>2216460</v>
          </cell>
        </row>
        <row r="309">
          <cell r="B309">
            <v>42465</v>
          </cell>
          <cell r="D309">
            <v>16143</v>
          </cell>
          <cell r="E309">
            <v>16261.549800000001</v>
          </cell>
          <cell r="F309">
            <v>15692.200199999999</v>
          </cell>
          <cell r="G309">
            <v>15732.5996</v>
          </cell>
          <cell r="I309">
            <v>5677440</v>
          </cell>
        </row>
        <row r="310">
          <cell r="B310">
            <v>42466</v>
          </cell>
          <cell r="D310">
            <v>15750</v>
          </cell>
          <cell r="E310">
            <v>15819</v>
          </cell>
          <cell r="F310">
            <v>15621</v>
          </cell>
          <cell r="G310">
            <v>15706.049800000001</v>
          </cell>
          <cell r="I310">
            <v>2950830</v>
          </cell>
        </row>
        <row r="311">
          <cell r="B311">
            <v>42467</v>
          </cell>
          <cell r="D311">
            <v>15755.9004</v>
          </cell>
          <cell r="E311">
            <v>15795.4004</v>
          </cell>
          <cell r="F311">
            <v>15509</v>
          </cell>
          <cell r="G311">
            <v>15591.4004</v>
          </cell>
          <cell r="I311">
            <v>3891840</v>
          </cell>
        </row>
        <row r="312">
          <cell r="B312">
            <v>42468</v>
          </cell>
          <cell r="D312">
            <v>15568</v>
          </cell>
          <cell r="E312">
            <v>15720</v>
          </cell>
          <cell r="F312">
            <v>15543.5996</v>
          </cell>
          <cell r="G312">
            <v>15652.0996</v>
          </cell>
          <cell r="I312">
            <v>2564220</v>
          </cell>
        </row>
        <row r="313">
          <cell r="B313">
            <v>42471</v>
          </cell>
          <cell r="D313">
            <v>15682</v>
          </cell>
          <cell r="E313">
            <v>15939.8496</v>
          </cell>
          <cell r="F313">
            <v>15480</v>
          </cell>
          <cell r="G313">
            <v>15896.049800000001</v>
          </cell>
          <cell r="I313">
            <v>4071570</v>
          </cell>
        </row>
        <row r="314">
          <cell r="B314">
            <v>42472</v>
          </cell>
          <cell r="D314">
            <v>15821.049800000001</v>
          </cell>
          <cell r="E314">
            <v>15998</v>
          </cell>
          <cell r="F314">
            <v>15821.049800000001</v>
          </cell>
          <cell r="G314">
            <v>15936.75</v>
          </cell>
          <cell r="I314">
            <v>2943120</v>
          </cell>
        </row>
        <row r="315">
          <cell r="B315">
            <v>42473</v>
          </cell>
          <cell r="D315">
            <v>16131</v>
          </cell>
          <cell r="E315">
            <v>16416</v>
          </cell>
          <cell r="F315">
            <v>16085.0996</v>
          </cell>
          <cell r="G315">
            <v>16332.75</v>
          </cell>
          <cell r="I315">
            <v>3469800</v>
          </cell>
        </row>
        <row r="316">
          <cell r="B316">
            <v>42478</v>
          </cell>
          <cell r="D316">
            <v>16360</v>
          </cell>
          <cell r="E316">
            <v>16400</v>
          </cell>
          <cell r="F316">
            <v>16000</v>
          </cell>
          <cell r="G316">
            <v>16237.3496</v>
          </cell>
          <cell r="I316">
            <v>2924100</v>
          </cell>
        </row>
        <row r="317">
          <cell r="B317">
            <v>42480</v>
          </cell>
          <cell r="D317">
            <v>16315.0996</v>
          </cell>
          <cell r="E317">
            <v>16415</v>
          </cell>
          <cell r="F317">
            <v>16169</v>
          </cell>
          <cell r="G317">
            <v>16385.650399999999</v>
          </cell>
          <cell r="I317">
            <v>3365160</v>
          </cell>
        </row>
        <row r="318">
          <cell r="B318">
            <v>42481</v>
          </cell>
          <cell r="D318">
            <v>16576</v>
          </cell>
          <cell r="E318">
            <v>16770</v>
          </cell>
          <cell r="F318">
            <v>16564.900399999999</v>
          </cell>
          <cell r="G318">
            <v>16640</v>
          </cell>
          <cell r="I318">
            <v>4088910</v>
          </cell>
        </row>
        <row r="319">
          <cell r="B319">
            <v>42482</v>
          </cell>
          <cell r="D319">
            <v>16513</v>
          </cell>
          <cell r="E319">
            <v>16758</v>
          </cell>
          <cell r="F319">
            <v>16466.650399999999</v>
          </cell>
          <cell r="G319">
            <v>16727.849600000001</v>
          </cell>
          <cell r="I319">
            <v>3250200</v>
          </cell>
        </row>
        <row r="320">
          <cell r="B320">
            <v>42485</v>
          </cell>
          <cell r="D320">
            <v>16767</v>
          </cell>
          <cell r="E320">
            <v>16782</v>
          </cell>
          <cell r="F320">
            <v>16591.300800000001</v>
          </cell>
          <cell r="G320">
            <v>16689.449199999999</v>
          </cell>
          <cell r="I320">
            <v>2483940</v>
          </cell>
        </row>
        <row r="321">
          <cell r="B321">
            <v>42486</v>
          </cell>
          <cell r="D321">
            <v>16650</v>
          </cell>
          <cell r="E321">
            <v>17069</v>
          </cell>
          <cell r="F321">
            <v>16575.050800000001</v>
          </cell>
          <cell r="G321">
            <v>17028</v>
          </cell>
          <cell r="I321">
            <v>4119930</v>
          </cell>
        </row>
        <row r="322">
          <cell r="B322">
            <v>42487</v>
          </cell>
          <cell r="D322">
            <v>16910</v>
          </cell>
          <cell r="E322">
            <v>17005.099600000001</v>
          </cell>
          <cell r="F322">
            <v>16850</v>
          </cell>
          <cell r="G322">
            <v>16897.75</v>
          </cell>
          <cell r="I322">
            <v>2736870</v>
          </cell>
        </row>
        <row r="323">
          <cell r="B323">
            <v>42488</v>
          </cell>
          <cell r="D323">
            <v>16860</v>
          </cell>
          <cell r="E323">
            <v>17036.449199999999</v>
          </cell>
          <cell r="F323">
            <v>16706</v>
          </cell>
          <cell r="G323">
            <v>16726.099600000001</v>
          </cell>
          <cell r="I323">
            <v>3682410</v>
          </cell>
        </row>
        <row r="324">
          <cell r="B324">
            <v>42489</v>
          </cell>
          <cell r="D324">
            <v>16774.900399999999</v>
          </cell>
          <cell r="E324">
            <v>16946.25</v>
          </cell>
          <cell r="F324">
            <v>16560.900399999999</v>
          </cell>
          <cell r="G324">
            <v>16888.349600000001</v>
          </cell>
          <cell r="I324">
            <v>4934850</v>
          </cell>
        </row>
        <row r="325">
          <cell r="B325">
            <v>42492</v>
          </cell>
          <cell r="D325">
            <v>16720.449199999999</v>
          </cell>
          <cell r="E325">
            <v>16756.25</v>
          </cell>
          <cell r="F325">
            <v>16590.599600000001</v>
          </cell>
          <cell r="G325">
            <v>16620.800800000001</v>
          </cell>
          <cell r="I325">
            <v>3177060</v>
          </cell>
        </row>
        <row r="326">
          <cell r="B326">
            <v>42493</v>
          </cell>
          <cell r="D326">
            <v>16657</v>
          </cell>
          <cell r="E326">
            <v>16820</v>
          </cell>
          <cell r="F326">
            <v>16428.199199999999</v>
          </cell>
          <cell r="G326">
            <v>16466.25</v>
          </cell>
          <cell r="I326">
            <v>3893100</v>
          </cell>
        </row>
        <row r="327">
          <cell r="B327">
            <v>42494</v>
          </cell>
          <cell r="D327">
            <v>16410</v>
          </cell>
          <cell r="E327">
            <v>16550</v>
          </cell>
          <cell r="F327">
            <v>16333.0996</v>
          </cell>
          <cell r="G327">
            <v>16360.700199999999</v>
          </cell>
          <cell r="I327">
            <v>3055260</v>
          </cell>
        </row>
        <row r="328">
          <cell r="B328">
            <v>42495</v>
          </cell>
          <cell r="D328">
            <v>16350.3496</v>
          </cell>
          <cell r="E328">
            <v>16495</v>
          </cell>
          <cell r="F328">
            <v>16280</v>
          </cell>
          <cell r="G328">
            <v>16384.449199999999</v>
          </cell>
          <cell r="I328">
            <v>3124980</v>
          </cell>
        </row>
        <row r="329">
          <cell r="B329">
            <v>42496</v>
          </cell>
          <cell r="D329">
            <v>16343</v>
          </cell>
          <cell r="E329">
            <v>16423</v>
          </cell>
          <cell r="F329">
            <v>16261</v>
          </cell>
          <cell r="G329">
            <v>16378.700199999999</v>
          </cell>
          <cell r="I329">
            <v>2259030</v>
          </cell>
        </row>
        <row r="330">
          <cell r="B330">
            <v>42499</v>
          </cell>
          <cell r="D330">
            <v>16407.650399999999</v>
          </cell>
          <cell r="E330">
            <v>16794.949199999999</v>
          </cell>
          <cell r="F330">
            <v>16407.650399999999</v>
          </cell>
          <cell r="G330">
            <v>16772</v>
          </cell>
          <cell r="I330">
            <v>2953290</v>
          </cell>
        </row>
        <row r="331">
          <cell r="B331">
            <v>42500</v>
          </cell>
          <cell r="D331">
            <v>16772.349600000001</v>
          </cell>
          <cell r="E331">
            <v>16885</v>
          </cell>
          <cell r="F331">
            <v>16685.75</v>
          </cell>
          <cell r="G331">
            <v>16853.800800000001</v>
          </cell>
          <cell r="I331">
            <v>2592240</v>
          </cell>
        </row>
        <row r="332">
          <cell r="B332">
            <v>42501</v>
          </cell>
          <cell r="D332">
            <v>16573.199199999999</v>
          </cell>
          <cell r="E332">
            <v>16928</v>
          </cell>
          <cell r="F332">
            <v>16544.5</v>
          </cell>
          <cell r="G332">
            <v>16785.25</v>
          </cell>
          <cell r="I332">
            <v>4146630</v>
          </cell>
        </row>
        <row r="333">
          <cell r="B333">
            <v>42502</v>
          </cell>
          <cell r="D333">
            <v>16890.5</v>
          </cell>
          <cell r="E333">
            <v>17019</v>
          </cell>
          <cell r="F333">
            <v>16820.25</v>
          </cell>
          <cell r="G333">
            <v>16986.400399999999</v>
          </cell>
          <cell r="I333">
            <v>3533340</v>
          </cell>
        </row>
        <row r="334">
          <cell r="B334">
            <v>42503</v>
          </cell>
          <cell r="D334">
            <v>16923</v>
          </cell>
          <cell r="E334">
            <v>16959.949199999999</v>
          </cell>
          <cell r="F334">
            <v>16600.5</v>
          </cell>
          <cell r="G334">
            <v>16738.099600000001</v>
          </cell>
          <cell r="I334">
            <v>3232890</v>
          </cell>
        </row>
        <row r="335">
          <cell r="B335">
            <v>42506</v>
          </cell>
          <cell r="D335">
            <v>16753.349600000001</v>
          </cell>
          <cell r="E335">
            <v>16833</v>
          </cell>
          <cell r="F335">
            <v>16450.050800000001</v>
          </cell>
          <cell r="G335">
            <v>16788.650399999999</v>
          </cell>
          <cell r="I335">
            <v>4433880</v>
          </cell>
        </row>
        <row r="336">
          <cell r="B336">
            <v>42507</v>
          </cell>
          <cell r="D336">
            <v>16869</v>
          </cell>
          <cell r="E336">
            <v>16942</v>
          </cell>
          <cell r="F336">
            <v>16766.699199999999</v>
          </cell>
          <cell r="G336">
            <v>16812</v>
          </cell>
          <cell r="I336">
            <v>3124080</v>
          </cell>
        </row>
        <row r="337">
          <cell r="B337">
            <v>42508</v>
          </cell>
          <cell r="D337">
            <v>16675</v>
          </cell>
          <cell r="E337">
            <v>16798</v>
          </cell>
          <cell r="F337">
            <v>16575</v>
          </cell>
          <cell r="G337">
            <v>16761.449199999999</v>
          </cell>
          <cell r="I337">
            <v>3098340</v>
          </cell>
        </row>
        <row r="338">
          <cell r="B338">
            <v>42509</v>
          </cell>
          <cell r="D338">
            <v>17282.349600000001</v>
          </cell>
          <cell r="E338">
            <v>17282.349600000001</v>
          </cell>
          <cell r="F338">
            <v>16538</v>
          </cell>
          <cell r="G338">
            <v>16563.650399999999</v>
          </cell>
          <cell r="I338">
            <v>2744220</v>
          </cell>
        </row>
        <row r="339">
          <cell r="B339">
            <v>42510</v>
          </cell>
          <cell r="D339">
            <v>16598</v>
          </cell>
          <cell r="E339">
            <v>16668.800800000001</v>
          </cell>
          <cell r="F339">
            <v>16475.050800000001</v>
          </cell>
          <cell r="G339">
            <v>16505.849600000001</v>
          </cell>
          <cell r="I339">
            <v>2714790</v>
          </cell>
        </row>
        <row r="340">
          <cell r="B340">
            <v>42513</v>
          </cell>
          <cell r="D340">
            <v>16625</v>
          </cell>
          <cell r="E340">
            <v>16638</v>
          </cell>
          <cell r="F340">
            <v>16390</v>
          </cell>
          <cell r="G340">
            <v>16429.400399999999</v>
          </cell>
          <cell r="I340">
            <v>3024450</v>
          </cell>
        </row>
        <row r="341">
          <cell r="B341">
            <v>42514</v>
          </cell>
          <cell r="D341">
            <v>16424.699199999999</v>
          </cell>
          <cell r="E341">
            <v>16523.949199999999</v>
          </cell>
          <cell r="F341">
            <v>16379</v>
          </cell>
          <cell r="G341">
            <v>16488.099600000001</v>
          </cell>
          <cell r="I341">
            <v>2399040</v>
          </cell>
        </row>
        <row r="342">
          <cell r="B342">
            <v>42515</v>
          </cell>
          <cell r="D342">
            <v>16675</v>
          </cell>
          <cell r="E342">
            <v>17045</v>
          </cell>
          <cell r="F342">
            <v>16610.050800000001</v>
          </cell>
          <cell r="G342">
            <v>17013.599600000001</v>
          </cell>
          <cell r="I342">
            <v>3827670</v>
          </cell>
        </row>
        <row r="343">
          <cell r="B343">
            <v>42516</v>
          </cell>
          <cell r="D343">
            <v>17065</v>
          </cell>
          <cell r="E343">
            <v>17378.75</v>
          </cell>
          <cell r="F343">
            <v>16968.550800000001</v>
          </cell>
          <cell r="G343">
            <v>17333.199199999999</v>
          </cell>
          <cell r="I343">
            <v>3178650</v>
          </cell>
        </row>
        <row r="344">
          <cell r="B344">
            <v>42517</v>
          </cell>
          <cell r="D344">
            <v>17310</v>
          </cell>
          <cell r="E344">
            <v>17533</v>
          </cell>
          <cell r="F344">
            <v>17310</v>
          </cell>
          <cell r="G344">
            <v>17491.400399999999</v>
          </cell>
          <cell r="I344">
            <v>3021570</v>
          </cell>
        </row>
        <row r="345">
          <cell r="B345">
            <v>42520</v>
          </cell>
          <cell r="D345">
            <v>17540</v>
          </cell>
          <cell r="E345">
            <v>17657.949199999999</v>
          </cell>
          <cell r="F345">
            <v>17466.099600000001</v>
          </cell>
          <cell r="G345">
            <v>17507.650399999999</v>
          </cell>
          <cell r="I345">
            <v>2119470</v>
          </cell>
        </row>
        <row r="346">
          <cell r="B346">
            <v>42521</v>
          </cell>
          <cell r="D346">
            <v>17584.699199999999</v>
          </cell>
          <cell r="E346">
            <v>17640.050800000001</v>
          </cell>
          <cell r="F346">
            <v>17445.300800000001</v>
          </cell>
          <cell r="G346">
            <v>17612.550800000001</v>
          </cell>
          <cell r="I346">
            <v>2710410</v>
          </cell>
        </row>
        <row r="347">
          <cell r="B347">
            <v>42522</v>
          </cell>
          <cell r="D347">
            <v>17631.099600000001</v>
          </cell>
          <cell r="E347">
            <v>17644</v>
          </cell>
          <cell r="F347">
            <v>17381.099600000001</v>
          </cell>
          <cell r="G347">
            <v>17419.699199999999</v>
          </cell>
          <cell r="I347">
            <v>3022860</v>
          </cell>
        </row>
        <row r="348">
          <cell r="B348">
            <v>42523</v>
          </cell>
          <cell r="D348">
            <v>17400</v>
          </cell>
          <cell r="E348">
            <v>17603.550800000001</v>
          </cell>
          <cell r="F348">
            <v>17334</v>
          </cell>
          <cell r="G348">
            <v>17573.650399999999</v>
          </cell>
          <cell r="I348">
            <v>2882640</v>
          </cell>
        </row>
        <row r="349">
          <cell r="B349">
            <v>42524</v>
          </cell>
          <cell r="D349">
            <v>17624.400399999999</v>
          </cell>
          <cell r="E349">
            <v>17738.5</v>
          </cell>
          <cell r="F349">
            <v>17615</v>
          </cell>
          <cell r="G349">
            <v>17655.849600000001</v>
          </cell>
          <cell r="I349">
            <v>2316780</v>
          </cell>
        </row>
        <row r="350">
          <cell r="B350">
            <v>42527</v>
          </cell>
          <cell r="D350">
            <v>17675.050800000001</v>
          </cell>
          <cell r="E350">
            <v>17745</v>
          </cell>
          <cell r="F350">
            <v>17620.199199999999</v>
          </cell>
          <cell r="G350">
            <v>17671.449199999999</v>
          </cell>
          <cell r="I350">
            <v>2284440</v>
          </cell>
        </row>
        <row r="351">
          <cell r="B351">
            <v>42528</v>
          </cell>
          <cell r="D351">
            <v>17773.150399999999</v>
          </cell>
          <cell r="E351">
            <v>17949</v>
          </cell>
          <cell r="F351">
            <v>17660.5</v>
          </cell>
          <cell r="G351">
            <v>17893.400399999999</v>
          </cell>
          <cell r="I351">
            <v>4185630</v>
          </cell>
        </row>
        <row r="352">
          <cell r="B352">
            <v>42529</v>
          </cell>
          <cell r="D352">
            <v>17907</v>
          </cell>
          <cell r="E352">
            <v>17959.699199999999</v>
          </cell>
          <cell r="F352">
            <v>17793.050800000001</v>
          </cell>
          <cell r="G352">
            <v>17897.949199999999</v>
          </cell>
          <cell r="I352">
            <v>2519040</v>
          </cell>
        </row>
        <row r="353">
          <cell r="B353">
            <v>42530</v>
          </cell>
          <cell r="D353">
            <v>17825.25</v>
          </cell>
          <cell r="E353">
            <v>17937.849600000001</v>
          </cell>
          <cell r="F353">
            <v>17751.150399999999</v>
          </cell>
          <cell r="G353">
            <v>17843.349600000001</v>
          </cell>
          <cell r="I353">
            <v>3451680</v>
          </cell>
        </row>
        <row r="354">
          <cell r="B354">
            <v>42531</v>
          </cell>
          <cell r="D354">
            <v>17800</v>
          </cell>
          <cell r="E354">
            <v>18026.800800000001</v>
          </cell>
          <cell r="F354">
            <v>17751.150399999999</v>
          </cell>
          <cell r="G354">
            <v>17797.050800000001</v>
          </cell>
          <cell r="I354">
            <v>3519660</v>
          </cell>
        </row>
        <row r="355">
          <cell r="B355">
            <v>42534</v>
          </cell>
          <cell r="D355">
            <v>17625</v>
          </cell>
          <cell r="E355">
            <v>17643.300800000001</v>
          </cell>
          <cell r="F355">
            <v>17482.099600000001</v>
          </cell>
          <cell r="G355">
            <v>17562.150399999999</v>
          </cell>
          <cell r="I355">
            <v>2908290</v>
          </cell>
        </row>
        <row r="356">
          <cell r="B356">
            <v>42535</v>
          </cell>
          <cell r="D356">
            <v>17664</v>
          </cell>
          <cell r="E356">
            <v>17695</v>
          </cell>
          <cell r="F356">
            <v>17527</v>
          </cell>
          <cell r="G356">
            <v>17638.400399999999</v>
          </cell>
          <cell r="I356">
            <v>2669640</v>
          </cell>
        </row>
        <row r="357">
          <cell r="B357">
            <v>42536</v>
          </cell>
          <cell r="D357">
            <v>17700.25</v>
          </cell>
          <cell r="E357">
            <v>17905.849600000001</v>
          </cell>
          <cell r="F357">
            <v>17593</v>
          </cell>
          <cell r="G357">
            <v>17877.300800000001</v>
          </cell>
          <cell r="I357">
            <v>3485850</v>
          </cell>
        </row>
        <row r="358">
          <cell r="B358">
            <v>42537</v>
          </cell>
          <cell r="D358">
            <v>17780</v>
          </cell>
          <cell r="E358">
            <v>17818.900399999999</v>
          </cell>
          <cell r="F358">
            <v>17532.849600000001</v>
          </cell>
          <cell r="G358">
            <v>17687.449199999999</v>
          </cell>
          <cell r="I358">
            <v>4428930</v>
          </cell>
        </row>
        <row r="359">
          <cell r="B359">
            <v>42538</v>
          </cell>
          <cell r="D359">
            <v>17755.099600000001</v>
          </cell>
          <cell r="E359">
            <v>17860</v>
          </cell>
          <cell r="F359">
            <v>17610</v>
          </cell>
          <cell r="G359">
            <v>17699.150399999999</v>
          </cell>
          <cell r="I359">
            <v>2715240</v>
          </cell>
        </row>
        <row r="360">
          <cell r="B360">
            <v>42541</v>
          </cell>
          <cell r="D360">
            <v>17465.25</v>
          </cell>
          <cell r="E360">
            <v>17795.550800000001</v>
          </cell>
          <cell r="F360">
            <v>17420.150399999999</v>
          </cell>
          <cell r="G360">
            <v>17728.349600000001</v>
          </cell>
          <cell r="I360">
            <v>3744810</v>
          </cell>
        </row>
        <row r="361">
          <cell r="B361">
            <v>42542</v>
          </cell>
          <cell r="D361">
            <v>17715.300800000001</v>
          </cell>
          <cell r="E361">
            <v>17754.849600000001</v>
          </cell>
          <cell r="F361">
            <v>17603</v>
          </cell>
          <cell r="G361">
            <v>17623.099600000001</v>
          </cell>
          <cell r="I361">
            <v>2220210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IFTY-I"/>
    </sheetNames>
    <sheetDataSet>
      <sheetData sheetId="0">
        <row r="294">
          <cell r="B294">
            <v>42440</v>
          </cell>
        </row>
        <row r="302">
          <cell r="B302">
            <v>42452</v>
          </cell>
          <cell r="D302">
            <v>7696.6499000000003</v>
          </cell>
          <cell r="E302">
            <v>7746.5497999999998</v>
          </cell>
          <cell r="F302">
            <v>7678.2002000000002</v>
          </cell>
          <cell r="G302">
            <v>7736.2997999999998</v>
          </cell>
          <cell r="I302">
            <v>12288900</v>
          </cell>
        </row>
        <row r="303">
          <cell r="B303">
            <v>42457</v>
          </cell>
          <cell r="D303">
            <v>7715.25</v>
          </cell>
          <cell r="E303">
            <v>7730.4502000000002</v>
          </cell>
          <cell r="F303">
            <v>7611.5</v>
          </cell>
          <cell r="G303">
            <v>7638.6000999999997</v>
          </cell>
          <cell r="I303">
            <v>15136500</v>
          </cell>
        </row>
        <row r="304">
          <cell r="B304">
            <v>42458</v>
          </cell>
          <cell r="D304">
            <v>7629</v>
          </cell>
          <cell r="E304">
            <v>7674.8999000000003</v>
          </cell>
          <cell r="F304">
            <v>7597.5</v>
          </cell>
          <cell r="G304">
            <v>7620.0497999999998</v>
          </cell>
          <cell r="I304">
            <v>17362800</v>
          </cell>
        </row>
        <row r="305">
          <cell r="B305">
            <v>42459</v>
          </cell>
          <cell r="D305">
            <v>7674.4502000000002</v>
          </cell>
          <cell r="E305">
            <v>7749</v>
          </cell>
          <cell r="F305">
            <v>7651.1000999999997</v>
          </cell>
          <cell r="G305">
            <v>7741</v>
          </cell>
          <cell r="I305">
            <v>14385975</v>
          </cell>
        </row>
        <row r="306">
          <cell r="B306">
            <v>42460</v>
          </cell>
          <cell r="D306">
            <v>7734.9502000000002</v>
          </cell>
          <cell r="E306">
            <v>7778.9502000000002</v>
          </cell>
          <cell r="F306">
            <v>7718.2997999999998</v>
          </cell>
          <cell r="G306">
            <v>7740.2002000000002</v>
          </cell>
          <cell r="I306">
            <v>18968400</v>
          </cell>
        </row>
        <row r="307">
          <cell r="B307">
            <v>42461</v>
          </cell>
          <cell r="D307">
            <v>7754.8500999999997</v>
          </cell>
          <cell r="E307">
            <v>7772.6000999999997</v>
          </cell>
          <cell r="F307">
            <v>7704.1000999999997</v>
          </cell>
          <cell r="G307">
            <v>7748.75</v>
          </cell>
          <cell r="I307">
            <v>13695225</v>
          </cell>
        </row>
        <row r="308">
          <cell r="B308">
            <v>42464</v>
          </cell>
          <cell r="D308">
            <v>7778</v>
          </cell>
          <cell r="E308">
            <v>7809.8999000000003</v>
          </cell>
          <cell r="F308">
            <v>7737</v>
          </cell>
          <cell r="G308">
            <v>7790.75</v>
          </cell>
          <cell r="I308">
            <v>8339175</v>
          </cell>
        </row>
        <row r="309">
          <cell r="B309">
            <v>42465</v>
          </cell>
          <cell r="D309">
            <v>7735</v>
          </cell>
          <cell r="E309">
            <v>7759.5</v>
          </cell>
          <cell r="F309">
            <v>7609.9502000000002</v>
          </cell>
          <cell r="G309">
            <v>7623.5</v>
          </cell>
          <cell r="I309">
            <v>19685100</v>
          </cell>
        </row>
        <row r="310">
          <cell r="B310">
            <v>42466</v>
          </cell>
          <cell r="D310">
            <v>7645.2002000000002</v>
          </cell>
          <cell r="E310">
            <v>7653.7997999999998</v>
          </cell>
          <cell r="F310">
            <v>7603.4502000000002</v>
          </cell>
          <cell r="G310">
            <v>7634.7002000000002</v>
          </cell>
          <cell r="I310">
            <v>10226250</v>
          </cell>
        </row>
        <row r="311">
          <cell r="B311">
            <v>42467</v>
          </cell>
          <cell r="D311">
            <v>7629</v>
          </cell>
          <cell r="E311">
            <v>7634.7997999999998</v>
          </cell>
          <cell r="F311">
            <v>7555</v>
          </cell>
          <cell r="G311">
            <v>7565.0497999999998</v>
          </cell>
          <cell r="I311">
            <v>13869675</v>
          </cell>
        </row>
        <row r="312">
          <cell r="B312">
            <v>42468</v>
          </cell>
          <cell r="D312">
            <v>7540</v>
          </cell>
          <cell r="E312">
            <v>7595.8500999999997</v>
          </cell>
          <cell r="F312">
            <v>7540</v>
          </cell>
          <cell r="G312">
            <v>7578.1000999999997</v>
          </cell>
          <cell r="I312">
            <v>9017775</v>
          </cell>
        </row>
        <row r="313">
          <cell r="B313">
            <v>42471</v>
          </cell>
          <cell r="D313">
            <v>7580.25</v>
          </cell>
          <cell r="E313">
            <v>7712.8500999999997</v>
          </cell>
          <cell r="F313">
            <v>7533</v>
          </cell>
          <cell r="G313">
            <v>7702.1000999999997</v>
          </cell>
          <cell r="I313">
            <v>15689700</v>
          </cell>
        </row>
        <row r="314">
          <cell r="B314">
            <v>42472</v>
          </cell>
          <cell r="D314">
            <v>7694</v>
          </cell>
          <cell r="E314">
            <v>7738</v>
          </cell>
          <cell r="F314">
            <v>7685.3999000000003</v>
          </cell>
          <cell r="G314">
            <v>7732.7997999999998</v>
          </cell>
          <cell r="I314">
            <v>11439975</v>
          </cell>
        </row>
        <row r="315">
          <cell r="B315">
            <v>42473</v>
          </cell>
          <cell r="D315">
            <v>7792.5</v>
          </cell>
          <cell r="E315">
            <v>7893.4502000000002</v>
          </cell>
          <cell r="F315">
            <v>7791.1000999999997</v>
          </cell>
          <cell r="G315">
            <v>7867.8500999999997</v>
          </cell>
          <cell r="I315">
            <v>14597475</v>
          </cell>
        </row>
        <row r="316">
          <cell r="B316">
            <v>42478</v>
          </cell>
          <cell r="D316">
            <v>7904.5</v>
          </cell>
          <cell r="E316">
            <v>7927.7002000000002</v>
          </cell>
          <cell r="F316">
            <v>7851.6000999999997</v>
          </cell>
          <cell r="G316">
            <v>7920.2997999999998</v>
          </cell>
          <cell r="I316">
            <v>11719125</v>
          </cell>
        </row>
        <row r="317">
          <cell r="B317">
            <v>42480</v>
          </cell>
          <cell r="D317">
            <v>7945.1000999999997</v>
          </cell>
          <cell r="E317">
            <v>7959.75</v>
          </cell>
          <cell r="F317">
            <v>7891.9502000000002</v>
          </cell>
          <cell r="G317">
            <v>7929.8500999999997</v>
          </cell>
          <cell r="I317">
            <v>13574925</v>
          </cell>
        </row>
        <row r="318">
          <cell r="B318">
            <v>42481</v>
          </cell>
          <cell r="D318">
            <v>7972.2002000000002</v>
          </cell>
          <cell r="E318">
            <v>7984.5</v>
          </cell>
          <cell r="F318">
            <v>7885.1000999999997</v>
          </cell>
          <cell r="G318">
            <v>7913.3500999999997</v>
          </cell>
          <cell r="I318">
            <v>12228300</v>
          </cell>
        </row>
        <row r="319">
          <cell r="B319">
            <v>42482</v>
          </cell>
          <cell r="D319">
            <v>7895</v>
          </cell>
          <cell r="E319">
            <v>7941.8999000000003</v>
          </cell>
          <cell r="F319">
            <v>7881.4502000000002</v>
          </cell>
          <cell r="G319">
            <v>7911.1499000000003</v>
          </cell>
          <cell r="I319">
            <v>9797325</v>
          </cell>
        </row>
        <row r="320">
          <cell r="B320">
            <v>42485</v>
          </cell>
          <cell r="D320">
            <v>7905</v>
          </cell>
          <cell r="E320">
            <v>7908.7997999999998</v>
          </cell>
          <cell r="F320">
            <v>7831.1000999999997</v>
          </cell>
          <cell r="G320">
            <v>7865</v>
          </cell>
          <cell r="I320">
            <v>11187675</v>
          </cell>
        </row>
        <row r="321">
          <cell r="B321">
            <v>42486</v>
          </cell>
          <cell r="D321">
            <v>7834.5</v>
          </cell>
          <cell r="E321">
            <v>7992.4502000000002</v>
          </cell>
          <cell r="F321">
            <v>7832.7002000000002</v>
          </cell>
          <cell r="G321">
            <v>7979.1499000000003</v>
          </cell>
          <cell r="I321">
            <v>17689876</v>
          </cell>
        </row>
        <row r="322">
          <cell r="B322">
            <v>42487</v>
          </cell>
          <cell r="D322">
            <v>7952.2997999999998</v>
          </cell>
          <cell r="E322">
            <v>7997.9502000000002</v>
          </cell>
          <cell r="F322">
            <v>7949.5</v>
          </cell>
          <cell r="G322">
            <v>7990.3500999999997</v>
          </cell>
          <cell r="I322">
            <v>10119000</v>
          </cell>
        </row>
        <row r="323">
          <cell r="B323">
            <v>42488</v>
          </cell>
          <cell r="D323">
            <v>7970.5</v>
          </cell>
          <cell r="E323">
            <v>8000</v>
          </cell>
          <cell r="F323">
            <v>7843</v>
          </cell>
          <cell r="G323">
            <v>7853.4502000000002</v>
          </cell>
          <cell r="I323">
            <v>18173624</v>
          </cell>
        </row>
        <row r="324">
          <cell r="B324">
            <v>42489</v>
          </cell>
          <cell r="D324">
            <v>7887</v>
          </cell>
          <cell r="E324">
            <v>7950</v>
          </cell>
          <cell r="F324">
            <v>7831.1000999999997</v>
          </cell>
          <cell r="G324">
            <v>7894.7997999999998</v>
          </cell>
          <cell r="I324">
            <v>15608250</v>
          </cell>
        </row>
        <row r="325">
          <cell r="B325">
            <v>42492</v>
          </cell>
          <cell r="D325">
            <v>7858.2002000000002</v>
          </cell>
          <cell r="E325">
            <v>7874.4502000000002</v>
          </cell>
          <cell r="F325">
            <v>7805.1000999999997</v>
          </cell>
          <cell r="G325">
            <v>7840.1000999999997</v>
          </cell>
          <cell r="I325">
            <v>11138550</v>
          </cell>
        </row>
        <row r="326">
          <cell r="B326">
            <v>42493</v>
          </cell>
          <cell r="D326">
            <v>7848.75</v>
          </cell>
          <cell r="E326">
            <v>7949.9502000000002</v>
          </cell>
          <cell r="F326">
            <v>7770.1000999999997</v>
          </cell>
          <cell r="G326">
            <v>7783.7997999999998</v>
          </cell>
          <cell r="I326">
            <v>18409124</v>
          </cell>
        </row>
        <row r="327">
          <cell r="B327">
            <v>42494</v>
          </cell>
          <cell r="D327">
            <v>7755</v>
          </cell>
          <cell r="E327">
            <v>7789</v>
          </cell>
          <cell r="F327">
            <v>7725</v>
          </cell>
          <cell r="G327">
            <v>7732.75</v>
          </cell>
          <cell r="I327">
            <v>12242850</v>
          </cell>
        </row>
        <row r="328">
          <cell r="B328">
            <v>42495</v>
          </cell>
          <cell r="D328">
            <v>7741</v>
          </cell>
          <cell r="E328">
            <v>7817.5</v>
          </cell>
          <cell r="F328">
            <v>7733</v>
          </cell>
          <cell r="G328">
            <v>7773.1000999999997</v>
          </cell>
          <cell r="I328">
            <v>13965150</v>
          </cell>
        </row>
        <row r="329">
          <cell r="B329">
            <v>42496</v>
          </cell>
          <cell r="D329">
            <v>7733.7002000000002</v>
          </cell>
          <cell r="E329">
            <v>7770.6000999999997</v>
          </cell>
          <cell r="F329">
            <v>7700.9502000000002</v>
          </cell>
          <cell r="G329">
            <v>7760.25</v>
          </cell>
          <cell r="I329">
            <v>10939275</v>
          </cell>
        </row>
        <row r="330">
          <cell r="B330">
            <v>42499</v>
          </cell>
          <cell r="D330">
            <v>7794.8999000000003</v>
          </cell>
          <cell r="E330">
            <v>7912.2002000000002</v>
          </cell>
          <cell r="F330">
            <v>7775</v>
          </cell>
          <cell r="G330">
            <v>7904.2997999999998</v>
          </cell>
          <cell r="I330">
            <v>15184725</v>
          </cell>
        </row>
        <row r="331">
          <cell r="B331">
            <v>42500</v>
          </cell>
          <cell r="D331">
            <v>7894</v>
          </cell>
          <cell r="E331">
            <v>7933.5497999999998</v>
          </cell>
          <cell r="F331">
            <v>7867.1499000000003</v>
          </cell>
          <cell r="G331">
            <v>7919.75</v>
          </cell>
          <cell r="I331">
            <v>10748025</v>
          </cell>
        </row>
        <row r="332">
          <cell r="B332">
            <v>42501</v>
          </cell>
          <cell r="D332">
            <v>7810.3500999999997</v>
          </cell>
          <cell r="E332">
            <v>7909.8999000000003</v>
          </cell>
          <cell r="F332">
            <v>7798.2002000000002</v>
          </cell>
          <cell r="G332">
            <v>7865.8500999999997</v>
          </cell>
          <cell r="I332">
            <v>18360224</v>
          </cell>
        </row>
        <row r="333">
          <cell r="B333">
            <v>42502</v>
          </cell>
          <cell r="D333">
            <v>7886</v>
          </cell>
          <cell r="E333">
            <v>7939.3999000000003</v>
          </cell>
          <cell r="F333">
            <v>7860.3999000000003</v>
          </cell>
          <cell r="G333">
            <v>7928.2002000000002</v>
          </cell>
          <cell r="I333">
            <v>12939750</v>
          </cell>
        </row>
        <row r="334">
          <cell r="B334">
            <v>42503</v>
          </cell>
          <cell r="D334">
            <v>7891.2002000000002</v>
          </cell>
          <cell r="E334">
            <v>7891.7997999999998</v>
          </cell>
          <cell r="F334">
            <v>7787.2997999999998</v>
          </cell>
          <cell r="G334">
            <v>7830.5497999999998</v>
          </cell>
          <cell r="I334">
            <v>15889200</v>
          </cell>
        </row>
        <row r="335">
          <cell r="B335">
            <v>42506</v>
          </cell>
          <cell r="D335">
            <v>7840</v>
          </cell>
          <cell r="E335">
            <v>7898.1000999999997</v>
          </cell>
          <cell r="F335">
            <v>7780.1000999999997</v>
          </cell>
          <cell r="G335">
            <v>7887.2002000000002</v>
          </cell>
          <cell r="I335">
            <v>14011275</v>
          </cell>
        </row>
        <row r="336">
          <cell r="B336">
            <v>42507</v>
          </cell>
          <cell r="D336">
            <v>7920</v>
          </cell>
          <cell r="E336">
            <v>7957.7997999999998</v>
          </cell>
          <cell r="F336">
            <v>7896</v>
          </cell>
          <cell r="G336">
            <v>7907.6000999999997</v>
          </cell>
          <cell r="I336">
            <v>11509575</v>
          </cell>
        </row>
        <row r="337">
          <cell r="B337">
            <v>42508</v>
          </cell>
          <cell r="D337">
            <v>7856.75</v>
          </cell>
          <cell r="E337">
            <v>7927</v>
          </cell>
          <cell r="F337">
            <v>7811.3999000000003</v>
          </cell>
          <cell r="G337">
            <v>7879.2997999999998</v>
          </cell>
          <cell r="I337">
            <v>14711550</v>
          </cell>
        </row>
        <row r="338">
          <cell r="B338">
            <v>42509</v>
          </cell>
          <cell r="D338">
            <v>7864.9502000000002</v>
          </cell>
          <cell r="E338">
            <v>7872.5497999999998</v>
          </cell>
          <cell r="F338">
            <v>7775.25</v>
          </cell>
          <cell r="G338">
            <v>7785.1000999999997</v>
          </cell>
          <cell r="I338">
            <v>14506500</v>
          </cell>
        </row>
        <row r="339">
          <cell r="B339">
            <v>42510</v>
          </cell>
          <cell r="D339">
            <v>7790.2997999999998</v>
          </cell>
          <cell r="E339">
            <v>7828</v>
          </cell>
          <cell r="F339">
            <v>7753.3500999999997</v>
          </cell>
          <cell r="G339">
            <v>7763.3500999999997</v>
          </cell>
          <cell r="I339">
            <v>12173925</v>
          </cell>
        </row>
        <row r="340">
          <cell r="B340">
            <v>42513</v>
          </cell>
          <cell r="D340">
            <v>7782.5497999999998</v>
          </cell>
          <cell r="E340">
            <v>7816</v>
          </cell>
          <cell r="F340">
            <v>7736.6499000000003</v>
          </cell>
          <cell r="G340">
            <v>7744.8500999999997</v>
          </cell>
          <cell r="I340">
            <v>14444775</v>
          </cell>
        </row>
        <row r="341">
          <cell r="B341">
            <v>42514</v>
          </cell>
          <cell r="D341">
            <v>7736</v>
          </cell>
          <cell r="E341">
            <v>7769.5</v>
          </cell>
          <cell r="F341">
            <v>7722.7997999999998</v>
          </cell>
          <cell r="G341">
            <v>7759.2997999999998</v>
          </cell>
          <cell r="I341">
            <v>11329950</v>
          </cell>
        </row>
        <row r="342">
          <cell r="B342">
            <v>42515</v>
          </cell>
          <cell r="D342">
            <v>7802.6499000000003</v>
          </cell>
          <cell r="E342">
            <v>7949.8999000000003</v>
          </cell>
          <cell r="F342">
            <v>7802.6499000000003</v>
          </cell>
          <cell r="G342">
            <v>7943</v>
          </cell>
          <cell r="I342">
            <v>19064176</v>
          </cell>
        </row>
        <row r="343">
          <cell r="B343">
            <v>42516</v>
          </cell>
          <cell r="D343">
            <v>7965.25</v>
          </cell>
          <cell r="E343">
            <v>8074.6499000000003</v>
          </cell>
          <cell r="F343">
            <v>7951.0497999999998</v>
          </cell>
          <cell r="G343">
            <v>8062.6499000000003</v>
          </cell>
          <cell r="I343">
            <v>15623175</v>
          </cell>
        </row>
        <row r="344">
          <cell r="B344">
            <v>42517</v>
          </cell>
          <cell r="D344">
            <v>8091.1000999999997</v>
          </cell>
          <cell r="E344">
            <v>8181.7002000000002</v>
          </cell>
          <cell r="F344">
            <v>8087.1000999999997</v>
          </cell>
          <cell r="G344">
            <v>8172.4502000000002</v>
          </cell>
          <cell r="I344">
            <v>13686450</v>
          </cell>
        </row>
        <row r="345">
          <cell r="B345">
            <v>42520</v>
          </cell>
          <cell r="D345">
            <v>8211.5</v>
          </cell>
          <cell r="E345">
            <v>8222.75</v>
          </cell>
          <cell r="F345">
            <v>8172.3999000000003</v>
          </cell>
          <cell r="G345">
            <v>8194.2998000000007</v>
          </cell>
          <cell r="I345">
            <v>8638650</v>
          </cell>
        </row>
        <row r="346">
          <cell r="B346">
            <v>42521</v>
          </cell>
          <cell r="D346">
            <v>8225</v>
          </cell>
          <cell r="E346">
            <v>8229.4501999999993</v>
          </cell>
          <cell r="F346">
            <v>8156.2997999999998</v>
          </cell>
          <cell r="G346">
            <v>8190.8999000000003</v>
          </cell>
          <cell r="I346">
            <v>10812675</v>
          </cell>
        </row>
        <row r="347">
          <cell r="B347">
            <v>42522</v>
          </cell>
          <cell r="D347">
            <v>8200</v>
          </cell>
          <cell r="E347">
            <v>8224.9004000000004</v>
          </cell>
          <cell r="F347">
            <v>8178.2997999999998</v>
          </cell>
          <cell r="G347">
            <v>8194.5498000000007</v>
          </cell>
          <cell r="I347">
            <v>9410400</v>
          </cell>
        </row>
        <row r="348">
          <cell r="B348">
            <v>42523</v>
          </cell>
          <cell r="D348">
            <v>8187.75</v>
          </cell>
          <cell r="E348">
            <v>8254</v>
          </cell>
          <cell r="F348">
            <v>8161.3500999999997</v>
          </cell>
          <cell r="G348">
            <v>8243.25</v>
          </cell>
          <cell r="I348">
            <v>10412250</v>
          </cell>
        </row>
        <row r="349">
          <cell r="B349">
            <v>42524</v>
          </cell>
          <cell r="D349">
            <v>8261.0995999999996</v>
          </cell>
          <cell r="E349">
            <v>8276.9501999999993</v>
          </cell>
          <cell r="F349">
            <v>8226.0498000000007</v>
          </cell>
          <cell r="G349">
            <v>8238.9004000000004</v>
          </cell>
          <cell r="I349">
            <v>8391150</v>
          </cell>
        </row>
        <row r="350">
          <cell r="B350">
            <v>42527</v>
          </cell>
          <cell r="D350">
            <v>8248</v>
          </cell>
          <cell r="E350">
            <v>8256.6504000000004</v>
          </cell>
          <cell r="F350">
            <v>8205.7998000000007</v>
          </cell>
          <cell r="G350">
            <v>8229.7998000000007</v>
          </cell>
          <cell r="I350">
            <v>6554100</v>
          </cell>
        </row>
        <row r="351">
          <cell r="B351">
            <v>42528</v>
          </cell>
          <cell r="D351">
            <v>8266</v>
          </cell>
          <cell r="E351">
            <v>8318.9004000000004</v>
          </cell>
          <cell r="F351">
            <v>8230.0498000000007</v>
          </cell>
          <cell r="G351">
            <v>8283.1504000000004</v>
          </cell>
          <cell r="I351">
            <v>11458200</v>
          </cell>
        </row>
        <row r="352">
          <cell r="B352">
            <v>42529</v>
          </cell>
          <cell r="D352">
            <v>8290.0498000000007</v>
          </cell>
          <cell r="E352">
            <v>8299</v>
          </cell>
          <cell r="F352">
            <v>8262.0498000000007</v>
          </cell>
          <cell r="G352">
            <v>8284.2001999999993</v>
          </cell>
          <cell r="I352">
            <v>6440025</v>
          </cell>
        </row>
        <row r="353">
          <cell r="B353">
            <v>42530</v>
          </cell>
          <cell r="D353">
            <v>8285.0995999999996</v>
          </cell>
          <cell r="E353">
            <v>8291</v>
          </cell>
          <cell r="F353">
            <v>8200.0498000000007</v>
          </cell>
          <cell r="G353">
            <v>8229.3495999999996</v>
          </cell>
          <cell r="I353">
            <v>10466475</v>
          </cell>
        </row>
        <row r="354">
          <cell r="B354">
            <v>42531</v>
          </cell>
          <cell r="D354">
            <v>8202.2001999999993</v>
          </cell>
          <cell r="E354">
            <v>8299</v>
          </cell>
          <cell r="F354">
            <v>8171.1000999999997</v>
          </cell>
          <cell r="G354">
            <v>8190.3999000000003</v>
          </cell>
          <cell r="I354">
            <v>15514500</v>
          </cell>
        </row>
        <row r="355">
          <cell r="B355">
            <v>42534</v>
          </cell>
          <cell r="D355">
            <v>8124</v>
          </cell>
          <cell r="E355">
            <v>8147</v>
          </cell>
          <cell r="F355">
            <v>8082.2002000000002</v>
          </cell>
          <cell r="G355">
            <v>8130.6499000000003</v>
          </cell>
          <cell r="I355">
            <v>13015425</v>
          </cell>
        </row>
        <row r="356">
          <cell r="B356">
            <v>42535</v>
          </cell>
          <cell r="D356">
            <v>8130.5497999999998</v>
          </cell>
          <cell r="E356">
            <v>8138.4502000000002</v>
          </cell>
          <cell r="F356">
            <v>8076</v>
          </cell>
          <cell r="G356">
            <v>8120.5497999999998</v>
          </cell>
          <cell r="I356">
            <v>12027525</v>
          </cell>
        </row>
        <row r="357">
          <cell r="B357">
            <v>42536</v>
          </cell>
          <cell r="D357">
            <v>8105.1000999999997</v>
          </cell>
          <cell r="E357">
            <v>8232.4004000000004</v>
          </cell>
          <cell r="F357">
            <v>8105.1000999999997</v>
          </cell>
          <cell r="G357">
            <v>8221.3495999999996</v>
          </cell>
          <cell r="I357">
            <v>11627400</v>
          </cell>
        </row>
        <row r="358">
          <cell r="B358">
            <v>42537</v>
          </cell>
          <cell r="D358">
            <v>8185.3500999999997</v>
          </cell>
          <cell r="E358">
            <v>8194</v>
          </cell>
          <cell r="F358">
            <v>8085</v>
          </cell>
          <cell r="G358">
            <v>8158.75</v>
          </cell>
          <cell r="I358">
            <v>17713276</v>
          </cell>
        </row>
        <row r="359">
          <cell r="B359">
            <v>42538</v>
          </cell>
          <cell r="D359">
            <v>8200</v>
          </cell>
          <cell r="E359">
            <v>8221.2001999999993</v>
          </cell>
          <cell r="F359">
            <v>8151.2997999999998</v>
          </cell>
          <cell r="G359">
            <v>8174.3999000000003</v>
          </cell>
          <cell r="I359">
            <v>11415750</v>
          </cell>
        </row>
        <row r="360">
          <cell r="B360">
            <v>42541</v>
          </cell>
          <cell r="D360">
            <v>8106</v>
          </cell>
          <cell r="E360">
            <v>8262</v>
          </cell>
          <cell r="F360">
            <v>8106</v>
          </cell>
          <cell r="G360">
            <v>8251.9004000000004</v>
          </cell>
          <cell r="I360">
            <v>15056550</v>
          </cell>
        </row>
        <row r="361">
          <cell r="B361">
            <v>42542</v>
          </cell>
          <cell r="D361">
            <v>8251.1504000000004</v>
          </cell>
          <cell r="E361">
            <v>8253</v>
          </cell>
          <cell r="F361">
            <v>8205.7998000000007</v>
          </cell>
          <cell r="G361">
            <v>8225.0995999999996</v>
          </cell>
          <cell r="I361">
            <v>7624425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
  <sheetViews>
    <sheetView tabSelected="1" zoomScale="160" zoomScaleNormal="160" workbookViewId="0">
      <pane xSplit="4" ySplit="3" topLeftCell="E4" activePane="bottomRight" state="frozen"/>
      <selection pane="topRight" activeCell="E1" sqref="E1"/>
      <selection pane="bottomLeft" activeCell="A4" sqref="A4"/>
      <selection pane="bottomRight" activeCell="F36" sqref="F36"/>
    </sheetView>
  </sheetViews>
  <sheetFormatPr defaultRowHeight="12" x14ac:dyDescent="0.25"/>
  <cols>
    <col min="1" max="1" width="6.7109375" style="187" customWidth="1"/>
    <col min="2" max="2" width="12.7109375" style="187" customWidth="1"/>
    <col min="3" max="3" width="11.7109375" style="187" customWidth="1"/>
    <col min="4" max="4" width="12.85546875" style="187" bestFit="1" customWidth="1"/>
    <col min="5" max="6" width="9.140625" style="187"/>
    <col min="7" max="7" width="11.28515625" style="187" bestFit="1" customWidth="1"/>
    <col min="8" max="11" width="9.140625" style="187"/>
    <col min="12" max="12" width="11.28515625" style="187" bestFit="1" customWidth="1"/>
    <col min="13" max="16384" width="9.140625" style="187"/>
  </cols>
  <sheetData>
    <row r="1" spans="1:14" ht="12.75" thickBot="1" x14ac:dyDescent="0.3">
      <c r="H1" s="188"/>
      <c r="M1" s="188"/>
    </row>
    <row r="2" spans="1:14" x14ac:dyDescent="0.25">
      <c r="A2" s="353" t="s">
        <v>4</v>
      </c>
      <c r="B2" s="347" t="s">
        <v>82</v>
      </c>
      <c r="C2" s="355" t="s">
        <v>122</v>
      </c>
      <c r="D2" s="349" t="s">
        <v>123</v>
      </c>
      <c r="E2" s="353" t="s">
        <v>124</v>
      </c>
      <c r="F2" s="347" t="s">
        <v>125</v>
      </c>
      <c r="G2" s="347" t="s">
        <v>126</v>
      </c>
      <c r="H2" s="347" t="s">
        <v>127</v>
      </c>
      <c r="I2" s="349" t="s">
        <v>128</v>
      </c>
      <c r="J2" s="351" t="s">
        <v>124</v>
      </c>
      <c r="K2" s="347" t="s">
        <v>125</v>
      </c>
      <c r="L2" s="347" t="s">
        <v>126</v>
      </c>
      <c r="M2" s="347" t="s">
        <v>127</v>
      </c>
      <c r="N2" s="349" t="s">
        <v>128</v>
      </c>
    </row>
    <row r="3" spans="1:14" ht="12.75" thickBot="1" x14ac:dyDescent="0.3">
      <c r="A3" s="354"/>
      <c r="B3" s="348"/>
      <c r="C3" s="356"/>
      <c r="D3" s="350"/>
      <c r="E3" s="354"/>
      <c r="F3" s="348"/>
      <c r="G3" s="348"/>
      <c r="H3" s="348"/>
      <c r="I3" s="350"/>
      <c r="J3" s="352"/>
      <c r="K3" s="348"/>
      <c r="L3" s="348"/>
      <c r="M3" s="348"/>
      <c r="N3" s="350"/>
    </row>
    <row r="4" spans="1:14" ht="11.25" customHeight="1" x14ac:dyDescent="0.25">
      <c r="A4" s="189">
        <v>1</v>
      </c>
      <c r="B4" s="190" t="s">
        <v>129</v>
      </c>
      <c r="C4" s="191">
        <v>9290.1050870595045</v>
      </c>
      <c r="D4" s="246">
        <v>40556.974999999999</v>
      </c>
      <c r="E4" s="228">
        <v>1</v>
      </c>
      <c r="F4" s="191">
        <f>C4*E4</f>
        <v>9290.1050870595045</v>
      </c>
      <c r="G4" s="191">
        <f>D4*E4</f>
        <v>40556.974999999999</v>
      </c>
      <c r="H4" s="191">
        <f>F4</f>
        <v>9290.1050870595045</v>
      </c>
      <c r="I4" s="194">
        <f>H4/G4</f>
        <v>0.22906306713110394</v>
      </c>
      <c r="J4" s="232">
        <v>2</v>
      </c>
      <c r="K4" s="192">
        <f>C4*J4</f>
        <v>18580.210174119009</v>
      </c>
      <c r="L4" s="192">
        <f>D4*J4</f>
        <v>81113.95</v>
      </c>
      <c r="M4" s="191">
        <f>K4</f>
        <v>18580.210174119009</v>
      </c>
      <c r="N4" s="194">
        <f>M4/L4</f>
        <v>0.22906306713110394</v>
      </c>
    </row>
    <row r="5" spans="1:14" ht="11.25" customHeight="1" x14ac:dyDescent="0.25">
      <c r="A5" s="195">
        <f>A4+1</f>
        <v>2</v>
      </c>
      <c r="B5" s="196" t="s">
        <v>130</v>
      </c>
      <c r="C5" s="197">
        <v>7876.6899950479992</v>
      </c>
      <c r="D5" s="247">
        <v>47947.287499999999</v>
      </c>
      <c r="E5" s="200">
        <v>1</v>
      </c>
      <c r="F5" s="197">
        <f>C5*E5</f>
        <v>7876.6899950479992</v>
      </c>
      <c r="G5" s="197">
        <f>D5*E5</f>
        <v>47947.287499999999</v>
      </c>
      <c r="H5" s="197">
        <f>F5</f>
        <v>7876.6899950479992</v>
      </c>
      <c r="I5" s="199">
        <f>H5/G5</f>
        <v>0.16427811469101353</v>
      </c>
      <c r="J5" s="233">
        <v>2</v>
      </c>
      <c r="K5" s="198">
        <f>C5*J5</f>
        <v>15753.379990095998</v>
      </c>
      <c r="L5" s="198">
        <f>D5*J5</f>
        <v>95894.574999999997</v>
      </c>
      <c r="M5" s="197">
        <f>K5</f>
        <v>15753.379990095998</v>
      </c>
      <c r="N5" s="199">
        <f>M5/L5</f>
        <v>0.16427811469101353</v>
      </c>
    </row>
    <row r="6" spans="1:14" ht="3" customHeight="1" x14ac:dyDescent="0.25">
      <c r="A6" s="200"/>
      <c r="B6" s="201"/>
      <c r="C6" s="202"/>
      <c r="D6" s="203"/>
      <c r="E6" s="200"/>
      <c r="F6" s="202"/>
      <c r="G6" s="202"/>
      <c r="H6" s="202"/>
      <c r="I6" s="203"/>
      <c r="J6" s="234"/>
      <c r="K6" s="202"/>
      <c r="L6" s="202"/>
      <c r="M6" s="202"/>
      <c r="N6" s="203"/>
    </row>
    <row r="7" spans="1:14" ht="11.25" customHeight="1" x14ac:dyDescent="0.25">
      <c r="A7" s="204">
        <f>A5+1</f>
        <v>3</v>
      </c>
      <c r="B7" s="205" t="s">
        <v>131</v>
      </c>
      <c r="C7" s="206">
        <v>4845.5655010814799</v>
      </c>
      <c r="D7" s="248">
        <v>27083</v>
      </c>
      <c r="E7" s="241">
        <v>1</v>
      </c>
      <c r="F7" s="206">
        <f>C7*E7</f>
        <v>4845.5655010814799</v>
      </c>
      <c r="G7" s="206">
        <f>D7*E7</f>
        <v>27083</v>
      </c>
      <c r="H7" s="206">
        <f>F7</f>
        <v>4845.5655010814799</v>
      </c>
      <c r="I7" s="208">
        <f>H7/G7</f>
        <v>0.17891538976780563</v>
      </c>
      <c r="J7" s="235">
        <v>4</v>
      </c>
      <c r="K7" s="207">
        <f>C7*J7</f>
        <v>19382.262004325919</v>
      </c>
      <c r="L7" s="207">
        <f>D7*J7</f>
        <v>108332</v>
      </c>
      <c r="M7" s="206">
        <f>K7</f>
        <v>19382.262004325919</v>
      </c>
      <c r="N7" s="208">
        <f>M7/L7</f>
        <v>0.17891538976780563</v>
      </c>
    </row>
    <row r="8" spans="1:14" ht="11.25" customHeight="1" x14ac:dyDescent="0.25">
      <c r="A8" s="195">
        <f>A7+1</f>
        <v>4</v>
      </c>
      <c r="B8" s="196" t="s">
        <v>118</v>
      </c>
      <c r="C8" s="197">
        <v>10062.171736313059</v>
      </c>
      <c r="D8" s="247">
        <v>67126.4375</v>
      </c>
      <c r="E8" s="200">
        <v>1</v>
      </c>
      <c r="F8" s="197">
        <f>C8*E8</f>
        <v>10062.171736313059</v>
      </c>
      <c r="G8" s="197">
        <f>D8*E8</f>
        <v>67126.4375</v>
      </c>
      <c r="H8" s="197">
        <f>F8</f>
        <v>10062.171736313059</v>
      </c>
      <c r="I8" s="199">
        <f>H8/G8</f>
        <v>0.1498987896730414</v>
      </c>
      <c r="J8" s="233">
        <v>1</v>
      </c>
      <c r="K8" s="198">
        <f>C8*J8</f>
        <v>10062.171736313059</v>
      </c>
      <c r="L8" s="198">
        <f>D8*J8</f>
        <v>67126.4375</v>
      </c>
      <c r="M8" s="197">
        <f>K8</f>
        <v>10062.171736313059</v>
      </c>
      <c r="N8" s="199">
        <f>M8/L8</f>
        <v>0.1498987896730414</v>
      </c>
    </row>
    <row r="9" spans="1:14" ht="3" customHeight="1" x14ac:dyDescent="0.25">
      <c r="A9" s="200"/>
      <c r="B9" s="201"/>
      <c r="C9" s="202"/>
      <c r="D9" s="203"/>
      <c r="E9" s="200"/>
      <c r="F9" s="202"/>
      <c r="G9" s="202"/>
      <c r="H9" s="202"/>
      <c r="I9" s="203"/>
      <c r="J9" s="234"/>
      <c r="K9" s="202"/>
      <c r="L9" s="202"/>
      <c r="M9" s="202"/>
      <c r="N9" s="203"/>
    </row>
    <row r="10" spans="1:14" ht="11.25" customHeight="1" x14ac:dyDescent="0.25">
      <c r="A10" s="204">
        <f>A8+1</f>
        <v>5</v>
      </c>
      <c r="B10" s="205" t="s">
        <v>119</v>
      </c>
      <c r="C10" s="197">
        <v>13565.329843839068</v>
      </c>
      <c r="D10" s="247">
        <v>52710</v>
      </c>
      <c r="E10" s="200">
        <v>1</v>
      </c>
      <c r="F10" s="197">
        <f>C10*E10</f>
        <v>13565.329843839068</v>
      </c>
      <c r="G10" s="197">
        <f>D10*E10</f>
        <v>52710</v>
      </c>
      <c r="H10" s="197">
        <f>F10</f>
        <v>13565.329843839068</v>
      </c>
      <c r="I10" s="199">
        <f>H10/G10</f>
        <v>0.25735780390512364</v>
      </c>
      <c r="J10" s="233">
        <v>1</v>
      </c>
      <c r="K10" s="198">
        <f>C10*J10</f>
        <v>13565.329843839068</v>
      </c>
      <c r="L10" s="198">
        <f>D10*J10</f>
        <v>52710</v>
      </c>
      <c r="M10" s="197">
        <f>K10</f>
        <v>13565.329843839068</v>
      </c>
      <c r="N10" s="199">
        <f>M10/L10</f>
        <v>0.25735780390512364</v>
      </c>
    </row>
    <row r="11" spans="1:14" ht="11.25" customHeight="1" x14ac:dyDescent="0.25">
      <c r="A11" s="195">
        <f>A10+1</f>
        <v>6</v>
      </c>
      <c r="B11" s="196" t="s">
        <v>132</v>
      </c>
      <c r="C11" s="197">
        <v>16201.164327501629</v>
      </c>
      <c r="D11" s="247">
        <v>59377.5</v>
      </c>
      <c r="E11" s="200">
        <v>1</v>
      </c>
      <c r="F11" s="197">
        <f>C11*E11</f>
        <v>16201.164327501629</v>
      </c>
      <c r="G11" s="197">
        <f>D11*E11</f>
        <v>59377.5</v>
      </c>
      <c r="H11" s="197">
        <f>F11</f>
        <v>16201.164327501629</v>
      </c>
      <c r="I11" s="199">
        <f>H11/G11</f>
        <v>0.27285022655890917</v>
      </c>
      <c r="J11" s="233">
        <v>1</v>
      </c>
      <c r="K11" s="198">
        <f>C11*J11</f>
        <v>16201.164327501629</v>
      </c>
      <c r="L11" s="198">
        <f>D11*J11</f>
        <v>59377.5</v>
      </c>
      <c r="M11" s="197">
        <f>K11</f>
        <v>16201.164327501629</v>
      </c>
      <c r="N11" s="199">
        <f>M11/L11</f>
        <v>0.27285022655890917</v>
      </c>
    </row>
    <row r="12" spans="1:14" ht="3" customHeight="1" x14ac:dyDescent="0.25">
      <c r="A12" s="200"/>
      <c r="B12" s="201"/>
      <c r="C12" s="202"/>
      <c r="D12" s="203"/>
      <c r="E12" s="200"/>
      <c r="F12" s="202"/>
      <c r="G12" s="202"/>
      <c r="H12" s="202"/>
      <c r="I12" s="203"/>
      <c r="J12" s="234"/>
      <c r="K12" s="202"/>
      <c r="L12" s="202"/>
      <c r="M12" s="202"/>
      <c r="N12" s="203"/>
    </row>
    <row r="13" spans="1:14" ht="11.25" customHeight="1" x14ac:dyDescent="0.25">
      <c r="A13" s="204">
        <f>A11+1</f>
        <v>7</v>
      </c>
      <c r="B13" s="205" t="s">
        <v>133</v>
      </c>
      <c r="C13" s="197">
        <v>11403.795718332014</v>
      </c>
      <c r="D13" s="247">
        <v>59100</v>
      </c>
      <c r="E13" s="200">
        <v>1</v>
      </c>
      <c r="F13" s="197">
        <f>C13*E13</f>
        <v>11403.795718332014</v>
      </c>
      <c r="G13" s="197">
        <f>D13*E13</f>
        <v>59100</v>
      </c>
      <c r="H13" s="197">
        <f>F13</f>
        <v>11403.795718332014</v>
      </c>
      <c r="I13" s="199">
        <f>H13/G13</f>
        <v>0.19295762636771596</v>
      </c>
      <c r="J13" s="233">
        <v>1</v>
      </c>
      <c r="K13" s="198">
        <f>C13*J13</f>
        <v>11403.795718332014</v>
      </c>
      <c r="L13" s="198">
        <f>D13*J13</f>
        <v>59100</v>
      </c>
      <c r="M13" s="197">
        <f>K13</f>
        <v>11403.795718332014</v>
      </c>
      <c r="N13" s="199">
        <f>M13/L13</f>
        <v>0.19295762636771596</v>
      </c>
    </row>
    <row r="14" spans="1:14" ht="11.25" customHeight="1" x14ac:dyDescent="0.25">
      <c r="A14" s="195">
        <f>A13+1</f>
        <v>8</v>
      </c>
      <c r="B14" s="196" t="s">
        <v>134</v>
      </c>
      <c r="C14" s="197">
        <v>15122.628344008976</v>
      </c>
      <c r="D14" s="247">
        <v>62475</v>
      </c>
      <c r="E14" s="200">
        <v>1</v>
      </c>
      <c r="F14" s="197">
        <f>C14*E14</f>
        <v>15122.628344008976</v>
      </c>
      <c r="G14" s="197">
        <f>D14*E14</f>
        <v>62475</v>
      </c>
      <c r="H14" s="197">
        <f>F14</f>
        <v>15122.628344008976</v>
      </c>
      <c r="I14" s="199">
        <f>H14/G14</f>
        <v>0.24205887705496559</v>
      </c>
      <c r="J14" s="233">
        <v>1</v>
      </c>
      <c r="K14" s="198">
        <f>C14*J14</f>
        <v>15122.628344008976</v>
      </c>
      <c r="L14" s="198">
        <f>D14*J14</f>
        <v>62475</v>
      </c>
      <c r="M14" s="197">
        <f>K14</f>
        <v>15122.628344008976</v>
      </c>
      <c r="N14" s="199">
        <f>M14/L14</f>
        <v>0.24205887705496559</v>
      </c>
    </row>
    <row r="15" spans="1:14" ht="3" customHeight="1" x14ac:dyDescent="0.25">
      <c r="A15" s="200"/>
      <c r="B15" s="201"/>
      <c r="C15" s="202"/>
      <c r="D15" s="203"/>
      <c r="E15" s="200"/>
      <c r="F15" s="202"/>
      <c r="G15" s="202"/>
      <c r="H15" s="202"/>
      <c r="I15" s="203"/>
      <c r="J15" s="234"/>
      <c r="K15" s="202"/>
      <c r="L15" s="202"/>
      <c r="M15" s="202"/>
      <c r="N15" s="203"/>
    </row>
    <row r="16" spans="1:14" ht="11.25" customHeight="1" x14ac:dyDescent="0.25">
      <c r="A16" s="204">
        <f>A14+1</f>
        <v>9</v>
      </c>
      <c r="B16" s="205" t="s">
        <v>135</v>
      </c>
      <c r="C16" s="206">
        <v>19778.989454861134</v>
      </c>
      <c r="D16" s="248">
        <v>94464.8</v>
      </c>
      <c r="E16" s="241">
        <v>1</v>
      </c>
      <c r="F16" s="206">
        <f>C16*E16</f>
        <v>19778.989454861134</v>
      </c>
      <c r="G16" s="206">
        <f>D16*E16</f>
        <v>94464.8</v>
      </c>
      <c r="H16" s="206">
        <f>F16</f>
        <v>19778.989454861134</v>
      </c>
      <c r="I16" s="208">
        <f>H16/G16</f>
        <v>0.20937946679462754</v>
      </c>
      <c r="J16" s="235">
        <v>1</v>
      </c>
      <c r="K16" s="207">
        <f>C16*J16</f>
        <v>19778.989454861134</v>
      </c>
      <c r="L16" s="207">
        <f>D16*J16</f>
        <v>94464.8</v>
      </c>
      <c r="M16" s="206">
        <f>K16</f>
        <v>19778.989454861134</v>
      </c>
      <c r="N16" s="208">
        <f>M16/L16</f>
        <v>0.20937946679462754</v>
      </c>
    </row>
    <row r="17" spans="1:14" ht="11.25" customHeight="1" x14ac:dyDescent="0.25">
      <c r="A17" s="195">
        <f>A16+1</f>
        <v>10</v>
      </c>
      <c r="B17" s="196" t="s">
        <v>136</v>
      </c>
      <c r="C17" s="209">
        <v>18149.712565053946</v>
      </c>
      <c r="D17" s="249">
        <v>95252.5</v>
      </c>
      <c r="E17" s="242">
        <v>1</v>
      </c>
      <c r="F17" s="209">
        <f>C17*E17</f>
        <v>18149.712565053946</v>
      </c>
      <c r="G17" s="209">
        <f>D17*E17</f>
        <v>95252.5</v>
      </c>
      <c r="H17" s="209">
        <f>F17</f>
        <v>18149.712565053946</v>
      </c>
      <c r="I17" s="211">
        <f>H17/G17</f>
        <v>0.19054316227977161</v>
      </c>
      <c r="J17" s="236">
        <v>1</v>
      </c>
      <c r="K17" s="210">
        <f>C17*J17</f>
        <v>18149.712565053946</v>
      </c>
      <c r="L17" s="210">
        <f>D17*J17</f>
        <v>95252.5</v>
      </c>
      <c r="M17" s="209">
        <f>K17</f>
        <v>18149.712565053946</v>
      </c>
      <c r="N17" s="211">
        <f>M17/L17</f>
        <v>0.19054316227977161</v>
      </c>
    </row>
    <row r="18" spans="1:14" ht="3" customHeight="1" x14ac:dyDescent="0.25">
      <c r="A18" s="200"/>
      <c r="B18" s="201"/>
      <c r="C18" s="202"/>
      <c r="D18" s="203"/>
      <c r="E18" s="200"/>
      <c r="F18" s="202"/>
      <c r="G18" s="202"/>
      <c r="H18" s="202"/>
      <c r="I18" s="203"/>
      <c r="J18" s="234"/>
      <c r="K18" s="202"/>
      <c r="L18" s="202"/>
      <c r="M18" s="202"/>
      <c r="N18" s="203"/>
    </row>
    <row r="19" spans="1:14" ht="11.25" customHeight="1" x14ac:dyDescent="0.25">
      <c r="A19" s="204">
        <f>A17+1</f>
        <v>11</v>
      </c>
      <c r="B19" s="205" t="s">
        <v>137</v>
      </c>
      <c r="C19" s="197">
        <v>15292.985578873284</v>
      </c>
      <c r="D19" s="247">
        <v>58177.5</v>
      </c>
      <c r="E19" s="200">
        <v>1</v>
      </c>
      <c r="F19" s="197">
        <f>C19*E19</f>
        <v>15292.985578873284</v>
      </c>
      <c r="G19" s="197">
        <f>D19*E19</f>
        <v>58177.5</v>
      </c>
      <c r="H19" s="197">
        <f>F19</f>
        <v>15292.985578873284</v>
      </c>
      <c r="I19" s="199">
        <f>H19/G19</f>
        <v>0.2628676993489456</v>
      </c>
      <c r="J19" s="233">
        <v>1</v>
      </c>
      <c r="K19" s="198">
        <f>C19*J19</f>
        <v>15292.985578873284</v>
      </c>
      <c r="L19" s="198">
        <f>D19*J19</f>
        <v>58177.5</v>
      </c>
      <c r="M19" s="197">
        <f>K19</f>
        <v>15292.985578873284</v>
      </c>
      <c r="N19" s="199">
        <f>M19/L19</f>
        <v>0.2628676993489456</v>
      </c>
    </row>
    <row r="20" spans="1:14" ht="11.25" customHeight="1" x14ac:dyDescent="0.25">
      <c r="A20" s="195">
        <f>A19+1</f>
        <v>12</v>
      </c>
      <c r="B20" s="196" t="s">
        <v>120</v>
      </c>
      <c r="C20" s="212">
        <v>9333.7462857637092</v>
      </c>
      <c r="D20" s="250">
        <v>37410</v>
      </c>
      <c r="E20" s="243">
        <v>1</v>
      </c>
      <c r="F20" s="197">
        <f>C20*E20</f>
        <v>9333.7462857637092</v>
      </c>
      <c r="G20" s="197">
        <f>D20*E20</f>
        <v>37410</v>
      </c>
      <c r="H20" s="212">
        <f>F20</f>
        <v>9333.7462857637092</v>
      </c>
      <c r="I20" s="213">
        <f>H20/G20</f>
        <v>0.24949869782848727</v>
      </c>
      <c r="J20" s="237">
        <v>2</v>
      </c>
      <c r="K20" s="198">
        <f>C20*J20</f>
        <v>18667.492571527418</v>
      </c>
      <c r="L20" s="198">
        <f>D20*J20</f>
        <v>74820</v>
      </c>
      <c r="M20" s="212">
        <f>K20</f>
        <v>18667.492571527418</v>
      </c>
      <c r="N20" s="213">
        <f>M20/L20</f>
        <v>0.24949869782848727</v>
      </c>
    </row>
    <row r="21" spans="1:14" ht="3" customHeight="1" x14ac:dyDescent="0.25">
      <c r="A21" s="200"/>
      <c r="B21" s="201"/>
      <c r="C21" s="202"/>
      <c r="D21" s="203"/>
      <c r="E21" s="200"/>
      <c r="F21" s="202"/>
      <c r="G21" s="202"/>
      <c r="H21" s="202"/>
      <c r="I21" s="203"/>
      <c r="J21" s="234"/>
      <c r="K21" s="202"/>
      <c r="L21" s="202"/>
      <c r="M21" s="202"/>
      <c r="N21" s="203"/>
    </row>
    <row r="22" spans="1:14" ht="11.25" customHeight="1" x14ac:dyDescent="0.25">
      <c r="A22" s="204">
        <f>A20+1</f>
        <v>13</v>
      </c>
      <c r="B22" s="205" t="s">
        <v>138</v>
      </c>
      <c r="C22" s="214">
        <v>16765.761659839194</v>
      </c>
      <c r="D22" s="251">
        <v>74934.75</v>
      </c>
      <c r="E22" s="244">
        <v>1</v>
      </c>
      <c r="F22" s="214">
        <f>C22*E22</f>
        <v>16765.761659839194</v>
      </c>
      <c r="G22" s="214">
        <f>D22*E22</f>
        <v>74934.75</v>
      </c>
      <c r="H22" s="214">
        <f>F22</f>
        <v>16765.761659839194</v>
      </c>
      <c r="I22" s="216">
        <f>H22/G22</f>
        <v>0.22373814098050895</v>
      </c>
      <c r="J22" s="238">
        <v>1</v>
      </c>
      <c r="K22" s="215">
        <f>C22*J22</f>
        <v>16765.761659839194</v>
      </c>
      <c r="L22" s="215">
        <f>D22*J22</f>
        <v>74934.75</v>
      </c>
      <c r="M22" s="214">
        <f>K22</f>
        <v>16765.761659839194</v>
      </c>
      <c r="N22" s="216">
        <f>M22/L22</f>
        <v>0.22373814098050895</v>
      </c>
    </row>
    <row r="23" spans="1:14" ht="11.25" customHeight="1" x14ac:dyDescent="0.25">
      <c r="A23" s="195">
        <f>A22+1</f>
        <v>14</v>
      </c>
      <c r="B23" s="196" t="s">
        <v>139</v>
      </c>
      <c r="C23" s="214">
        <v>8922.0672163647141</v>
      </c>
      <c r="D23" s="251">
        <v>38542.5</v>
      </c>
      <c r="E23" s="244">
        <v>1</v>
      </c>
      <c r="F23" s="214">
        <f>C23*E23</f>
        <v>8922.0672163647141</v>
      </c>
      <c r="G23" s="214">
        <f>D23*E23</f>
        <v>38542.5</v>
      </c>
      <c r="H23" s="214">
        <f>F23</f>
        <v>8922.0672163647141</v>
      </c>
      <c r="I23" s="216">
        <f>H23/G23</f>
        <v>0.2314864686090605</v>
      </c>
      <c r="J23" s="238">
        <v>2</v>
      </c>
      <c r="K23" s="215">
        <f>C23*J23</f>
        <v>17844.134432729428</v>
      </c>
      <c r="L23" s="215">
        <f>D23*J23</f>
        <v>77085</v>
      </c>
      <c r="M23" s="214">
        <f>K23</f>
        <v>17844.134432729428</v>
      </c>
      <c r="N23" s="216">
        <f>M23/L23</f>
        <v>0.2314864686090605</v>
      </c>
    </row>
    <row r="24" spans="1:14" ht="3" customHeight="1" x14ac:dyDescent="0.25">
      <c r="A24" s="200"/>
      <c r="B24" s="201"/>
      <c r="C24" s="202"/>
      <c r="D24" s="203"/>
      <c r="E24" s="200"/>
      <c r="F24" s="202"/>
      <c r="G24" s="202"/>
      <c r="H24" s="202"/>
      <c r="I24" s="203"/>
      <c r="J24" s="234"/>
      <c r="K24" s="202"/>
      <c r="L24" s="202"/>
      <c r="M24" s="202"/>
      <c r="N24" s="203"/>
    </row>
    <row r="25" spans="1:14" ht="11.25" customHeight="1" x14ac:dyDescent="0.25">
      <c r="A25" s="204">
        <f>A23+1</f>
        <v>15</v>
      </c>
      <c r="B25" s="205" t="s">
        <v>140</v>
      </c>
      <c r="C25" s="197">
        <v>12934.086196910581</v>
      </c>
      <c r="D25" s="247">
        <v>50323.75</v>
      </c>
      <c r="E25" s="200">
        <v>1</v>
      </c>
      <c r="F25" s="197">
        <f>C25*E25</f>
        <v>12934.086196910581</v>
      </c>
      <c r="G25" s="197">
        <f>D25*E25</f>
        <v>50323.75</v>
      </c>
      <c r="H25" s="197">
        <f>F25</f>
        <v>12934.086196910581</v>
      </c>
      <c r="I25" s="199">
        <f>H25/G25</f>
        <v>0.25701753539651917</v>
      </c>
      <c r="J25" s="233">
        <v>1</v>
      </c>
      <c r="K25" s="198">
        <f>C25*J25</f>
        <v>12934.086196910581</v>
      </c>
      <c r="L25" s="198">
        <f>D25*J25</f>
        <v>50323.75</v>
      </c>
      <c r="M25" s="197">
        <f>K25</f>
        <v>12934.086196910581</v>
      </c>
      <c r="N25" s="199">
        <f>M25/L25</f>
        <v>0.25701753539651917</v>
      </c>
    </row>
    <row r="26" spans="1:14" ht="11.25" customHeight="1" x14ac:dyDescent="0.25">
      <c r="A26" s="195">
        <f>A25+1</f>
        <v>16</v>
      </c>
      <c r="B26" s="196" t="s">
        <v>141</v>
      </c>
      <c r="C26" s="197">
        <v>14700.217216216366</v>
      </c>
      <c r="D26" s="247">
        <v>56196</v>
      </c>
      <c r="E26" s="200">
        <v>1</v>
      </c>
      <c r="F26" s="197">
        <f>C26*E26</f>
        <v>14700.217216216366</v>
      </c>
      <c r="G26" s="197">
        <f>D26*E26</f>
        <v>56196</v>
      </c>
      <c r="H26" s="197">
        <f>F26</f>
        <v>14700.217216216366</v>
      </c>
      <c r="I26" s="199">
        <f>H26/G26</f>
        <v>0.26158831974190982</v>
      </c>
      <c r="J26" s="233">
        <v>1</v>
      </c>
      <c r="K26" s="198">
        <f>C26*J26</f>
        <v>14700.217216216366</v>
      </c>
      <c r="L26" s="198">
        <f>D26*J26</f>
        <v>56196</v>
      </c>
      <c r="M26" s="197">
        <f>K26</f>
        <v>14700.217216216366</v>
      </c>
      <c r="N26" s="199">
        <f>M26/L26</f>
        <v>0.26158831974190982</v>
      </c>
    </row>
    <row r="27" spans="1:14" ht="3" customHeight="1" x14ac:dyDescent="0.25">
      <c r="A27" s="200"/>
      <c r="B27" s="201"/>
      <c r="C27" s="202"/>
      <c r="D27" s="203"/>
      <c r="E27" s="200"/>
      <c r="F27" s="202"/>
      <c r="G27" s="202"/>
      <c r="H27" s="202"/>
      <c r="I27" s="203"/>
      <c r="J27" s="234"/>
      <c r="K27" s="202"/>
      <c r="L27" s="202"/>
      <c r="M27" s="202"/>
      <c r="N27" s="203"/>
    </row>
    <row r="28" spans="1:14" ht="11.25" customHeight="1" x14ac:dyDescent="0.25">
      <c r="A28" s="204">
        <f>A26+1</f>
        <v>17</v>
      </c>
      <c r="B28" s="205" t="s">
        <v>121</v>
      </c>
      <c r="C28" s="212">
        <v>13615.757489690857</v>
      </c>
      <c r="D28" s="250">
        <v>73602</v>
      </c>
      <c r="E28" s="243">
        <v>1</v>
      </c>
      <c r="F28" s="197">
        <f>C28*E28</f>
        <v>13615.757489690857</v>
      </c>
      <c r="G28" s="197">
        <f>D28*E28</f>
        <v>73602</v>
      </c>
      <c r="H28" s="212">
        <f>F28</f>
        <v>13615.757489690857</v>
      </c>
      <c r="I28" s="213">
        <f>H28/G28</f>
        <v>0.18499167807519981</v>
      </c>
      <c r="J28" s="237">
        <v>1</v>
      </c>
      <c r="K28" s="198">
        <f>C28*J28</f>
        <v>13615.757489690857</v>
      </c>
      <c r="L28" s="198">
        <f>D28*J28</f>
        <v>73602</v>
      </c>
      <c r="M28" s="212">
        <f>K28</f>
        <v>13615.757489690857</v>
      </c>
      <c r="N28" s="213">
        <f>M28/L28</f>
        <v>0.18499167807519981</v>
      </c>
    </row>
    <row r="29" spans="1:14" ht="11.25" customHeight="1" x14ac:dyDescent="0.25">
      <c r="A29" s="195">
        <f>A28+1</f>
        <v>18</v>
      </c>
      <c r="B29" s="196" t="s">
        <v>142</v>
      </c>
      <c r="C29" s="197">
        <v>14752.736081926214</v>
      </c>
      <c r="D29" s="247">
        <v>57225</v>
      </c>
      <c r="E29" s="200">
        <v>1</v>
      </c>
      <c r="F29" s="197">
        <f>C29*E29</f>
        <v>14752.736081926214</v>
      </c>
      <c r="G29" s="197">
        <f>D29*E29</f>
        <v>57225</v>
      </c>
      <c r="H29" s="197">
        <f>F29</f>
        <v>14752.736081926214</v>
      </c>
      <c r="I29" s="199">
        <f>H29/G29</f>
        <v>0.25780229064091242</v>
      </c>
      <c r="J29" s="233">
        <v>1</v>
      </c>
      <c r="K29" s="198">
        <f>C29*J29</f>
        <v>14752.736081926214</v>
      </c>
      <c r="L29" s="198">
        <f>D29*J29</f>
        <v>57225</v>
      </c>
      <c r="M29" s="197">
        <f>K29</f>
        <v>14752.736081926214</v>
      </c>
      <c r="N29" s="199">
        <f>M29/L29</f>
        <v>0.25780229064091242</v>
      </c>
    </row>
    <row r="30" spans="1:14" ht="3" customHeight="1" x14ac:dyDescent="0.25">
      <c r="A30" s="200"/>
      <c r="B30" s="201"/>
      <c r="C30" s="202"/>
      <c r="D30" s="203"/>
      <c r="E30" s="200"/>
      <c r="F30" s="202"/>
      <c r="G30" s="202"/>
      <c r="H30" s="202"/>
      <c r="I30" s="203"/>
      <c r="J30" s="234"/>
      <c r="K30" s="202"/>
      <c r="L30" s="202"/>
      <c r="M30" s="202"/>
      <c r="N30" s="203"/>
    </row>
    <row r="31" spans="1:14" ht="11.25" customHeight="1" x14ac:dyDescent="0.25">
      <c r="A31" s="204">
        <f>A29+1</f>
        <v>19</v>
      </c>
      <c r="B31" s="205" t="s">
        <v>143</v>
      </c>
      <c r="C31" s="197">
        <v>15742.4607755669</v>
      </c>
      <c r="D31" s="247">
        <v>61600</v>
      </c>
      <c r="E31" s="200">
        <v>1</v>
      </c>
      <c r="F31" s="197">
        <f>C31*E31</f>
        <v>15742.4607755669</v>
      </c>
      <c r="G31" s="197">
        <f>D31*E31</f>
        <v>61600</v>
      </c>
      <c r="H31" s="197">
        <f>F31</f>
        <v>15742.4607755669</v>
      </c>
      <c r="I31" s="199">
        <f>H31/G31</f>
        <v>0.25555942817478733</v>
      </c>
      <c r="J31" s="233">
        <v>1</v>
      </c>
      <c r="K31" s="198">
        <f>C31*J31</f>
        <v>15742.4607755669</v>
      </c>
      <c r="L31" s="198">
        <f>D31*J31</f>
        <v>61600</v>
      </c>
      <c r="M31" s="197">
        <f>K31</f>
        <v>15742.4607755669</v>
      </c>
      <c r="N31" s="199">
        <f>M31/L31</f>
        <v>0.25555942817478733</v>
      </c>
    </row>
    <row r="32" spans="1:14" ht="11.25" customHeight="1" x14ac:dyDescent="0.25">
      <c r="A32" s="195">
        <f>A31+1</f>
        <v>20</v>
      </c>
      <c r="B32" s="196" t="s">
        <v>144</v>
      </c>
      <c r="C32" s="197">
        <v>13727.055052107571</v>
      </c>
      <c r="D32" s="247">
        <v>68024</v>
      </c>
      <c r="E32" s="200">
        <v>1</v>
      </c>
      <c r="F32" s="197">
        <f>C32*E32</f>
        <v>13727.055052107571</v>
      </c>
      <c r="G32" s="197">
        <f>D32*E32</f>
        <v>68024</v>
      </c>
      <c r="H32" s="197">
        <f>F32</f>
        <v>13727.055052107571</v>
      </c>
      <c r="I32" s="199">
        <f>H32/G32</f>
        <v>0.2017972340954306</v>
      </c>
      <c r="J32" s="233">
        <v>1</v>
      </c>
      <c r="K32" s="198">
        <f>C32*J32</f>
        <v>13727.055052107571</v>
      </c>
      <c r="L32" s="198">
        <f>D32*J32</f>
        <v>68024</v>
      </c>
      <c r="M32" s="197">
        <f>K32</f>
        <v>13727.055052107571</v>
      </c>
      <c r="N32" s="199">
        <f>M32/L32</f>
        <v>0.2017972340954306</v>
      </c>
    </row>
    <row r="33" spans="1:14" ht="3" customHeight="1" x14ac:dyDescent="0.25">
      <c r="A33" s="200"/>
      <c r="B33" s="201"/>
      <c r="C33" s="202"/>
      <c r="D33" s="203"/>
      <c r="E33" s="200"/>
      <c r="F33" s="202"/>
      <c r="G33" s="202"/>
      <c r="H33" s="202"/>
      <c r="I33" s="203"/>
      <c r="J33" s="234"/>
      <c r="K33" s="202"/>
      <c r="L33" s="202"/>
      <c r="M33" s="202"/>
      <c r="N33" s="203"/>
    </row>
    <row r="34" spans="1:14" ht="11.25" customHeight="1" x14ac:dyDescent="0.25">
      <c r="A34" s="204">
        <f>A32+1</f>
        <v>21</v>
      </c>
      <c r="B34" s="205" t="s">
        <v>145</v>
      </c>
      <c r="C34" s="209">
        <v>8381.2797786921565</v>
      </c>
      <c r="D34" s="249">
        <v>53498.75</v>
      </c>
      <c r="E34" s="242">
        <v>1</v>
      </c>
      <c r="F34" s="209">
        <f>C34*E34</f>
        <v>8381.2797786921565</v>
      </c>
      <c r="G34" s="209">
        <f>D34*E34</f>
        <v>53498.75</v>
      </c>
      <c r="H34" s="209">
        <f>F34</f>
        <v>8381.2797786921565</v>
      </c>
      <c r="I34" s="211">
        <f>H34/G34</f>
        <v>0.1566630954684391</v>
      </c>
      <c r="J34" s="236">
        <v>2</v>
      </c>
      <c r="K34" s="210">
        <f>C34*J34</f>
        <v>16762.559557384313</v>
      </c>
      <c r="L34" s="210">
        <f>D34*J34</f>
        <v>106997.5</v>
      </c>
      <c r="M34" s="209">
        <f>K34</f>
        <v>16762.559557384313</v>
      </c>
      <c r="N34" s="211">
        <f>M34/L34</f>
        <v>0.1566630954684391</v>
      </c>
    </row>
    <row r="35" spans="1:14" ht="11.25" customHeight="1" x14ac:dyDescent="0.25">
      <c r="A35" s="195">
        <f>A34+1</f>
        <v>22</v>
      </c>
      <c r="B35" s="196" t="s">
        <v>146</v>
      </c>
      <c r="C35" s="197">
        <v>13254.078969758273</v>
      </c>
      <c r="D35" s="247">
        <v>65250</v>
      </c>
      <c r="E35" s="200">
        <v>1</v>
      </c>
      <c r="F35" s="197">
        <f>C35*E35</f>
        <v>13254.078969758273</v>
      </c>
      <c r="G35" s="197">
        <f>D35*E35</f>
        <v>65250</v>
      </c>
      <c r="H35" s="197">
        <f>F35</f>
        <v>13254.078969758273</v>
      </c>
      <c r="I35" s="199">
        <f>H35/G35</f>
        <v>0.20312764704610381</v>
      </c>
      <c r="J35" s="233">
        <v>1</v>
      </c>
      <c r="K35" s="198">
        <f>C35*J35</f>
        <v>13254.078969758273</v>
      </c>
      <c r="L35" s="198">
        <f>D35*J35</f>
        <v>65250</v>
      </c>
      <c r="M35" s="197">
        <f>K35</f>
        <v>13254.078969758273</v>
      </c>
      <c r="N35" s="199">
        <f>M35/L35</f>
        <v>0.20312764704610381</v>
      </c>
    </row>
    <row r="36" spans="1:14" ht="3" customHeight="1" x14ac:dyDescent="0.25">
      <c r="A36" s="200"/>
      <c r="B36" s="201"/>
      <c r="C36" s="202"/>
      <c r="D36" s="203"/>
      <c r="E36" s="200"/>
      <c r="F36" s="202"/>
      <c r="G36" s="202"/>
      <c r="H36" s="202"/>
      <c r="I36" s="203"/>
      <c r="J36" s="234"/>
      <c r="K36" s="202"/>
      <c r="L36" s="202"/>
      <c r="M36" s="202"/>
      <c r="N36" s="203"/>
    </row>
    <row r="37" spans="1:14" ht="11.25" customHeight="1" x14ac:dyDescent="0.25">
      <c r="A37" s="204">
        <f>A35+1</f>
        <v>23</v>
      </c>
      <c r="B37" s="205" t="s">
        <v>147</v>
      </c>
      <c r="C37" s="217">
        <v>21333.034031702718</v>
      </c>
      <c r="D37" s="252">
        <v>108768</v>
      </c>
      <c r="E37" s="245">
        <v>1</v>
      </c>
      <c r="F37" s="217">
        <f>C37*E37</f>
        <v>21333.034031702718</v>
      </c>
      <c r="G37" s="217">
        <f>D37*E37</f>
        <v>108768</v>
      </c>
      <c r="H37" s="217">
        <f>F37</f>
        <v>21333.034031702718</v>
      </c>
      <c r="I37" s="219">
        <f>H37/G37</f>
        <v>0.19613336672277434</v>
      </c>
      <c r="J37" s="239">
        <v>0</v>
      </c>
      <c r="K37" s="218">
        <f>C37*J37</f>
        <v>0</v>
      </c>
      <c r="L37" s="218">
        <f>D37*J37</f>
        <v>0</v>
      </c>
      <c r="M37" s="217">
        <f>K37</f>
        <v>0</v>
      </c>
      <c r="N37" s="219" t="e">
        <f>M37/L37</f>
        <v>#DIV/0!</v>
      </c>
    </row>
    <row r="38" spans="1:14" ht="11.25" customHeight="1" x14ac:dyDescent="0.25">
      <c r="A38" s="195">
        <f>A37+1</f>
        <v>24</v>
      </c>
      <c r="B38" s="196" t="s">
        <v>148</v>
      </c>
      <c r="C38" s="197">
        <v>11121.343713755328</v>
      </c>
      <c r="D38" s="247">
        <v>63324.5</v>
      </c>
      <c r="E38" s="200">
        <v>1</v>
      </c>
      <c r="F38" s="197">
        <f>C38*E38</f>
        <v>11121.343713755328</v>
      </c>
      <c r="G38" s="197">
        <f>D38*E38</f>
        <v>63324.5</v>
      </c>
      <c r="H38" s="197">
        <f>F38</f>
        <v>11121.343713755328</v>
      </c>
      <c r="I38" s="199">
        <f>H38/G38</f>
        <v>0.17562465891961765</v>
      </c>
      <c r="J38" s="233">
        <v>1</v>
      </c>
      <c r="K38" s="198">
        <f>C38*J38</f>
        <v>11121.343713755328</v>
      </c>
      <c r="L38" s="198">
        <f>D38*J38</f>
        <v>63324.5</v>
      </c>
      <c r="M38" s="197">
        <f>K38</f>
        <v>11121.343713755328</v>
      </c>
      <c r="N38" s="199">
        <f>M38/L38</f>
        <v>0.17562465891961765</v>
      </c>
    </row>
    <row r="39" spans="1:14" ht="3" customHeight="1" x14ac:dyDescent="0.25">
      <c r="A39" s="200"/>
      <c r="B39" s="201"/>
      <c r="C39" s="202"/>
      <c r="D39" s="203"/>
      <c r="E39" s="200"/>
      <c r="F39" s="202"/>
      <c r="G39" s="202"/>
      <c r="H39" s="202"/>
      <c r="I39" s="203"/>
      <c r="J39" s="234"/>
      <c r="K39" s="202"/>
      <c r="L39" s="202"/>
      <c r="M39" s="202"/>
      <c r="N39" s="203"/>
    </row>
    <row r="40" spans="1:14" ht="11.25" customHeight="1" x14ac:dyDescent="0.25">
      <c r="A40" s="204">
        <f>A38+1</f>
        <v>25</v>
      </c>
      <c r="B40" s="205" t="s">
        <v>149</v>
      </c>
      <c r="C40" s="197">
        <v>12251.123411091348</v>
      </c>
      <c r="D40" s="247">
        <v>54640</v>
      </c>
      <c r="E40" s="200">
        <v>1</v>
      </c>
      <c r="F40" s="197">
        <f>C40*E40</f>
        <v>12251.123411091348</v>
      </c>
      <c r="G40" s="197">
        <f>D40*E40</f>
        <v>54640</v>
      </c>
      <c r="H40" s="197">
        <f>F40</f>
        <v>12251.123411091348</v>
      </c>
      <c r="I40" s="199">
        <f>H40/G40</f>
        <v>0.2242152893684361</v>
      </c>
      <c r="J40" s="233">
        <v>1</v>
      </c>
      <c r="K40" s="198">
        <f>C40*J40</f>
        <v>12251.123411091348</v>
      </c>
      <c r="L40" s="198">
        <f>D40*J40</f>
        <v>54640</v>
      </c>
      <c r="M40" s="197">
        <f>K40</f>
        <v>12251.123411091348</v>
      </c>
      <c r="N40" s="199">
        <f>M40/L40</f>
        <v>0.2242152893684361</v>
      </c>
    </row>
    <row r="41" spans="1:14" ht="11.25" customHeight="1" x14ac:dyDescent="0.25">
      <c r="A41" s="195">
        <f>A40+1</f>
        <v>26</v>
      </c>
      <c r="B41" s="196" t="s">
        <v>150</v>
      </c>
      <c r="C41" s="197">
        <v>15819.071481029188</v>
      </c>
      <c r="D41" s="247">
        <v>61977.75</v>
      </c>
      <c r="E41" s="200">
        <v>1</v>
      </c>
      <c r="F41" s="197">
        <f>C41*E41</f>
        <v>15819.071481029188</v>
      </c>
      <c r="G41" s="197">
        <f>D41*E41</f>
        <v>61977.75</v>
      </c>
      <c r="H41" s="197">
        <f>F41</f>
        <v>15819.071481029188</v>
      </c>
      <c r="I41" s="199">
        <f>H41/G41</f>
        <v>0.25523791168651955</v>
      </c>
      <c r="J41" s="233">
        <v>1</v>
      </c>
      <c r="K41" s="198">
        <f>C41*J41</f>
        <v>15819.071481029188</v>
      </c>
      <c r="L41" s="198">
        <f>D41*J41</f>
        <v>61977.75</v>
      </c>
      <c r="M41" s="197">
        <f>K41</f>
        <v>15819.071481029188</v>
      </c>
      <c r="N41" s="199">
        <f>M41/L41</f>
        <v>0.25523791168651955</v>
      </c>
    </row>
    <row r="42" spans="1:14" ht="3" customHeight="1" thickBot="1" x14ac:dyDescent="0.3">
      <c r="A42" s="220"/>
      <c r="B42" s="221"/>
      <c r="C42" s="222"/>
      <c r="D42" s="224"/>
      <c r="E42" s="220"/>
      <c r="F42" s="222"/>
      <c r="G42" s="222"/>
      <c r="H42" s="222"/>
      <c r="I42" s="224"/>
      <c r="J42" s="240"/>
      <c r="K42" s="222"/>
      <c r="L42" s="222"/>
      <c r="M42" s="222"/>
      <c r="N42" s="224"/>
    </row>
  </sheetData>
  <mergeCells count="14">
    <mergeCell ref="F2:F3"/>
    <mergeCell ref="A2:A3"/>
    <mergeCell ref="B2:B3"/>
    <mergeCell ref="C2:C3"/>
    <mergeCell ref="D2:D3"/>
    <mergeCell ref="E2:E3"/>
    <mergeCell ref="M2:M3"/>
    <mergeCell ref="N2:N3"/>
    <mergeCell ref="G2:G3"/>
    <mergeCell ref="H2:H3"/>
    <mergeCell ref="I2:I3"/>
    <mergeCell ref="J2:J3"/>
    <mergeCell ref="K2:K3"/>
    <mergeCell ref="L2:L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5"/>
  <sheetViews>
    <sheetView zoomScale="145" zoomScaleNormal="145" workbookViewId="0"/>
  </sheetViews>
  <sheetFormatPr defaultRowHeight="12" x14ac:dyDescent="0.25"/>
  <cols>
    <col min="1" max="1" width="9.140625" style="187" customWidth="1"/>
    <col min="2" max="15" width="9.140625" style="187"/>
    <col min="16" max="16" width="14.42578125" style="187" bestFit="1" customWidth="1"/>
    <col min="17" max="16384" width="9.140625" style="187"/>
  </cols>
  <sheetData>
    <row r="1" spans="1:26" x14ac:dyDescent="0.25">
      <c r="A1" s="225"/>
      <c r="O1" s="342"/>
      <c r="P1" s="257"/>
      <c r="Q1" s="257"/>
      <c r="R1" s="257"/>
      <c r="S1" s="257"/>
      <c r="T1" s="257"/>
      <c r="U1" s="257"/>
      <c r="V1" s="257"/>
      <c r="W1" s="257"/>
      <c r="X1" s="257"/>
      <c r="Y1" s="257"/>
      <c r="Z1" s="257"/>
    </row>
    <row r="2" spans="1:26" x14ac:dyDescent="0.25">
      <c r="A2" s="226" t="s">
        <v>151</v>
      </c>
      <c r="B2" s="226" t="s">
        <v>152</v>
      </c>
      <c r="O2" s="343"/>
      <c r="P2" s="343"/>
      <c r="Q2" s="343"/>
      <c r="R2" s="257"/>
      <c r="S2" s="257"/>
      <c r="T2" s="257"/>
      <c r="U2" s="257"/>
      <c r="V2" s="257"/>
      <c r="W2" s="257"/>
      <c r="X2" s="257"/>
      <c r="Y2" s="257"/>
      <c r="Z2" s="257"/>
    </row>
    <row r="3" spans="1:26" x14ac:dyDescent="0.25">
      <c r="A3" s="227">
        <v>1</v>
      </c>
      <c r="B3" s="187" t="s">
        <v>153</v>
      </c>
      <c r="O3" s="261"/>
      <c r="P3" s="261"/>
      <c r="Q3" s="261"/>
      <c r="R3" s="257"/>
      <c r="S3" s="257"/>
      <c r="T3" s="257"/>
      <c r="U3" s="257"/>
      <c r="V3" s="257"/>
      <c r="W3" s="257"/>
      <c r="X3" s="257"/>
      <c r="Y3" s="257"/>
      <c r="Z3" s="257"/>
    </row>
    <row r="4" spans="1:26" x14ac:dyDescent="0.25">
      <c r="A4" s="227">
        <f>A3+1</f>
        <v>2</v>
      </c>
      <c r="B4" s="187" t="s">
        <v>154</v>
      </c>
      <c r="O4" s="261"/>
      <c r="P4" s="261"/>
      <c r="Q4" s="261"/>
      <c r="R4" s="257"/>
      <c r="S4" s="257"/>
      <c r="T4" s="257"/>
      <c r="U4" s="257"/>
      <c r="V4" s="257"/>
      <c r="W4" s="257"/>
      <c r="X4" s="257"/>
      <c r="Y4" s="257"/>
      <c r="Z4" s="257"/>
    </row>
    <row r="5" spans="1:26" x14ac:dyDescent="0.25">
      <c r="A5" s="227">
        <f t="shared" ref="A5:A13" si="0">A4+1</f>
        <v>3</v>
      </c>
      <c r="B5" s="187" t="s">
        <v>155</v>
      </c>
      <c r="O5" s="261"/>
      <c r="P5" s="261"/>
      <c r="Q5" s="261"/>
      <c r="R5" s="257"/>
      <c r="S5" s="257"/>
      <c r="T5" s="257"/>
      <c r="U5" s="257"/>
      <c r="V5" s="257"/>
      <c r="W5" s="257"/>
      <c r="X5" s="257"/>
      <c r="Y5" s="257"/>
      <c r="Z5" s="257"/>
    </row>
    <row r="6" spans="1:26" x14ac:dyDescent="0.25">
      <c r="A6" s="227">
        <f t="shared" si="0"/>
        <v>4</v>
      </c>
      <c r="B6" s="187" t="s">
        <v>156</v>
      </c>
      <c r="O6" s="261"/>
      <c r="P6" s="261"/>
      <c r="Q6" s="261"/>
      <c r="R6" s="257"/>
      <c r="S6" s="257"/>
      <c r="T6" s="257"/>
      <c r="U6" s="257"/>
      <c r="V6" s="257"/>
      <c r="W6" s="257"/>
      <c r="X6" s="257"/>
      <c r="Y6" s="257"/>
      <c r="Z6" s="257"/>
    </row>
    <row r="7" spans="1:26" x14ac:dyDescent="0.25">
      <c r="A7" s="227">
        <f t="shared" si="0"/>
        <v>5</v>
      </c>
      <c r="B7" s="187" t="s">
        <v>157</v>
      </c>
      <c r="O7" s="344"/>
      <c r="P7" s="261"/>
      <c r="Q7" s="261"/>
      <c r="R7" s="257"/>
      <c r="S7" s="257"/>
      <c r="T7" s="257"/>
      <c r="U7" s="257"/>
      <c r="V7" s="257"/>
      <c r="W7" s="257"/>
      <c r="X7" s="257"/>
      <c r="Y7" s="257"/>
      <c r="Z7" s="257"/>
    </row>
    <row r="8" spans="1:26" x14ac:dyDescent="0.25">
      <c r="A8" s="227">
        <f t="shared" si="0"/>
        <v>6</v>
      </c>
      <c r="B8" s="187" t="s">
        <v>158</v>
      </c>
      <c r="O8" s="261"/>
      <c r="P8" s="261"/>
      <c r="Q8" s="261"/>
      <c r="R8" s="257"/>
      <c r="S8" s="257"/>
      <c r="T8" s="257"/>
      <c r="U8" s="257"/>
      <c r="V8" s="257"/>
      <c r="W8" s="257"/>
      <c r="X8" s="257"/>
      <c r="Y8" s="257"/>
      <c r="Z8" s="257"/>
    </row>
    <row r="9" spans="1:26" x14ac:dyDescent="0.25">
      <c r="A9" s="227">
        <f t="shared" si="0"/>
        <v>7</v>
      </c>
      <c r="B9" s="187" t="s">
        <v>159</v>
      </c>
      <c r="O9" s="261"/>
      <c r="P9" s="261"/>
      <c r="Q9" s="261"/>
      <c r="R9" s="257"/>
      <c r="S9" s="257"/>
      <c r="T9" s="257"/>
      <c r="U9" s="257"/>
      <c r="V9" s="257"/>
      <c r="W9" s="257"/>
      <c r="X9" s="257"/>
      <c r="Y9" s="257"/>
      <c r="Z9" s="257"/>
    </row>
    <row r="10" spans="1:26" x14ac:dyDescent="0.25">
      <c r="A10" s="227">
        <f t="shared" si="0"/>
        <v>8</v>
      </c>
      <c r="B10" s="187" t="s">
        <v>160</v>
      </c>
      <c r="O10" s="261"/>
      <c r="P10" s="261"/>
      <c r="Q10" s="261"/>
      <c r="R10" s="257"/>
      <c r="S10" s="257"/>
      <c r="T10" s="257"/>
      <c r="U10" s="257"/>
      <c r="V10" s="257"/>
      <c r="W10" s="257"/>
      <c r="X10" s="257"/>
      <c r="Y10" s="257"/>
      <c r="Z10" s="257"/>
    </row>
    <row r="11" spans="1:26" x14ac:dyDescent="0.25">
      <c r="A11" s="227">
        <f t="shared" si="0"/>
        <v>9</v>
      </c>
      <c r="B11" s="187" t="s">
        <v>161</v>
      </c>
      <c r="O11" s="257"/>
      <c r="P11" s="257"/>
      <c r="Q11" s="257"/>
      <c r="R11" s="257"/>
      <c r="S11" s="257"/>
      <c r="T11" s="257"/>
      <c r="U11" s="257"/>
      <c r="V11" s="257"/>
      <c r="W11" s="257"/>
      <c r="X11" s="257"/>
      <c r="Y11" s="257"/>
      <c r="Z11" s="257"/>
    </row>
    <row r="12" spans="1:26" x14ac:dyDescent="0.25">
      <c r="A12" s="227">
        <f t="shared" si="0"/>
        <v>10</v>
      </c>
      <c r="B12" s="187" t="s">
        <v>162</v>
      </c>
      <c r="O12" s="345"/>
      <c r="P12" s="257"/>
      <c r="Q12" s="257"/>
      <c r="R12" s="257"/>
      <c r="S12" s="257"/>
      <c r="T12" s="257"/>
      <c r="U12" s="257"/>
      <c r="V12" s="257"/>
      <c r="W12" s="257"/>
      <c r="X12" s="257"/>
      <c r="Y12" s="257"/>
      <c r="Z12" s="257"/>
    </row>
    <row r="13" spans="1:26" x14ac:dyDescent="0.25">
      <c r="A13" s="227">
        <f t="shared" si="0"/>
        <v>11</v>
      </c>
      <c r="B13" s="187" t="s">
        <v>163</v>
      </c>
      <c r="O13" s="342"/>
      <c r="P13" s="342"/>
      <c r="Q13" s="345"/>
      <c r="R13" s="345"/>
      <c r="S13" s="257"/>
      <c r="T13" s="257"/>
      <c r="U13" s="257"/>
      <c r="V13" s="257"/>
      <c r="W13" s="257"/>
      <c r="X13" s="257"/>
      <c r="Y13" s="257"/>
      <c r="Z13" s="257"/>
    </row>
    <row r="14" spans="1:26" x14ac:dyDescent="0.25">
      <c r="O14" s="342"/>
      <c r="P14" s="342"/>
      <c r="Q14" s="345"/>
      <c r="R14" s="345"/>
      <c r="S14" s="257"/>
      <c r="T14" s="257"/>
      <c r="U14" s="257"/>
      <c r="V14" s="257"/>
      <c r="W14" s="257"/>
      <c r="X14" s="257"/>
      <c r="Y14" s="257"/>
      <c r="Z14" s="257"/>
    </row>
    <row r="15" spans="1:26" x14ac:dyDescent="0.25">
      <c r="O15" s="342"/>
      <c r="P15" s="342"/>
      <c r="Q15" s="345"/>
      <c r="R15" s="345"/>
      <c r="S15" s="257"/>
      <c r="T15" s="257"/>
      <c r="U15" s="257"/>
      <c r="V15" s="257"/>
      <c r="W15" s="257"/>
      <c r="X15" s="257"/>
      <c r="Y15" s="257"/>
      <c r="Z15" s="257"/>
    </row>
    <row r="16" spans="1:26" x14ac:dyDescent="0.25">
      <c r="A16" s="226" t="s">
        <v>164</v>
      </c>
      <c r="B16" s="226" t="s">
        <v>165</v>
      </c>
      <c r="O16" s="345"/>
      <c r="P16" s="345"/>
      <c r="Q16" s="345"/>
      <c r="R16" s="345"/>
      <c r="S16" s="257"/>
      <c r="T16" s="257"/>
      <c r="U16" s="257"/>
      <c r="V16" s="257"/>
      <c r="W16" s="257"/>
      <c r="X16" s="257"/>
      <c r="Y16" s="257"/>
      <c r="Z16" s="257"/>
    </row>
    <row r="17" spans="1:26" x14ac:dyDescent="0.25">
      <c r="A17" s="227">
        <v>1</v>
      </c>
      <c r="B17" s="187" t="s">
        <v>166</v>
      </c>
      <c r="O17" s="342"/>
      <c r="P17" s="342"/>
      <c r="Q17" s="342"/>
      <c r="R17" s="345"/>
      <c r="S17" s="257"/>
      <c r="T17" s="257"/>
      <c r="U17" s="257"/>
      <c r="V17" s="257"/>
      <c r="W17" s="257"/>
      <c r="X17" s="257"/>
      <c r="Y17" s="257"/>
      <c r="Z17" s="257"/>
    </row>
    <row r="18" spans="1:26" x14ac:dyDescent="0.25">
      <c r="A18" s="227">
        <f>A17+1</f>
        <v>2</v>
      </c>
      <c r="B18" s="187" t="s">
        <v>167</v>
      </c>
      <c r="O18" s="345"/>
      <c r="P18" s="345"/>
      <c r="Q18" s="345"/>
      <c r="R18" s="345"/>
      <c r="S18" s="257"/>
      <c r="T18" s="257"/>
      <c r="U18" s="257"/>
      <c r="V18" s="257"/>
      <c r="W18" s="257"/>
      <c r="X18" s="257"/>
      <c r="Y18" s="257"/>
      <c r="Z18" s="257"/>
    </row>
    <row r="19" spans="1:26" x14ac:dyDescent="0.25">
      <c r="A19" s="227">
        <f t="shared" ref="A19:A32" si="1">A18+1</f>
        <v>3</v>
      </c>
      <c r="B19" s="187" t="s">
        <v>155</v>
      </c>
      <c r="O19" s="342"/>
      <c r="P19" s="342"/>
      <c r="Q19" s="345"/>
      <c r="R19" s="345"/>
      <c r="S19" s="257"/>
      <c r="T19" s="257"/>
      <c r="U19" s="257"/>
      <c r="V19" s="257"/>
      <c r="W19" s="257"/>
      <c r="X19" s="257"/>
      <c r="Y19" s="257"/>
      <c r="Z19" s="257"/>
    </row>
    <row r="20" spans="1:26" x14ac:dyDescent="0.25">
      <c r="A20" s="227">
        <f t="shared" si="1"/>
        <v>4</v>
      </c>
      <c r="B20" s="187" t="s">
        <v>168</v>
      </c>
      <c r="O20" s="345"/>
      <c r="P20" s="345"/>
      <c r="Q20" s="345"/>
      <c r="R20" s="345"/>
      <c r="S20" s="257"/>
      <c r="T20" s="257"/>
      <c r="U20" s="257"/>
      <c r="V20" s="257"/>
      <c r="W20" s="257"/>
      <c r="X20" s="257"/>
      <c r="Y20" s="257"/>
      <c r="Z20" s="257"/>
    </row>
    <row r="21" spans="1:26" x14ac:dyDescent="0.25">
      <c r="A21" s="227">
        <f t="shared" si="1"/>
        <v>5</v>
      </c>
      <c r="B21" s="187" t="s">
        <v>169</v>
      </c>
      <c r="O21" s="345"/>
      <c r="P21" s="345"/>
      <c r="Q21" s="345"/>
      <c r="R21" s="345"/>
      <c r="S21" s="257"/>
      <c r="T21" s="257"/>
      <c r="U21" s="257"/>
      <c r="V21" s="257"/>
      <c r="W21" s="257"/>
      <c r="X21" s="257"/>
      <c r="Y21" s="257"/>
      <c r="Z21" s="257"/>
    </row>
    <row r="22" spans="1:26" x14ac:dyDescent="0.25">
      <c r="A22" s="227">
        <f t="shared" si="1"/>
        <v>6</v>
      </c>
      <c r="B22" s="187" t="s">
        <v>156</v>
      </c>
      <c r="O22" s="257"/>
      <c r="P22" s="257"/>
      <c r="Q22" s="345"/>
      <c r="R22" s="345"/>
      <c r="S22" s="257"/>
      <c r="T22" s="257"/>
      <c r="U22" s="257"/>
      <c r="V22" s="257"/>
      <c r="W22" s="257"/>
      <c r="X22" s="257"/>
      <c r="Y22" s="257"/>
      <c r="Z22" s="257"/>
    </row>
    <row r="23" spans="1:26" x14ac:dyDescent="0.25">
      <c r="A23" s="227">
        <f t="shared" si="1"/>
        <v>7</v>
      </c>
      <c r="B23" s="187" t="s">
        <v>157</v>
      </c>
      <c r="O23" s="345"/>
      <c r="P23" s="345"/>
      <c r="Q23" s="345"/>
      <c r="R23" s="345"/>
      <c r="S23" s="257"/>
      <c r="T23" s="257"/>
      <c r="U23" s="257"/>
      <c r="V23" s="257"/>
      <c r="W23" s="257"/>
      <c r="X23" s="257"/>
      <c r="Y23" s="257"/>
      <c r="Z23" s="257"/>
    </row>
    <row r="24" spans="1:26" x14ac:dyDescent="0.25">
      <c r="A24" s="227">
        <f t="shared" si="1"/>
        <v>8</v>
      </c>
      <c r="B24" s="187" t="s">
        <v>158</v>
      </c>
      <c r="O24" s="345"/>
      <c r="P24" s="345"/>
      <c r="Q24" s="345"/>
      <c r="R24" s="345"/>
      <c r="S24" s="257"/>
      <c r="T24" s="257"/>
      <c r="U24" s="257"/>
      <c r="V24" s="257"/>
      <c r="W24" s="257"/>
      <c r="X24" s="257"/>
      <c r="Y24" s="257"/>
      <c r="Z24" s="257"/>
    </row>
    <row r="25" spans="1:26" x14ac:dyDescent="0.25">
      <c r="A25" s="227">
        <f t="shared" si="1"/>
        <v>9</v>
      </c>
      <c r="B25" s="226" t="s">
        <v>170</v>
      </c>
      <c r="O25" s="342"/>
      <c r="P25" s="345"/>
      <c r="Q25" s="345"/>
      <c r="R25" s="345"/>
      <c r="S25" s="257"/>
      <c r="T25" s="257"/>
      <c r="U25" s="257"/>
      <c r="V25" s="257"/>
      <c r="W25" s="257"/>
      <c r="X25" s="257"/>
      <c r="Y25" s="257"/>
      <c r="Z25" s="257"/>
    </row>
    <row r="26" spans="1:26" x14ac:dyDescent="0.25">
      <c r="A26" s="227">
        <f t="shared" si="1"/>
        <v>10</v>
      </c>
      <c r="B26" s="187" t="s">
        <v>171</v>
      </c>
      <c r="O26" s="345"/>
      <c r="P26" s="345"/>
      <c r="Q26" s="345"/>
      <c r="R26" s="345"/>
      <c r="S26" s="257"/>
      <c r="T26" s="257"/>
      <c r="U26" s="257"/>
      <c r="V26" s="257"/>
      <c r="W26" s="257"/>
      <c r="X26" s="257"/>
      <c r="Y26" s="257"/>
      <c r="Z26" s="257"/>
    </row>
    <row r="27" spans="1:26" x14ac:dyDescent="0.25">
      <c r="A27" s="227">
        <f t="shared" si="1"/>
        <v>11</v>
      </c>
      <c r="B27" s="226" t="s">
        <v>172</v>
      </c>
      <c r="O27" s="345"/>
      <c r="P27" s="345"/>
      <c r="Q27" s="345"/>
      <c r="R27" s="345"/>
      <c r="S27" s="257"/>
      <c r="T27" s="257"/>
      <c r="U27" s="257"/>
      <c r="V27" s="257"/>
      <c r="W27" s="257"/>
      <c r="X27" s="257"/>
      <c r="Y27" s="257"/>
      <c r="Z27" s="257"/>
    </row>
    <row r="28" spans="1:26" x14ac:dyDescent="0.25">
      <c r="A28" s="227">
        <f t="shared" si="1"/>
        <v>12</v>
      </c>
      <c r="B28" s="187" t="s">
        <v>173</v>
      </c>
      <c r="O28" s="342"/>
      <c r="P28" s="345"/>
      <c r="Q28" s="345"/>
      <c r="R28" s="345"/>
      <c r="S28" s="257"/>
      <c r="T28" s="257"/>
      <c r="U28" s="257"/>
      <c r="V28" s="257"/>
      <c r="W28" s="257"/>
      <c r="X28" s="257"/>
      <c r="Y28" s="257"/>
      <c r="Z28" s="257"/>
    </row>
    <row r="29" spans="1:26" x14ac:dyDescent="0.25">
      <c r="A29" s="227">
        <f t="shared" si="1"/>
        <v>13</v>
      </c>
      <c r="B29" s="226" t="s">
        <v>174</v>
      </c>
    </row>
    <row r="30" spans="1:26" x14ac:dyDescent="0.25">
      <c r="A30" s="227">
        <f t="shared" si="1"/>
        <v>14</v>
      </c>
      <c r="B30" s="187" t="s">
        <v>175</v>
      </c>
    </row>
    <row r="31" spans="1:26" x14ac:dyDescent="0.25">
      <c r="A31" s="227">
        <f t="shared" si="1"/>
        <v>15</v>
      </c>
      <c r="B31" s="226" t="s">
        <v>176</v>
      </c>
    </row>
    <row r="32" spans="1:26" x14ac:dyDescent="0.25">
      <c r="A32" s="227">
        <f t="shared" si="1"/>
        <v>16</v>
      </c>
      <c r="B32" s="187" t="s">
        <v>177</v>
      </c>
    </row>
    <row r="33" spans="1:2" x14ac:dyDescent="0.25">
      <c r="B33" s="187" t="s">
        <v>178</v>
      </c>
    </row>
    <row r="34" spans="1:2" x14ac:dyDescent="0.25">
      <c r="B34" s="226" t="s">
        <v>179</v>
      </c>
    </row>
    <row r="36" spans="1:2" x14ac:dyDescent="0.25">
      <c r="A36" s="226" t="s">
        <v>180</v>
      </c>
      <c r="B36" s="226" t="s">
        <v>181</v>
      </c>
    </row>
    <row r="37" spans="1:2" x14ac:dyDescent="0.25">
      <c r="A37" s="227">
        <v>1</v>
      </c>
      <c r="B37" s="231" t="s">
        <v>182</v>
      </c>
    </row>
    <row r="38" spans="1:2" x14ac:dyDescent="0.25">
      <c r="A38" s="227">
        <f>A37+1</f>
        <v>2</v>
      </c>
      <c r="B38" s="187" t="s">
        <v>156</v>
      </c>
    </row>
    <row r="39" spans="1:2" x14ac:dyDescent="0.25">
      <c r="A39" s="227">
        <f t="shared" ref="A39:A45" si="2">A38+1</f>
        <v>3</v>
      </c>
      <c r="B39" s="187" t="s">
        <v>157</v>
      </c>
    </row>
    <row r="40" spans="1:2" x14ac:dyDescent="0.25">
      <c r="A40" s="227">
        <f t="shared" si="2"/>
        <v>4</v>
      </c>
      <c r="B40" s="187" t="s">
        <v>158</v>
      </c>
    </row>
    <row r="41" spans="1:2" x14ac:dyDescent="0.25">
      <c r="A41" s="227">
        <f t="shared" si="2"/>
        <v>5</v>
      </c>
      <c r="B41" s="187" t="s">
        <v>183</v>
      </c>
    </row>
    <row r="42" spans="1:2" x14ac:dyDescent="0.25">
      <c r="A42" s="227">
        <f t="shared" si="2"/>
        <v>6</v>
      </c>
      <c r="B42" s="187" t="s">
        <v>184</v>
      </c>
    </row>
    <row r="43" spans="1:2" x14ac:dyDescent="0.25">
      <c r="A43" s="227">
        <f t="shared" si="2"/>
        <v>7</v>
      </c>
      <c r="B43" s="187" t="s">
        <v>161</v>
      </c>
    </row>
    <row r="44" spans="1:2" x14ac:dyDescent="0.25">
      <c r="A44" s="227">
        <f t="shared" si="2"/>
        <v>8</v>
      </c>
      <c r="B44" s="187" t="s">
        <v>162</v>
      </c>
    </row>
    <row r="45" spans="1:2" x14ac:dyDescent="0.25">
      <c r="A45" s="227">
        <f t="shared" si="2"/>
        <v>9</v>
      </c>
      <c r="B45" s="187" t="s">
        <v>163</v>
      </c>
    </row>
  </sheetData>
  <pageMargins left="0.7" right="0.7" top="0.75" bottom="0.75" header="0.3" footer="0.3"/>
  <pageSetup paperSize="5" orientation="portrait" horizontalDpi="4294967294"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L80"/>
  <sheetViews>
    <sheetView zoomScale="175" zoomScaleNormal="175" workbookViewId="0">
      <selection activeCell="D16" sqref="D16:E16"/>
    </sheetView>
  </sheetViews>
  <sheetFormatPr defaultRowHeight="11.25" x14ac:dyDescent="0.25"/>
  <cols>
    <col min="1" max="3" width="12.7109375" style="5" customWidth="1"/>
    <col min="4" max="11" width="8.7109375" style="5" customWidth="1"/>
    <col min="12" max="13" width="12.7109375" style="5" customWidth="1"/>
    <col min="14" max="16384" width="9.140625" style="5"/>
  </cols>
  <sheetData>
    <row r="1" spans="1:12" x14ac:dyDescent="0.25">
      <c r="A1" s="365" t="s">
        <v>30</v>
      </c>
      <c r="B1" s="365"/>
      <c r="C1" s="365"/>
      <c r="D1" s="385" t="s">
        <v>31</v>
      </c>
      <c r="E1" s="385"/>
      <c r="G1" s="122" t="s">
        <v>32</v>
      </c>
      <c r="H1" s="122" t="s">
        <v>33</v>
      </c>
    </row>
    <row r="2" spans="1:12" x14ac:dyDescent="0.25">
      <c r="A2" s="365" t="s">
        <v>34</v>
      </c>
      <c r="B2" s="365"/>
      <c r="C2" s="365"/>
      <c r="D2" s="386">
        <v>10000000</v>
      </c>
      <c r="E2" s="386"/>
    </row>
    <row r="3" spans="1:12" x14ac:dyDescent="0.25">
      <c r="A3" s="365" t="s">
        <v>35</v>
      </c>
      <c r="B3" s="365"/>
      <c r="C3" s="365"/>
      <c r="D3" s="387">
        <v>2.5000000000000001E-3</v>
      </c>
      <c r="E3" s="387"/>
    </row>
    <row r="4" spans="1:12" x14ac:dyDescent="0.25">
      <c r="A4" s="365" t="s">
        <v>36</v>
      </c>
      <c r="B4" s="365"/>
      <c r="C4" s="365"/>
      <c r="D4" s="382"/>
      <c r="E4" s="383"/>
      <c r="F4" s="123" t="s">
        <v>37</v>
      </c>
    </row>
    <row r="5" spans="1:12" x14ac:dyDescent="0.25">
      <c r="A5" s="365" t="s">
        <v>38</v>
      </c>
      <c r="B5" s="365"/>
      <c r="C5" s="365"/>
      <c r="D5" s="378">
        <f>D2+D4</f>
        <v>10000000</v>
      </c>
      <c r="E5" s="378"/>
      <c r="G5" s="122"/>
      <c r="H5" s="122"/>
    </row>
    <row r="6" spans="1:12" x14ac:dyDescent="0.25">
      <c r="A6" s="365" t="s">
        <v>39</v>
      </c>
      <c r="B6" s="365"/>
      <c r="C6" s="365"/>
      <c r="D6" s="384">
        <f>IF((D5&gt;=100%*D2),D3,IF(AND((D5&gt;=90%*D2),(D5&lt;100%*D2)),C22,IF(AND((D5&gt;=80%*D2),(D5&lt;90%*D2)),D22,IF(AND((D5&gt;=70%*D2),(D5&lt;80%*D2)),E22,IF(AND((D5&gt;=60%*D2),(D5&lt;70%*D2)),F22,IF(AND((D5&gt;=50%*D2),(D5&lt;60%*D2)),G22,IF(AND((D5&gt;=40%*D2),(D5&lt;50%*D2)),H22,IF(AND((D5&gt;=30%*D2),(D5&lt;40%*D2)),I22,IF(AND((D5&gt;=20%*D2),(D5&lt;30%*D2)),J22,IF(AND((D5&gt;=10%*D2),(D5&lt;20%*D2)),K22,IF((D5&lt;=10%*D2),L22,"Check")))))))))))</f>
        <v>2.5000000000000001E-3</v>
      </c>
      <c r="E6" s="384"/>
    </row>
    <row r="7" spans="1:12" x14ac:dyDescent="0.25">
      <c r="A7" s="365" t="s">
        <v>40</v>
      </c>
      <c r="B7" s="365"/>
      <c r="C7" s="365"/>
      <c r="D7" s="378">
        <f>D5*D6</f>
        <v>25000</v>
      </c>
      <c r="E7" s="378"/>
      <c r="L7" s="124"/>
    </row>
    <row r="8" spans="1:12" x14ac:dyDescent="0.25">
      <c r="A8" s="365" t="s">
        <v>41</v>
      </c>
      <c r="B8" s="365"/>
      <c r="C8" s="365"/>
      <c r="D8" s="379">
        <f>D5/D7</f>
        <v>400</v>
      </c>
      <c r="E8" s="379"/>
    </row>
    <row r="9" spans="1:12" x14ac:dyDescent="0.25">
      <c r="A9" s="365" t="s">
        <v>42</v>
      </c>
      <c r="B9" s="365"/>
      <c r="C9" s="365"/>
      <c r="D9" s="380">
        <v>0.2</v>
      </c>
      <c r="E9" s="381"/>
    </row>
    <row r="10" spans="1:12" x14ac:dyDescent="0.25">
      <c r="A10" s="365" t="s">
        <v>43</v>
      </c>
      <c r="B10" s="365"/>
      <c r="C10" s="365"/>
      <c r="D10" s="370">
        <v>2</v>
      </c>
      <c r="E10" s="371"/>
    </row>
    <row r="11" spans="1:12" x14ac:dyDescent="0.25">
      <c r="A11" s="372" t="s">
        <v>44</v>
      </c>
      <c r="B11" s="373"/>
      <c r="C11" s="374"/>
      <c r="D11" s="375">
        <v>5</v>
      </c>
      <c r="E11" s="376"/>
    </row>
    <row r="12" spans="1:12" x14ac:dyDescent="0.25">
      <c r="A12" s="365" t="s">
        <v>45</v>
      </c>
      <c r="B12" s="365"/>
      <c r="C12" s="365"/>
      <c r="D12" s="377">
        <v>0.4</v>
      </c>
      <c r="E12" s="376"/>
    </row>
    <row r="13" spans="1:12" x14ac:dyDescent="0.25">
      <c r="A13" s="365" t="s">
        <v>46</v>
      </c>
      <c r="B13" s="365"/>
      <c r="C13" s="365"/>
      <c r="D13" s="370">
        <v>0.75</v>
      </c>
      <c r="E13" s="371"/>
    </row>
    <row r="14" spans="1:12" x14ac:dyDescent="0.25">
      <c r="A14" s="372" t="s">
        <v>47</v>
      </c>
      <c r="B14" s="373"/>
      <c r="C14" s="374"/>
      <c r="D14" s="375">
        <v>0.05</v>
      </c>
      <c r="E14" s="376"/>
    </row>
    <row r="15" spans="1:12" x14ac:dyDescent="0.25">
      <c r="A15" s="365" t="s">
        <v>48</v>
      </c>
      <c r="B15" s="365"/>
      <c r="C15" s="365"/>
      <c r="D15" s="125">
        <v>51</v>
      </c>
      <c r="E15" s="125">
        <v>49</v>
      </c>
    </row>
    <row r="16" spans="1:12" x14ac:dyDescent="0.25">
      <c r="A16" s="365" t="s">
        <v>49</v>
      </c>
      <c r="B16" s="365"/>
      <c r="C16" s="365"/>
      <c r="D16" s="369" t="s">
        <v>50</v>
      </c>
      <c r="E16" s="369"/>
    </row>
    <row r="17" spans="1:12" x14ac:dyDescent="0.25">
      <c r="A17" s="365" t="s">
        <v>51</v>
      </c>
      <c r="B17" s="365"/>
      <c r="C17" s="365"/>
      <c r="D17" s="366">
        <v>10</v>
      </c>
      <c r="E17" s="366"/>
    </row>
    <row r="18" spans="1:12" x14ac:dyDescent="0.25">
      <c r="A18" s="365" t="s">
        <v>52</v>
      </c>
      <c r="B18" s="365"/>
      <c r="C18" s="365"/>
      <c r="D18" s="126">
        <f ca="1">DATE(YEAR(NOW()),MONTH(NOW()),DAY(NOW()))+TIME(9,15,0)</f>
        <v>45353.385416666664</v>
      </c>
      <c r="E18" s="126">
        <v>0.41666666666666669</v>
      </c>
    </row>
    <row r="19" spans="1:12" x14ac:dyDescent="0.25">
      <c r="A19" s="365" t="s">
        <v>53</v>
      </c>
      <c r="B19" s="365"/>
      <c r="C19" s="365"/>
      <c r="D19" s="367">
        <f ca="1">NOW()</f>
        <v>45353.030630787034</v>
      </c>
      <c r="E19" s="367"/>
    </row>
    <row r="20" spans="1:12" ht="12" thickBot="1" x14ac:dyDescent="0.3"/>
    <row r="21" spans="1:12" ht="12" thickBot="1" x14ac:dyDescent="0.3">
      <c r="A21" s="359" t="s">
        <v>54</v>
      </c>
      <c r="B21" s="368"/>
      <c r="C21" s="127" t="s">
        <v>55</v>
      </c>
      <c r="D21" s="128" t="s">
        <v>56</v>
      </c>
      <c r="E21" s="128" t="s">
        <v>57</v>
      </c>
      <c r="F21" s="128" t="s">
        <v>58</v>
      </c>
      <c r="G21" s="128" t="s">
        <v>59</v>
      </c>
      <c r="H21" s="128" t="s">
        <v>60</v>
      </c>
      <c r="I21" s="128" t="s">
        <v>61</v>
      </c>
      <c r="J21" s="128" t="s">
        <v>62</v>
      </c>
      <c r="K21" s="128" t="s">
        <v>63</v>
      </c>
      <c r="L21" s="129" t="s">
        <v>64</v>
      </c>
    </row>
    <row r="22" spans="1:12" ht="12" thickBot="1" x14ac:dyDescent="0.3">
      <c r="A22" s="357" t="s">
        <v>65</v>
      </c>
      <c r="B22" s="358"/>
      <c r="C22" s="130">
        <f>D3</f>
        <v>2.5000000000000001E-3</v>
      </c>
      <c r="D22" s="131">
        <f t="shared" ref="D22:L22" si="0">C22*(100%-$D$9)</f>
        <v>2E-3</v>
      </c>
      <c r="E22" s="131">
        <f t="shared" si="0"/>
        <v>1.6000000000000001E-3</v>
      </c>
      <c r="F22" s="131">
        <f t="shared" si="0"/>
        <v>1.2800000000000001E-3</v>
      </c>
      <c r="G22" s="131">
        <f t="shared" si="0"/>
        <v>1.0240000000000002E-3</v>
      </c>
      <c r="H22" s="131">
        <f t="shared" si="0"/>
        <v>8.1920000000000018E-4</v>
      </c>
      <c r="I22" s="131">
        <f t="shared" si="0"/>
        <v>6.5536000000000023E-4</v>
      </c>
      <c r="J22" s="131">
        <f t="shared" si="0"/>
        <v>5.2428800000000025E-4</v>
      </c>
      <c r="K22" s="131">
        <f t="shared" si="0"/>
        <v>4.1943040000000023E-4</v>
      </c>
      <c r="L22" s="132">
        <f t="shared" si="0"/>
        <v>3.355443200000002E-4</v>
      </c>
    </row>
    <row r="23" spans="1:12" ht="12" thickBot="1" x14ac:dyDescent="0.3">
      <c r="F23" s="133"/>
    </row>
    <row r="24" spans="1:12" ht="12" thickBot="1" x14ac:dyDescent="0.3">
      <c r="A24" s="359" t="s">
        <v>66</v>
      </c>
      <c r="B24" s="360"/>
      <c r="C24" s="134" t="s">
        <v>67</v>
      </c>
      <c r="D24" s="135" t="s">
        <v>68</v>
      </c>
      <c r="E24" s="135" t="s">
        <v>69</v>
      </c>
      <c r="F24" s="135" t="s">
        <v>70</v>
      </c>
      <c r="G24" s="135" t="s">
        <v>71</v>
      </c>
      <c r="H24" s="135" t="s">
        <v>72</v>
      </c>
      <c r="I24" s="135" t="s">
        <v>73</v>
      </c>
      <c r="J24" s="135" t="s">
        <v>74</v>
      </c>
      <c r="K24" s="136" t="s">
        <v>75</v>
      </c>
    </row>
    <row r="25" spans="1:12" x14ac:dyDescent="0.25">
      <c r="A25" s="361" t="s">
        <v>76</v>
      </c>
      <c r="B25" s="362"/>
      <c r="C25" s="137">
        <v>2.0000000000000001E-4</v>
      </c>
      <c r="D25" s="138">
        <v>2.0999999999999999E-5</v>
      </c>
      <c r="E25" s="139">
        <v>0.14000000000000001</v>
      </c>
      <c r="F25" s="140">
        <v>5.0000000000000001E-3</v>
      </c>
      <c r="G25" s="140">
        <v>5.0000000000000001E-3</v>
      </c>
      <c r="H25" s="141" t="s">
        <v>19</v>
      </c>
      <c r="I25" s="142">
        <v>2.0000000000000002E-5</v>
      </c>
      <c r="J25" s="140">
        <v>1E-4</v>
      </c>
      <c r="K25" s="143">
        <v>4.0000000000000002E-4</v>
      </c>
    </row>
    <row r="26" spans="1:12" ht="12" thickBot="1" x14ac:dyDescent="0.3">
      <c r="A26" s="363" t="s">
        <v>77</v>
      </c>
      <c r="B26" s="364"/>
      <c r="C26" s="144">
        <v>20</v>
      </c>
      <c r="D26" s="145" t="s">
        <v>19</v>
      </c>
      <c r="E26" s="145" t="s">
        <v>19</v>
      </c>
      <c r="F26" s="145" t="s">
        <v>19</v>
      </c>
      <c r="G26" s="145" t="s">
        <v>19</v>
      </c>
      <c r="H26" s="146">
        <f>20/10000000</f>
        <v>1.9999999999999999E-6</v>
      </c>
      <c r="I26" s="145" t="s">
        <v>19</v>
      </c>
      <c r="J26" s="145" t="s">
        <v>19</v>
      </c>
      <c r="K26" s="147"/>
    </row>
    <row r="78" spans="1:1" x14ac:dyDescent="0.25">
      <c r="A78" s="122" t="s">
        <v>24</v>
      </c>
    </row>
    <row r="79" spans="1:1" x14ac:dyDescent="0.25">
      <c r="A79" s="5" t="s">
        <v>50</v>
      </c>
    </row>
    <row r="80" spans="1:1" x14ac:dyDescent="0.25">
      <c r="A80" s="5" t="s">
        <v>78</v>
      </c>
    </row>
  </sheetData>
  <mergeCells count="41">
    <mergeCell ref="A1:C1"/>
    <mergeCell ref="D1:E1"/>
    <mergeCell ref="A2:C2"/>
    <mergeCell ref="D2:E2"/>
    <mergeCell ref="A3:C3"/>
    <mergeCell ref="D3:E3"/>
    <mergeCell ref="A4:C4"/>
    <mergeCell ref="D4:E4"/>
    <mergeCell ref="A5:C5"/>
    <mergeCell ref="D5:E5"/>
    <mergeCell ref="A6:C6"/>
    <mergeCell ref="D6:E6"/>
    <mergeCell ref="A7:C7"/>
    <mergeCell ref="D7:E7"/>
    <mergeCell ref="A8:C8"/>
    <mergeCell ref="D8:E8"/>
    <mergeCell ref="A9:C9"/>
    <mergeCell ref="D9:E9"/>
    <mergeCell ref="A16:C16"/>
    <mergeCell ref="D16:E16"/>
    <mergeCell ref="A10:C10"/>
    <mergeCell ref="D10:E10"/>
    <mergeCell ref="A11:C11"/>
    <mergeCell ref="D11:E11"/>
    <mergeCell ref="A12:C12"/>
    <mergeCell ref="D12:E12"/>
    <mergeCell ref="A13:C13"/>
    <mergeCell ref="D13:E13"/>
    <mergeCell ref="A14:C14"/>
    <mergeCell ref="D14:E14"/>
    <mergeCell ref="A15:C15"/>
    <mergeCell ref="D17:E17"/>
    <mergeCell ref="A18:C18"/>
    <mergeCell ref="A19:C19"/>
    <mergeCell ref="D19:E19"/>
    <mergeCell ref="A21:B21"/>
    <mergeCell ref="A22:B22"/>
    <mergeCell ref="A24:B24"/>
    <mergeCell ref="A25:B25"/>
    <mergeCell ref="A26:B26"/>
    <mergeCell ref="A17:C17"/>
  </mergeCells>
  <dataValidations count="1">
    <dataValidation type="list" allowBlank="1" showInputMessage="1" showErrorMessage="1" sqref="D16:E16" xr:uid="{00000000-0002-0000-0200-000000000000}">
      <formula1>$A$79:$A$80</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8"/>
  <sheetViews>
    <sheetView workbookViewId="0">
      <pane ySplit="2" topLeftCell="A3" activePane="bottomLeft" state="frozen"/>
      <selection pane="bottomLeft" activeCell="B5" sqref="B5"/>
    </sheetView>
  </sheetViews>
  <sheetFormatPr defaultRowHeight="12" x14ac:dyDescent="0.25"/>
  <cols>
    <col min="1" max="1" width="6" style="257" customWidth="1"/>
    <col min="2" max="2" width="17.7109375" style="257" customWidth="1"/>
    <col min="3" max="3" width="8.7109375" style="257" customWidth="1"/>
    <col min="4" max="4" width="9.7109375" style="257" customWidth="1"/>
    <col min="5" max="5" width="8.7109375" style="257" customWidth="1"/>
    <col min="6" max="7" width="5.7109375" style="257" customWidth="1"/>
    <col min="8" max="8" width="14.7109375" style="257" customWidth="1"/>
    <col min="9" max="9" width="6.7109375" style="257" customWidth="1"/>
    <col min="10" max="10" width="18.7109375" style="257" customWidth="1"/>
    <col min="11" max="11" width="17.7109375" style="257" customWidth="1"/>
    <col min="12" max="12" width="8.7109375" style="257" customWidth="1"/>
    <col min="13" max="13" width="17.7109375" style="257" customWidth="1"/>
    <col min="14" max="14" width="28.7109375" style="257" customWidth="1"/>
    <col min="15" max="16384" width="9.140625" style="257"/>
  </cols>
  <sheetData>
    <row r="1" spans="1:14" s="261" customFormat="1" ht="12" customHeight="1" thickBot="1" x14ac:dyDescent="0.3">
      <c r="A1" s="409" t="s">
        <v>4</v>
      </c>
      <c r="B1" s="411" t="s">
        <v>200</v>
      </c>
      <c r="C1" s="412"/>
      <c r="D1" s="412"/>
      <c r="E1" s="413"/>
      <c r="F1" s="413"/>
      <c r="G1" s="413"/>
      <c r="H1" s="414"/>
      <c r="I1" s="415" t="s">
        <v>201</v>
      </c>
      <c r="J1" s="417" t="s">
        <v>202</v>
      </c>
      <c r="K1" s="405" t="s">
        <v>234</v>
      </c>
      <c r="L1" s="405" t="s">
        <v>235</v>
      </c>
      <c r="M1" s="405" t="s">
        <v>245</v>
      </c>
      <c r="N1" s="407" t="s">
        <v>246</v>
      </c>
    </row>
    <row r="2" spans="1:14" s="261" customFormat="1" ht="24.75" thickBot="1" x14ac:dyDescent="0.3">
      <c r="A2" s="410"/>
      <c r="B2" s="419" t="s">
        <v>81</v>
      </c>
      <c r="C2" s="420"/>
      <c r="D2" s="333" t="s">
        <v>203</v>
      </c>
      <c r="E2" s="288" t="s">
        <v>204</v>
      </c>
      <c r="F2" s="289" t="s">
        <v>187</v>
      </c>
      <c r="G2" s="290" t="s">
        <v>205</v>
      </c>
      <c r="H2" s="297" t="s">
        <v>206</v>
      </c>
      <c r="I2" s="416"/>
      <c r="J2" s="418"/>
      <c r="K2" s="406"/>
      <c r="L2" s="406"/>
      <c r="M2" s="406"/>
      <c r="N2" s="408"/>
    </row>
    <row r="3" spans="1:14" s="291" customFormat="1" ht="12.75" thickBot="1" x14ac:dyDescent="0.3">
      <c r="A3" s="264" t="s">
        <v>257</v>
      </c>
      <c r="B3" s="332"/>
      <c r="C3" s="334"/>
      <c r="D3" s="292"/>
      <c r="E3" s="293"/>
      <c r="F3" s="294"/>
      <c r="G3" s="295"/>
      <c r="H3" s="307"/>
      <c r="I3" s="318"/>
      <c r="J3" s="313"/>
      <c r="K3" s="294"/>
      <c r="L3" s="296"/>
      <c r="M3" s="322"/>
      <c r="N3" s="295"/>
    </row>
    <row r="4" spans="1:14" x14ac:dyDescent="0.25">
      <c r="A4" s="396">
        <v>1</v>
      </c>
      <c r="B4" s="325" t="s">
        <v>248</v>
      </c>
      <c r="C4" s="390" t="s">
        <v>264</v>
      </c>
      <c r="D4" s="287" t="s">
        <v>19</v>
      </c>
      <c r="E4" s="276" t="s">
        <v>214</v>
      </c>
      <c r="F4" s="277" t="s">
        <v>215</v>
      </c>
      <c r="G4" s="397" t="s">
        <v>226</v>
      </c>
      <c r="H4" s="323" t="s">
        <v>19</v>
      </c>
      <c r="I4" s="315" t="s">
        <v>211</v>
      </c>
      <c r="J4" s="310" t="s">
        <v>250</v>
      </c>
      <c r="K4" s="278" t="s">
        <v>254</v>
      </c>
      <c r="L4" s="394" t="s">
        <v>212</v>
      </c>
      <c r="M4" s="319" t="s">
        <v>233</v>
      </c>
      <c r="N4" s="279" t="s">
        <v>238</v>
      </c>
    </row>
    <row r="5" spans="1:14" ht="12.75" thickBot="1" x14ac:dyDescent="0.3">
      <c r="A5" s="389"/>
      <c r="B5" s="326" t="s">
        <v>249</v>
      </c>
      <c r="C5" s="391"/>
      <c r="D5" s="281" t="s">
        <v>19</v>
      </c>
      <c r="E5" s="220" t="s">
        <v>208</v>
      </c>
      <c r="F5" s="256" t="s">
        <v>209</v>
      </c>
      <c r="G5" s="393"/>
      <c r="H5" s="303" t="s">
        <v>19</v>
      </c>
      <c r="I5" s="316" t="s">
        <v>216</v>
      </c>
      <c r="J5" s="311" t="s">
        <v>251</v>
      </c>
      <c r="K5" s="223" t="s">
        <v>255</v>
      </c>
      <c r="L5" s="395"/>
      <c r="M5" s="259" t="s">
        <v>232</v>
      </c>
      <c r="N5" s="260" t="s">
        <v>239</v>
      </c>
    </row>
    <row r="6" spans="1:14" x14ac:dyDescent="0.25">
      <c r="A6" s="388">
        <f>A4+1</f>
        <v>2</v>
      </c>
      <c r="B6" s="325" t="s">
        <v>248</v>
      </c>
      <c r="C6" s="390" t="s">
        <v>264</v>
      </c>
      <c r="D6" s="280" t="s">
        <v>19</v>
      </c>
      <c r="E6" s="228" t="s">
        <v>208</v>
      </c>
      <c r="F6" s="272" t="s">
        <v>209</v>
      </c>
      <c r="G6" s="392" t="s">
        <v>210</v>
      </c>
      <c r="H6" s="302" t="s">
        <v>19</v>
      </c>
      <c r="I6" s="317" t="s">
        <v>211</v>
      </c>
      <c r="J6" s="310" t="s">
        <v>250</v>
      </c>
      <c r="K6" s="278" t="s">
        <v>254</v>
      </c>
      <c r="L6" s="394" t="s">
        <v>212</v>
      </c>
      <c r="M6" s="319" t="s">
        <v>233</v>
      </c>
      <c r="N6" s="274" t="s">
        <v>238</v>
      </c>
    </row>
    <row r="7" spans="1:14" ht="12.75" thickBot="1" x14ac:dyDescent="0.3">
      <c r="A7" s="389"/>
      <c r="B7" s="326" t="s">
        <v>249</v>
      </c>
      <c r="C7" s="391"/>
      <c r="D7" s="281" t="s">
        <v>19</v>
      </c>
      <c r="E7" s="220" t="s">
        <v>214</v>
      </c>
      <c r="F7" s="256" t="s">
        <v>215</v>
      </c>
      <c r="G7" s="393"/>
      <c r="H7" s="303" t="s">
        <v>19</v>
      </c>
      <c r="I7" s="316" t="s">
        <v>216</v>
      </c>
      <c r="J7" s="311" t="s">
        <v>251</v>
      </c>
      <c r="K7" s="223" t="s">
        <v>255</v>
      </c>
      <c r="L7" s="395"/>
      <c r="M7" s="259" t="s">
        <v>232</v>
      </c>
      <c r="N7" s="260" t="s">
        <v>239</v>
      </c>
    </row>
    <row r="8" spans="1:14" x14ac:dyDescent="0.25">
      <c r="A8" s="388">
        <f t="shared" ref="A8:A22" si="0">A6+1</f>
        <v>3</v>
      </c>
      <c r="B8" s="325" t="s">
        <v>248</v>
      </c>
      <c r="C8" s="390" t="s">
        <v>264</v>
      </c>
      <c r="D8" s="280" t="s">
        <v>19</v>
      </c>
      <c r="E8" s="228" t="s">
        <v>214</v>
      </c>
      <c r="F8" s="272" t="s">
        <v>222</v>
      </c>
      <c r="G8" s="392" t="s">
        <v>226</v>
      </c>
      <c r="H8" s="302" t="s">
        <v>19</v>
      </c>
      <c r="I8" s="317" t="s">
        <v>211</v>
      </c>
      <c r="J8" s="310" t="s">
        <v>250</v>
      </c>
      <c r="K8" s="278" t="s">
        <v>254</v>
      </c>
      <c r="L8" s="394" t="s">
        <v>212</v>
      </c>
      <c r="M8" s="319" t="s">
        <v>233</v>
      </c>
      <c r="N8" s="274" t="s">
        <v>238</v>
      </c>
    </row>
    <row r="9" spans="1:14" ht="12.75" thickBot="1" x14ac:dyDescent="0.3">
      <c r="A9" s="389"/>
      <c r="B9" s="326" t="s">
        <v>249</v>
      </c>
      <c r="C9" s="391"/>
      <c r="D9" s="281" t="s">
        <v>19</v>
      </c>
      <c r="E9" s="220" t="s">
        <v>208</v>
      </c>
      <c r="F9" s="256" t="s">
        <v>221</v>
      </c>
      <c r="G9" s="393"/>
      <c r="H9" s="303" t="s">
        <v>19</v>
      </c>
      <c r="I9" s="316" t="s">
        <v>216</v>
      </c>
      <c r="J9" s="311" t="s">
        <v>251</v>
      </c>
      <c r="K9" s="223" t="s">
        <v>255</v>
      </c>
      <c r="L9" s="395"/>
      <c r="M9" s="259" t="s">
        <v>232</v>
      </c>
      <c r="N9" s="260" t="s">
        <v>239</v>
      </c>
    </row>
    <row r="10" spans="1:14" x14ac:dyDescent="0.25">
      <c r="A10" s="388">
        <f t="shared" si="0"/>
        <v>4</v>
      </c>
      <c r="B10" s="325" t="s">
        <v>248</v>
      </c>
      <c r="C10" s="390" t="s">
        <v>264</v>
      </c>
      <c r="D10" s="280" t="s">
        <v>19</v>
      </c>
      <c r="E10" s="228" t="s">
        <v>208</v>
      </c>
      <c r="F10" s="272" t="s">
        <v>221</v>
      </c>
      <c r="G10" s="392" t="s">
        <v>210</v>
      </c>
      <c r="H10" s="302" t="s">
        <v>19</v>
      </c>
      <c r="I10" s="317" t="s">
        <v>211</v>
      </c>
      <c r="J10" s="310" t="s">
        <v>250</v>
      </c>
      <c r="K10" s="278" t="s">
        <v>254</v>
      </c>
      <c r="L10" s="394" t="s">
        <v>212</v>
      </c>
      <c r="M10" s="319" t="s">
        <v>233</v>
      </c>
      <c r="N10" s="274" t="s">
        <v>238</v>
      </c>
    </row>
    <row r="11" spans="1:14" ht="12.75" thickBot="1" x14ac:dyDescent="0.3">
      <c r="A11" s="389"/>
      <c r="B11" s="326" t="s">
        <v>249</v>
      </c>
      <c r="C11" s="391"/>
      <c r="D11" s="281" t="s">
        <v>19</v>
      </c>
      <c r="E11" s="220" t="s">
        <v>214</v>
      </c>
      <c r="F11" s="256" t="s">
        <v>222</v>
      </c>
      <c r="G11" s="393"/>
      <c r="H11" s="303" t="s">
        <v>19</v>
      </c>
      <c r="I11" s="316" t="s">
        <v>216</v>
      </c>
      <c r="J11" s="311" t="s">
        <v>251</v>
      </c>
      <c r="K11" s="223" t="s">
        <v>255</v>
      </c>
      <c r="L11" s="395"/>
      <c r="M11" s="259" t="s">
        <v>232</v>
      </c>
      <c r="N11" s="260" t="s">
        <v>239</v>
      </c>
    </row>
    <row r="12" spans="1:14" x14ac:dyDescent="0.25">
      <c r="A12" s="388">
        <f t="shared" si="0"/>
        <v>5</v>
      </c>
      <c r="B12" s="325" t="s">
        <v>248</v>
      </c>
      <c r="C12" s="390" t="s">
        <v>264</v>
      </c>
      <c r="D12" s="280" t="s">
        <v>19</v>
      </c>
      <c r="E12" s="228" t="s">
        <v>214</v>
      </c>
      <c r="F12" s="272" t="s">
        <v>224</v>
      </c>
      <c r="G12" s="392" t="s">
        <v>226</v>
      </c>
      <c r="H12" s="302" t="s">
        <v>19</v>
      </c>
      <c r="I12" s="317" t="s">
        <v>211</v>
      </c>
      <c r="J12" s="310" t="s">
        <v>250</v>
      </c>
      <c r="K12" s="278" t="s">
        <v>254</v>
      </c>
      <c r="L12" s="394" t="s">
        <v>212</v>
      </c>
      <c r="M12" s="319" t="s">
        <v>233</v>
      </c>
      <c r="N12" s="274" t="s">
        <v>238</v>
      </c>
    </row>
    <row r="13" spans="1:14" ht="12.75" thickBot="1" x14ac:dyDescent="0.3">
      <c r="A13" s="389"/>
      <c r="B13" s="326" t="s">
        <v>249</v>
      </c>
      <c r="C13" s="391"/>
      <c r="D13" s="281" t="s">
        <v>19</v>
      </c>
      <c r="E13" s="220" t="s">
        <v>208</v>
      </c>
      <c r="F13" s="256" t="s">
        <v>223</v>
      </c>
      <c r="G13" s="393"/>
      <c r="H13" s="303" t="s">
        <v>19</v>
      </c>
      <c r="I13" s="316" t="s">
        <v>216</v>
      </c>
      <c r="J13" s="311" t="s">
        <v>251</v>
      </c>
      <c r="K13" s="223" t="s">
        <v>255</v>
      </c>
      <c r="L13" s="395"/>
      <c r="M13" s="259" t="s">
        <v>232</v>
      </c>
      <c r="N13" s="260" t="s">
        <v>239</v>
      </c>
    </row>
    <row r="14" spans="1:14" x14ac:dyDescent="0.25">
      <c r="A14" s="388">
        <f t="shared" si="0"/>
        <v>6</v>
      </c>
      <c r="B14" s="325" t="s">
        <v>248</v>
      </c>
      <c r="C14" s="390" t="s">
        <v>264</v>
      </c>
      <c r="D14" s="280" t="s">
        <v>19</v>
      </c>
      <c r="E14" s="228" t="s">
        <v>208</v>
      </c>
      <c r="F14" s="272" t="s">
        <v>223</v>
      </c>
      <c r="G14" s="392" t="s">
        <v>210</v>
      </c>
      <c r="H14" s="302" t="s">
        <v>19</v>
      </c>
      <c r="I14" s="317" t="s">
        <v>211</v>
      </c>
      <c r="J14" s="310" t="s">
        <v>250</v>
      </c>
      <c r="K14" s="278" t="s">
        <v>254</v>
      </c>
      <c r="L14" s="394" t="s">
        <v>212</v>
      </c>
      <c r="M14" s="319" t="s">
        <v>233</v>
      </c>
      <c r="N14" s="274" t="s">
        <v>238</v>
      </c>
    </row>
    <row r="15" spans="1:14" ht="12.75" thickBot="1" x14ac:dyDescent="0.3">
      <c r="A15" s="389"/>
      <c r="B15" s="326" t="s">
        <v>249</v>
      </c>
      <c r="C15" s="391"/>
      <c r="D15" s="281" t="s">
        <v>19</v>
      </c>
      <c r="E15" s="220" t="s">
        <v>214</v>
      </c>
      <c r="F15" s="256" t="s">
        <v>224</v>
      </c>
      <c r="G15" s="393"/>
      <c r="H15" s="303" t="s">
        <v>19</v>
      </c>
      <c r="I15" s="316" t="s">
        <v>216</v>
      </c>
      <c r="J15" s="311" t="s">
        <v>251</v>
      </c>
      <c r="K15" s="223" t="s">
        <v>255</v>
      </c>
      <c r="L15" s="395"/>
      <c r="M15" s="259" t="s">
        <v>232</v>
      </c>
      <c r="N15" s="260" t="s">
        <v>239</v>
      </c>
    </row>
    <row r="16" spans="1:14" x14ac:dyDescent="0.25">
      <c r="A16" s="388">
        <f t="shared" si="0"/>
        <v>7</v>
      </c>
      <c r="B16" s="325" t="s">
        <v>248</v>
      </c>
      <c r="C16" s="390" t="s">
        <v>264</v>
      </c>
      <c r="D16" s="280" t="s">
        <v>19</v>
      </c>
      <c r="E16" s="228" t="s">
        <v>217</v>
      </c>
      <c r="F16" s="272" t="s">
        <v>227</v>
      </c>
      <c r="G16" s="392" t="s">
        <v>210</v>
      </c>
      <c r="H16" s="302" t="s">
        <v>19</v>
      </c>
      <c r="I16" s="317" t="s">
        <v>211</v>
      </c>
      <c r="J16" s="310" t="s">
        <v>252</v>
      </c>
      <c r="K16" s="278" t="s">
        <v>254</v>
      </c>
      <c r="L16" s="394" t="s">
        <v>212</v>
      </c>
      <c r="M16" s="319" t="s">
        <v>233</v>
      </c>
      <c r="N16" s="274" t="s">
        <v>238</v>
      </c>
    </row>
    <row r="17" spans="1:14" ht="12.75" thickBot="1" x14ac:dyDescent="0.3">
      <c r="A17" s="389"/>
      <c r="B17" s="326" t="s">
        <v>249</v>
      </c>
      <c r="C17" s="391"/>
      <c r="D17" s="281" t="s">
        <v>19</v>
      </c>
      <c r="E17" s="220" t="s">
        <v>219</v>
      </c>
      <c r="F17" s="256" t="s">
        <v>225</v>
      </c>
      <c r="G17" s="393"/>
      <c r="H17" s="303" t="s">
        <v>19</v>
      </c>
      <c r="I17" s="316" t="s">
        <v>216</v>
      </c>
      <c r="J17" s="312" t="s">
        <v>253</v>
      </c>
      <c r="K17" s="223" t="s">
        <v>255</v>
      </c>
      <c r="L17" s="395"/>
      <c r="M17" s="259" t="s">
        <v>232</v>
      </c>
      <c r="N17" s="260" t="s">
        <v>239</v>
      </c>
    </row>
    <row r="18" spans="1:14" x14ac:dyDescent="0.25">
      <c r="A18" s="388">
        <f t="shared" si="0"/>
        <v>8</v>
      </c>
      <c r="B18" s="325" t="s">
        <v>248</v>
      </c>
      <c r="C18" s="390" t="s">
        <v>264</v>
      </c>
      <c r="D18" s="280" t="s">
        <v>19</v>
      </c>
      <c r="E18" s="228" t="s">
        <v>217</v>
      </c>
      <c r="F18" s="272" t="s">
        <v>227</v>
      </c>
      <c r="G18" s="392" t="s">
        <v>210</v>
      </c>
      <c r="H18" s="302" t="s">
        <v>19</v>
      </c>
      <c r="I18" s="317" t="s">
        <v>211</v>
      </c>
      <c r="J18" s="310" t="s">
        <v>250</v>
      </c>
      <c r="K18" s="278" t="s">
        <v>254</v>
      </c>
      <c r="L18" s="394" t="s">
        <v>212</v>
      </c>
      <c r="M18" s="319" t="s">
        <v>233</v>
      </c>
      <c r="N18" s="274" t="s">
        <v>238</v>
      </c>
    </row>
    <row r="19" spans="1:14" ht="12.75" thickBot="1" x14ac:dyDescent="0.3">
      <c r="A19" s="389"/>
      <c r="B19" s="326" t="s">
        <v>249</v>
      </c>
      <c r="C19" s="391"/>
      <c r="D19" s="281" t="s">
        <v>19</v>
      </c>
      <c r="E19" s="220" t="s">
        <v>219</v>
      </c>
      <c r="F19" s="256" t="s">
        <v>225</v>
      </c>
      <c r="G19" s="393"/>
      <c r="H19" s="303" t="s">
        <v>19</v>
      </c>
      <c r="I19" s="316" t="s">
        <v>216</v>
      </c>
      <c r="J19" s="311" t="s">
        <v>251</v>
      </c>
      <c r="K19" s="223" t="s">
        <v>255</v>
      </c>
      <c r="L19" s="395"/>
      <c r="M19" s="259" t="s">
        <v>232</v>
      </c>
      <c r="N19" s="260" t="s">
        <v>239</v>
      </c>
    </row>
    <row r="20" spans="1:14" x14ac:dyDescent="0.25">
      <c r="A20" s="388">
        <f t="shared" si="0"/>
        <v>9</v>
      </c>
      <c r="B20" s="325" t="s">
        <v>248</v>
      </c>
      <c r="C20" s="390" t="s">
        <v>264</v>
      </c>
      <c r="D20" s="280" t="s">
        <v>19</v>
      </c>
      <c r="E20" s="228" t="s">
        <v>217</v>
      </c>
      <c r="F20" s="272" t="s">
        <v>218</v>
      </c>
      <c r="G20" s="392" t="s">
        <v>210</v>
      </c>
      <c r="H20" s="302" t="s">
        <v>19</v>
      </c>
      <c r="I20" s="317" t="s">
        <v>211</v>
      </c>
      <c r="J20" s="310" t="s">
        <v>252</v>
      </c>
      <c r="K20" s="278" t="s">
        <v>254</v>
      </c>
      <c r="L20" s="394" t="s">
        <v>212</v>
      </c>
      <c r="M20" s="319" t="s">
        <v>233</v>
      </c>
      <c r="N20" s="274" t="s">
        <v>238</v>
      </c>
    </row>
    <row r="21" spans="1:14" ht="12.75" thickBot="1" x14ac:dyDescent="0.3">
      <c r="A21" s="389"/>
      <c r="B21" s="326" t="s">
        <v>249</v>
      </c>
      <c r="C21" s="391"/>
      <c r="D21" s="281" t="s">
        <v>19</v>
      </c>
      <c r="E21" s="220" t="s">
        <v>219</v>
      </c>
      <c r="F21" s="256" t="s">
        <v>220</v>
      </c>
      <c r="G21" s="393"/>
      <c r="H21" s="303" t="s">
        <v>19</v>
      </c>
      <c r="I21" s="316" t="s">
        <v>216</v>
      </c>
      <c r="J21" s="312" t="s">
        <v>253</v>
      </c>
      <c r="K21" s="223" t="s">
        <v>255</v>
      </c>
      <c r="L21" s="395"/>
      <c r="M21" s="259" t="s">
        <v>232</v>
      </c>
      <c r="N21" s="260" t="s">
        <v>239</v>
      </c>
    </row>
    <row r="22" spans="1:14" x14ac:dyDescent="0.25">
      <c r="A22" s="388">
        <f t="shared" si="0"/>
        <v>10</v>
      </c>
      <c r="B22" s="325" t="s">
        <v>248</v>
      </c>
      <c r="C22" s="390" t="s">
        <v>264</v>
      </c>
      <c r="D22" s="280" t="s">
        <v>19</v>
      </c>
      <c r="E22" s="228" t="s">
        <v>217</v>
      </c>
      <c r="F22" s="272" t="s">
        <v>218</v>
      </c>
      <c r="G22" s="392" t="s">
        <v>210</v>
      </c>
      <c r="H22" s="302" t="s">
        <v>19</v>
      </c>
      <c r="I22" s="317" t="s">
        <v>211</v>
      </c>
      <c r="J22" s="310" t="s">
        <v>250</v>
      </c>
      <c r="K22" s="278" t="s">
        <v>254</v>
      </c>
      <c r="L22" s="394" t="s">
        <v>212</v>
      </c>
      <c r="M22" s="319" t="s">
        <v>233</v>
      </c>
      <c r="N22" s="274" t="s">
        <v>238</v>
      </c>
    </row>
    <row r="23" spans="1:14" ht="12.75" thickBot="1" x14ac:dyDescent="0.3">
      <c r="A23" s="389"/>
      <c r="B23" s="326" t="s">
        <v>249</v>
      </c>
      <c r="C23" s="391"/>
      <c r="D23" s="281" t="s">
        <v>19</v>
      </c>
      <c r="E23" s="220" t="s">
        <v>219</v>
      </c>
      <c r="F23" s="256" t="s">
        <v>220</v>
      </c>
      <c r="G23" s="393"/>
      <c r="H23" s="303" t="s">
        <v>19</v>
      </c>
      <c r="I23" s="316" t="s">
        <v>216</v>
      </c>
      <c r="J23" s="311" t="s">
        <v>251</v>
      </c>
      <c r="K23" s="223" t="s">
        <v>255</v>
      </c>
      <c r="L23" s="395"/>
      <c r="M23" s="259" t="s">
        <v>232</v>
      </c>
      <c r="N23" s="260" t="s">
        <v>239</v>
      </c>
    </row>
    <row r="24" spans="1:14" ht="12.75" thickBot="1" x14ac:dyDescent="0.3">
      <c r="A24" s="264" t="s">
        <v>258</v>
      </c>
      <c r="B24" s="332"/>
      <c r="C24" s="334"/>
      <c r="D24" s="292"/>
      <c r="E24" s="293"/>
      <c r="F24" s="294"/>
      <c r="G24" s="295"/>
      <c r="H24" s="307"/>
      <c r="I24" s="318"/>
      <c r="J24" s="313"/>
      <c r="K24" s="294"/>
      <c r="L24" s="296"/>
      <c r="M24" s="322"/>
      <c r="N24" s="295"/>
    </row>
    <row r="25" spans="1:14" ht="36" x14ac:dyDescent="0.25">
      <c r="A25" s="396">
        <f>A22+1</f>
        <v>11</v>
      </c>
      <c r="B25" s="325" t="s">
        <v>248</v>
      </c>
      <c r="C25" s="390" t="s">
        <v>264</v>
      </c>
      <c r="D25" s="287" t="s">
        <v>19</v>
      </c>
      <c r="E25" s="284" t="s">
        <v>19</v>
      </c>
      <c r="F25" s="285" t="s">
        <v>19</v>
      </c>
      <c r="G25" s="398" t="s">
        <v>19</v>
      </c>
      <c r="H25" s="304" t="s">
        <v>228</v>
      </c>
      <c r="I25" s="315" t="s">
        <v>211</v>
      </c>
      <c r="J25" s="310" t="s">
        <v>267</v>
      </c>
      <c r="K25" s="278" t="s">
        <v>254</v>
      </c>
      <c r="L25" s="394" t="s">
        <v>212</v>
      </c>
      <c r="M25" s="319" t="s">
        <v>233</v>
      </c>
      <c r="N25" s="279" t="s">
        <v>238</v>
      </c>
    </row>
    <row r="26" spans="1:14" ht="36.75" thickBot="1" x14ac:dyDescent="0.3">
      <c r="A26" s="389"/>
      <c r="B26" s="326" t="s">
        <v>249</v>
      </c>
      <c r="C26" s="391"/>
      <c r="D26" s="281" t="s">
        <v>19</v>
      </c>
      <c r="E26" s="286" t="s">
        <v>19</v>
      </c>
      <c r="F26" s="258" t="s">
        <v>19</v>
      </c>
      <c r="G26" s="399"/>
      <c r="H26" s="305" t="s">
        <v>229</v>
      </c>
      <c r="I26" s="316" t="s">
        <v>216</v>
      </c>
      <c r="J26" s="311" t="s">
        <v>266</v>
      </c>
      <c r="K26" s="223" t="s">
        <v>255</v>
      </c>
      <c r="L26" s="395"/>
      <c r="M26" s="259" t="s">
        <v>232</v>
      </c>
      <c r="N26" s="260" t="s">
        <v>239</v>
      </c>
    </row>
    <row r="27" spans="1:14" ht="36" x14ac:dyDescent="0.25">
      <c r="A27" s="388">
        <f>A25+1</f>
        <v>12</v>
      </c>
      <c r="B27" s="325" t="s">
        <v>248</v>
      </c>
      <c r="C27" s="390" t="s">
        <v>264</v>
      </c>
      <c r="D27" s="280" t="s">
        <v>19</v>
      </c>
      <c r="E27" s="282" t="s">
        <v>19</v>
      </c>
      <c r="F27" s="283" t="s">
        <v>19</v>
      </c>
      <c r="G27" s="400" t="s">
        <v>19</v>
      </c>
      <c r="H27" s="306" t="s">
        <v>230</v>
      </c>
      <c r="I27" s="317" t="s">
        <v>211</v>
      </c>
      <c r="J27" s="310" t="s">
        <v>268</v>
      </c>
      <c r="K27" s="278" t="s">
        <v>254</v>
      </c>
      <c r="L27" s="394" t="s">
        <v>212</v>
      </c>
      <c r="M27" s="319" t="s">
        <v>233</v>
      </c>
      <c r="N27" s="274" t="s">
        <v>238</v>
      </c>
    </row>
    <row r="28" spans="1:14" ht="36.75" thickBot="1" x14ac:dyDescent="0.3">
      <c r="A28" s="389"/>
      <c r="B28" s="326" t="s">
        <v>249</v>
      </c>
      <c r="C28" s="391"/>
      <c r="D28" s="281" t="s">
        <v>19</v>
      </c>
      <c r="E28" s="286" t="s">
        <v>19</v>
      </c>
      <c r="F28" s="258" t="s">
        <v>19</v>
      </c>
      <c r="G28" s="399"/>
      <c r="H28" s="305" t="s">
        <v>231</v>
      </c>
      <c r="I28" s="316" t="s">
        <v>216</v>
      </c>
      <c r="J28" s="311" t="s">
        <v>269</v>
      </c>
      <c r="K28" s="223" t="s">
        <v>255</v>
      </c>
      <c r="L28" s="395"/>
      <c r="M28" s="259" t="s">
        <v>232</v>
      </c>
      <c r="N28" s="260" t="s">
        <v>239</v>
      </c>
    </row>
    <row r="29" spans="1:14" s="291" customFormat="1" ht="12.75" thickBot="1" x14ac:dyDescent="0.3">
      <c r="A29" s="264" t="s">
        <v>259</v>
      </c>
      <c r="B29" s="332"/>
      <c r="C29" s="334"/>
      <c r="D29" s="292"/>
      <c r="E29" s="293"/>
      <c r="F29" s="294"/>
      <c r="G29" s="295"/>
      <c r="H29" s="307"/>
      <c r="I29" s="318"/>
      <c r="J29" s="313"/>
      <c r="K29" s="294"/>
      <c r="L29" s="296"/>
      <c r="M29" s="322"/>
      <c r="N29" s="295"/>
    </row>
    <row r="30" spans="1:14" ht="36" x14ac:dyDescent="0.25">
      <c r="A30" s="396">
        <f>A27+1</f>
        <v>13</v>
      </c>
      <c r="B30" s="325" t="s">
        <v>248</v>
      </c>
      <c r="C30" s="390" t="s">
        <v>264</v>
      </c>
      <c r="D30" s="287" t="s">
        <v>19</v>
      </c>
      <c r="E30" s="276" t="s">
        <v>214</v>
      </c>
      <c r="F30" s="277" t="s">
        <v>215</v>
      </c>
      <c r="G30" s="397" t="s">
        <v>226</v>
      </c>
      <c r="H30" s="304" t="s">
        <v>228</v>
      </c>
      <c r="I30" s="315" t="s">
        <v>211</v>
      </c>
      <c r="J30" s="310" t="s">
        <v>267</v>
      </c>
      <c r="K30" s="278" t="s">
        <v>254</v>
      </c>
      <c r="L30" s="394" t="s">
        <v>212</v>
      </c>
      <c r="M30" s="319" t="s">
        <v>233</v>
      </c>
      <c r="N30" s="279" t="s">
        <v>238</v>
      </c>
    </row>
    <row r="31" spans="1:14" ht="36.75" thickBot="1" x14ac:dyDescent="0.3">
      <c r="A31" s="389"/>
      <c r="B31" s="326" t="s">
        <v>249</v>
      </c>
      <c r="C31" s="391"/>
      <c r="D31" s="281" t="s">
        <v>19</v>
      </c>
      <c r="E31" s="220" t="s">
        <v>208</v>
      </c>
      <c r="F31" s="256" t="s">
        <v>209</v>
      </c>
      <c r="G31" s="393"/>
      <c r="H31" s="305" t="s">
        <v>229</v>
      </c>
      <c r="I31" s="316" t="s">
        <v>216</v>
      </c>
      <c r="J31" s="346" t="s">
        <v>266</v>
      </c>
      <c r="K31" s="223" t="s">
        <v>255</v>
      </c>
      <c r="L31" s="395"/>
      <c r="M31" s="259" t="s">
        <v>232</v>
      </c>
      <c r="N31" s="260" t="s">
        <v>239</v>
      </c>
    </row>
    <row r="32" spans="1:14" ht="36" x14ac:dyDescent="0.25">
      <c r="A32" s="388">
        <f t="shared" ref="A32:A48" si="1">A30+1</f>
        <v>14</v>
      </c>
      <c r="B32" s="325" t="s">
        <v>248</v>
      </c>
      <c r="C32" s="390" t="s">
        <v>264</v>
      </c>
      <c r="D32" s="280" t="s">
        <v>19</v>
      </c>
      <c r="E32" s="228" t="s">
        <v>208</v>
      </c>
      <c r="F32" s="272" t="s">
        <v>209</v>
      </c>
      <c r="G32" s="392" t="s">
        <v>210</v>
      </c>
      <c r="H32" s="306" t="s">
        <v>228</v>
      </c>
      <c r="I32" s="317" t="s">
        <v>211</v>
      </c>
      <c r="J32" s="310" t="s">
        <v>267</v>
      </c>
      <c r="K32" s="278" t="s">
        <v>254</v>
      </c>
      <c r="L32" s="394" t="s">
        <v>212</v>
      </c>
      <c r="M32" s="319" t="s">
        <v>233</v>
      </c>
      <c r="N32" s="274" t="s">
        <v>238</v>
      </c>
    </row>
    <row r="33" spans="1:14" ht="36.75" thickBot="1" x14ac:dyDescent="0.3">
      <c r="A33" s="389"/>
      <c r="B33" s="326" t="s">
        <v>249</v>
      </c>
      <c r="C33" s="391"/>
      <c r="D33" s="281" t="s">
        <v>19</v>
      </c>
      <c r="E33" s="220" t="s">
        <v>214</v>
      </c>
      <c r="F33" s="256" t="s">
        <v>215</v>
      </c>
      <c r="G33" s="393"/>
      <c r="H33" s="305" t="s">
        <v>229</v>
      </c>
      <c r="I33" s="316" t="s">
        <v>216</v>
      </c>
      <c r="J33" s="346" t="s">
        <v>266</v>
      </c>
      <c r="K33" s="223" t="s">
        <v>255</v>
      </c>
      <c r="L33" s="395"/>
      <c r="M33" s="259" t="s">
        <v>232</v>
      </c>
      <c r="N33" s="260" t="s">
        <v>239</v>
      </c>
    </row>
    <row r="34" spans="1:14" ht="36" x14ac:dyDescent="0.25">
      <c r="A34" s="388">
        <f t="shared" si="1"/>
        <v>15</v>
      </c>
      <c r="B34" s="325" t="s">
        <v>248</v>
      </c>
      <c r="C34" s="390" t="s">
        <v>264</v>
      </c>
      <c r="D34" s="280" t="s">
        <v>19</v>
      </c>
      <c r="E34" s="228" t="s">
        <v>214</v>
      </c>
      <c r="F34" s="272" t="s">
        <v>222</v>
      </c>
      <c r="G34" s="392" t="s">
        <v>226</v>
      </c>
      <c r="H34" s="306" t="s">
        <v>228</v>
      </c>
      <c r="I34" s="317" t="s">
        <v>211</v>
      </c>
      <c r="J34" s="310" t="s">
        <v>267</v>
      </c>
      <c r="K34" s="278" t="s">
        <v>254</v>
      </c>
      <c r="L34" s="394" t="s">
        <v>212</v>
      </c>
      <c r="M34" s="319" t="s">
        <v>233</v>
      </c>
      <c r="N34" s="274" t="s">
        <v>238</v>
      </c>
    </row>
    <row r="35" spans="1:14" ht="36.75" thickBot="1" x14ac:dyDescent="0.3">
      <c r="A35" s="389"/>
      <c r="B35" s="326" t="s">
        <v>249</v>
      </c>
      <c r="C35" s="391"/>
      <c r="D35" s="281" t="s">
        <v>19</v>
      </c>
      <c r="E35" s="220" t="s">
        <v>208</v>
      </c>
      <c r="F35" s="256" t="s">
        <v>221</v>
      </c>
      <c r="G35" s="393"/>
      <c r="H35" s="305" t="s">
        <v>229</v>
      </c>
      <c r="I35" s="316" t="s">
        <v>216</v>
      </c>
      <c r="J35" s="346" t="s">
        <v>266</v>
      </c>
      <c r="K35" s="223" t="s">
        <v>255</v>
      </c>
      <c r="L35" s="395"/>
      <c r="M35" s="259" t="s">
        <v>232</v>
      </c>
      <c r="N35" s="260" t="s">
        <v>239</v>
      </c>
    </row>
    <row r="36" spans="1:14" ht="36" x14ac:dyDescent="0.25">
      <c r="A36" s="388">
        <f t="shared" si="1"/>
        <v>16</v>
      </c>
      <c r="B36" s="325" t="s">
        <v>248</v>
      </c>
      <c r="C36" s="390" t="s">
        <v>264</v>
      </c>
      <c r="D36" s="280" t="s">
        <v>19</v>
      </c>
      <c r="E36" s="228" t="s">
        <v>208</v>
      </c>
      <c r="F36" s="272" t="s">
        <v>221</v>
      </c>
      <c r="G36" s="392" t="s">
        <v>210</v>
      </c>
      <c r="H36" s="306" t="s">
        <v>228</v>
      </c>
      <c r="I36" s="317" t="s">
        <v>211</v>
      </c>
      <c r="J36" s="310" t="s">
        <v>267</v>
      </c>
      <c r="K36" s="278" t="s">
        <v>254</v>
      </c>
      <c r="L36" s="394" t="s">
        <v>212</v>
      </c>
      <c r="M36" s="319" t="s">
        <v>233</v>
      </c>
      <c r="N36" s="274" t="s">
        <v>238</v>
      </c>
    </row>
    <row r="37" spans="1:14" ht="36.75" thickBot="1" x14ac:dyDescent="0.3">
      <c r="A37" s="389"/>
      <c r="B37" s="326" t="s">
        <v>249</v>
      </c>
      <c r="C37" s="391"/>
      <c r="D37" s="281" t="s">
        <v>19</v>
      </c>
      <c r="E37" s="220" t="s">
        <v>214</v>
      </c>
      <c r="F37" s="256" t="s">
        <v>222</v>
      </c>
      <c r="G37" s="393"/>
      <c r="H37" s="305" t="s">
        <v>229</v>
      </c>
      <c r="I37" s="316" t="s">
        <v>216</v>
      </c>
      <c r="J37" s="346" t="s">
        <v>266</v>
      </c>
      <c r="K37" s="223" t="s">
        <v>255</v>
      </c>
      <c r="L37" s="395"/>
      <c r="M37" s="259" t="s">
        <v>232</v>
      </c>
      <c r="N37" s="260" t="s">
        <v>239</v>
      </c>
    </row>
    <row r="38" spans="1:14" ht="36" x14ac:dyDescent="0.25">
      <c r="A38" s="388">
        <f t="shared" si="1"/>
        <v>17</v>
      </c>
      <c r="B38" s="325" t="s">
        <v>248</v>
      </c>
      <c r="C38" s="390" t="s">
        <v>264</v>
      </c>
      <c r="D38" s="280" t="s">
        <v>19</v>
      </c>
      <c r="E38" s="228" t="s">
        <v>214</v>
      </c>
      <c r="F38" s="272" t="s">
        <v>224</v>
      </c>
      <c r="G38" s="392" t="s">
        <v>226</v>
      </c>
      <c r="H38" s="306" t="s">
        <v>228</v>
      </c>
      <c r="I38" s="317" t="s">
        <v>211</v>
      </c>
      <c r="J38" s="310" t="s">
        <v>267</v>
      </c>
      <c r="K38" s="278" t="s">
        <v>254</v>
      </c>
      <c r="L38" s="394" t="s">
        <v>212</v>
      </c>
      <c r="M38" s="319" t="s">
        <v>233</v>
      </c>
      <c r="N38" s="274" t="s">
        <v>238</v>
      </c>
    </row>
    <row r="39" spans="1:14" ht="36.75" thickBot="1" x14ac:dyDescent="0.3">
      <c r="A39" s="389"/>
      <c r="B39" s="326" t="s">
        <v>249</v>
      </c>
      <c r="C39" s="391"/>
      <c r="D39" s="281" t="s">
        <v>19</v>
      </c>
      <c r="E39" s="220" t="s">
        <v>208</v>
      </c>
      <c r="F39" s="256" t="s">
        <v>223</v>
      </c>
      <c r="G39" s="393"/>
      <c r="H39" s="305" t="s">
        <v>229</v>
      </c>
      <c r="I39" s="316" t="s">
        <v>216</v>
      </c>
      <c r="J39" s="346" t="s">
        <v>266</v>
      </c>
      <c r="K39" s="223" t="s">
        <v>255</v>
      </c>
      <c r="L39" s="395"/>
      <c r="M39" s="259" t="s">
        <v>232</v>
      </c>
      <c r="N39" s="260" t="s">
        <v>239</v>
      </c>
    </row>
    <row r="40" spans="1:14" ht="36" x14ac:dyDescent="0.25">
      <c r="A40" s="388">
        <f t="shared" si="1"/>
        <v>18</v>
      </c>
      <c r="B40" s="325" t="s">
        <v>248</v>
      </c>
      <c r="C40" s="390" t="s">
        <v>264</v>
      </c>
      <c r="D40" s="280" t="s">
        <v>19</v>
      </c>
      <c r="E40" s="228" t="s">
        <v>208</v>
      </c>
      <c r="F40" s="272" t="s">
        <v>223</v>
      </c>
      <c r="G40" s="392" t="s">
        <v>210</v>
      </c>
      <c r="H40" s="306" t="s">
        <v>228</v>
      </c>
      <c r="I40" s="317" t="s">
        <v>211</v>
      </c>
      <c r="J40" s="310" t="s">
        <v>267</v>
      </c>
      <c r="K40" s="278" t="s">
        <v>254</v>
      </c>
      <c r="L40" s="394" t="s">
        <v>212</v>
      </c>
      <c r="M40" s="319" t="s">
        <v>233</v>
      </c>
      <c r="N40" s="274" t="s">
        <v>238</v>
      </c>
    </row>
    <row r="41" spans="1:14" ht="36.75" thickBot="1" x14ac:dyDescent="0.3">
      <c r="A41" s="389"/>
      <c r="B41" s="326" t="s">
        <v>249</v>
      </c>
      <c r="C41" s="391"/>
      <c r="D41" s="281" t="s">
        <v>19</v>
      </c>
      <c r="E41" s="220" t="s">
        <v>214</v>
      </c>
      <c r="F41" s="256" t="s">
        <v>224</v>
      </c>
      <c r="G41" s="393"/>
      <c r="H41" s="305" t="s">
        <v>229</v>
      </c>
      <c r="I41" s="316" t="s">
        <v>216</v>
      </c>
      <c r="J41" s="346" t="s">
        <v>266</v>
      </c>
      <c r="K41" s="223" t="s">
        <v>255</v>
      </c>
      <c r="L41" s="395"/>
      <c r="M41" s="259" t="s">
        <v>232</v>
      </c>
      <c r="N41" s="260" t="s">
        <v>239</v>
      </c>
    </row>
    <row r="42" spans="1:14" ht="36" x14ac:dyDescent="0.25">
      <c r="A42" s="388">
        <f t="shared" si="1"/>
        <v>19</v>
      </c>
      <c r="B42" s="325" t="s">
        <v>248</v>
      </c>
      <c r="C42" s="390" t="s">
        <v>264</v>
      </c>
      <c r="D42" s="280" t="s">
        <v>19</v>
      </c>
      <c r="E42" s="228" t="s">
        <v>217</v>
      </c>
      <c r="F42" s="272" t="s">
        <v>227</v>
      </c>
      <c r="G42" s="392" t="s">
        <v>210</v>
      </c>
      <c r="H42" s="306" t="s">
        <v>230</v>
      </c>
      <c r="I42" s="317" t="s">
        <v>211</v>
      </c>
      <c r="J42" s="310" t="s">
        <v>268</v>
      </c>
      <c r="K42" s="278" t="s">
        <v>254</v>
      </c>
      <c r="L42" s="394" t="s">
        <v>212</v>
      </c>
      <c r="M42" s="319" t="s">
        <v>233</v>
      </c>
      <c r="N42" s="274" t="s">
        <v>238</v>
      </c>
    </row>
    <row r="43" spans="1:14" ht="36.75" thickBot="1" x14ac:dyDescent="0.3">
      <c r="A43" s="389"/>
      <c r="B43" s="326" t="s">
        <v>249</v>
      </c>
      <c r="C43" s="391"/>
      <c r="D43" s="281" t="s">
        <v>19</v>
      </c>
      <c r="E43" s="220" t="s">
        <v>219</v>
      </c>
      <c r="F43" s="256" t="s">
        <v>225</v>
      </c>
      <c r="G43" s="393"/>
      <c r="H43" s="305" t="s">
        <v>231</v>
      </c>
      <c r="I43" s="316" t="s">
        <v>216</v>
      </c>
      <c r="J43" s="346" t="s">
        <v>269</v>
      </c>
      <c r="K43" s="223" t="s">
        <v>255</v>
      </c>
      <c r="L43" s="395"/>
      <c r="M43" s="259" t="s">
        <v>232</v>
      </c>
      <c r="N43" s="260" t="s">
        <v>239</v>
      </c>
    </row>
    <row r="44" spans="1:14" ht="36" x14ac:dyDescent="0.25">
      <c r="A44" s="388">
        <f t="shared" si="1"/>
        <v>20</v>
      </c>
      <c r="B44" s="325" t="s">
        <v>248</v>
      </c>
      <c r="C44" s="390" t="s">
        <v>264</v>
      </c>
      <c r="D44" s="280" t="s">
        <v>19</v>
      </c>
      <c r="E44" s="228" t="s">
        <v>217</v>
      </c>
      <c r="F44" s="272" t="s">
        <v>227</v>
      </c>
      <c r="G44" s="392" t="s">
        <v>210</v>
      </c>
      <c r="H44" s="306" t="s">
        <v>228</v>
      </c>
      <c r="I44" s="317" t="s">
        <v>211</v>
      </c>
      <c r="J44" s="310" t="s">
        <v>267</v>
      </c>
      <c r="K44" s="278" t="s">
        <v>254</v>
      </c>
      <c r="L44" s="394" t="s">
        <v>212</v>
      </c>
      <c r="M44" s="319" t="s">
        <v>233</v>
      </c>
      <c r="N44" s="274" t="s">
        <v>238</v>
      </c>
    </row>
    <row r="45" spans="1:14" ht="36.75" thickBot="1" x14ac:dyDescent="0.3">
      <c r="A45" s="389"/>
      <c r="B45" s="326" t="s">
        <v>249</v>
      </c>
      <c r="C45" s="391"/>
      <c r="D45" s="281" t="s">
        <v>19</v>
      </c>
      <c r="E45" s="220" t="s">
        <v>219</v>
      </c>
      <c r="F45" s="256" t="s">
        <v>225</v>
      </c>
      <c r="G45" s="393"/>
      <c r="H45" s="305" t="s">
        <v>229</v>
      </c>
      <c r="I45" s="316" t="s">
        <v>216</v>
      </c>
      <c r="J45" s="346" t="s">
        <v>266</v>
      </c>
      <c r="K45" s="223" t="s">
        <v>255</v>
      </c>
      <c r="L45" s="395"/>
      <c r="M45" s="259" t="s">
        <v>232</v>
      </c>
      <c r="N45" s="260" t="s">
        <v>239</v>
      </c>
    </row>
    <row r="46" spans="1:14" ht="36" x14ac:dyDescent="0.25">
      <c r="A46" s="388">
        <f t="shared" si="1"/>
        <v>21</v>
      </c>
      <c r="B46" s="325" t="s">
        <v>248</v>
      </c>
      <c r="C46" s="390" t="s">
        <v>264</v>
      </c>
      <c r="D46" s="280" t="s">
        <v>19</v>
      </c>
      <c r="E46" s="228" t="s">
        <v>217</v>
      </c>
      <c r="F46" s="272" t="s">
        <v>218</v>
      </c>
      <c r="G46" s="392" t="s">
        <v>210</v>
      </c>
      <c r="H46" s="306" t="s">
        <v>230</v>
      </c>
      <c r="I46" s="317" t="s">
        <v>211</v>
      </c>
      <c r="J46" s="310" t="s">
        <v>268</v>
      </c>
      <c r="K46" s="278" t="s">
        <v>254</v>
      </c>
      <c r="L46" s="394" t="s">
        <v>212</v>
      </c>
      <c r="M46" s="319" t="s">
        <v>233</v>
      </c>
      <c r="N46" s="274" t="s">
        <v>238</v>
      </c>
    </row>
    <row r="47" spans="1:14" ht="36.75" thickBot="1" x14ac:dyDescent="0.3">
      <c r="A47" s="389"/>
      <c r="B47" s="326" t="s">
        <v>249</v>
      </c>
      <c r="C47" s="391"/>
      <c r="D47" s="281" t="s">
        <v>19</v>
      </c>
      <c r="E47" s="220" t="s">
        <v>219</v>
      </c>
      <c r="F47" s="256" t="s">
        <v>220</v>
      </c>
      <c r="G47" s="393"/>
      <c r="H47" s="305" t="s">
        <v>231</v>
      </c>
      <c r="I47" s="316" t="s">
        <v>216</v>
      </c>
      <c r="J47" s="346" t="s">
        <v>269</v>
      </c>
      <c r="K47" s="223" t="s">
        <v>255</v>
      </c>
      <c r="L47" s="395"/>
      <c r="M47" s="259" t="s">
        <v>232</v>
      </c>
      <c r="N47" s="260" t="s">
        <v>239</v>
      </c>
    </row>
    <row r="48" spans="1:14" ht="36" x14ac:dyDescent="0.25">
      <c r="A48" s="388">
        <f t="shared" si="1"/>
        <v>22</v>
      </c>
      <c r="B48" s="325" t="s">
        <v>248</v>
      </c>
      <c r="C48" s="390" t="s">
        <v>264</v>
      </c>
      <c r="D48" s="280" t="s">
        <v>19</v>
      </c>
      <c r="E48" s="228" t="s">
        <v>217</v>
      </c>
      <c r="F48" s="272" t="s">
        <v>218</v>
      </c>
      <c r="G48" s="392" t="s">
        <v>210</v>
      </c>
      <c r="H48" s="306" t="s">
        <v>228</v>
      </c>
      <c r="I48" s="317" t="s">
        <v>211</v>
      </c>
      <c r="J48" s="310" t="s">
        <v>267</v>
      </c>
      <c r="K48" s="278" t="s">
        <v>254</v>
      </c>
      <c r="L48" s="394" t="s">
        <v>212</v>
      </c>
      <c r="M48" s="319" t="s">
        <v>233</v>
      </c>
      <c r="N48" s="274" t="s">
        <v>238</v>
      </c>
    </row>
    <row r="49" spans="1:14" ht="36.75" thickBot="1" x14ac:dyDescent="0.3">
      <c r="A49" s="389"/>
      <c r="B49" s="326" t="s">
        <v>249</v>
      </c>
      <c r="C49" s="391"/>
      <c r="D49" s="281" t="s">
        <v>19</v>
      </c>
      <c r="E49" s="220" t="s">
        <v>219</v>
      </c>
      <c r="F49" s="256" t="s">
        <v>220</v>
      </c>
      <c r="G49" s="393"/>
      <c r="H49" s="305" t="s">
        <v>229</v>
      </c>
      <c r="I49" s="316" t="s">
        <v>216</v>
      </c>
      <c r="J49" s="346" t="s">
        <v>266</v>
      </c>
      <c r="K49" s="223" t="s">
        <v>255</v>
      </c>
      <c r="L49" s="395"/>
      <c r="M49" s="259" t="s">
        <v>232</v>
      </c>
      <c r="N49" s="260" t="s">
        <v>239</v>
      </c>
    </row>
    <row r="50" spans="1:14" ht="12.75" thickBot="1" x14ac:dyDescent="0.3">
      <c r="A50" s="264" t="s">
        <v>260</v>
      </c>
      <c r="B50" s="324"/>
      <c r="C50" s="268"/>
      <c r="D50" s="265"/>
      <c r="E50" s="266"/>
      <c r="F50" s="267"/>
      <c r="G50" s="268"/>
      <c r="H50" s="298"/>
      <c r="I50" s="314"/>
      <c r="J50" s="308"/>
      <c r="K50" s="269"/>
      <c r="L50" s="269"/>
      <c r="M50" s="320"/>
      <c r="N50" s="270"/>
    </row>
    <row r="51" spans="1:14" ht="12" customHeight="1" x14ac:dyDescent="0.25">
      <c r="A51" s="396">
        <f>A48+1</f>
        <v>23</v>
      </c>
      <c r="B51" s="327" t="s">
        <v>19</v>
      </c>
      <c r="C51" s="335" t="s">
        <v>19</v>
      </c>
      <c r="D51" s="275" t="s">
        <v>207</v>
      </c>
      <c r="E51" s="276" t="s">
        <v>208</v>
      </c>
      <c r="F51" s="277" t="s">
        <v>209</v>
      </c>
      <c r="G51" s="397" t="s">
        <v>210</v>
      </c>
      <c r="H51" s="299" t="s">
        <v>19</v>
      </c>
      <c r="I51" s="315" t="s">
        <v>211</v>
      </c>
      <c r="J51" s="404" t="s">
        <v>240</v>
      </c>
      <c r="K51" s="278" t="s">
        <v>236</v>
      </c>
      <c r="L51" s="394" t="s">
        <v>212</v>
      </c>
      <c r="M51" s="319" t="s">
        <v>233</v>
      </c>
      <c r="N51" s="279" t="s">
        <v>238</v>
      </c>
    </row>
    <row r="52" spans="1:14" ht="12.75" thickBot="1" x14ac:dyDescent="0.3">
      <c r="A52" s="389"/>
      <c r="B52" s="328" t="s">
        <v>19</v>
      </c>
      <c r="C52" s="336" t="s">
        <v>19</v>
      </c>
      <c r="D52" s="262" t="s">
        <v>213</v>
      </c>
      <c r="E52" s="220" t="s">
        <v>214</v>
      </c>
      <c r="F52" s="256" t="s">
        <v>215</v>
      </c>
      <c r="G52" s="393"/>
      <c r="H52" s="300" t="s">
        <v>19</v>
      </c>
      <c r="I52" s="316" t="s">
        <v>216</v>
      </c>
      <c r="J52" s="402"/>
      <c r="K52" s="223" t="s">
        <v>237</v>
      </c>
      <c r="L52" s="395"/>
      <c r="M52" s="259" t="s">
        <v>232</v>
      </c>
      <c r="N52" s="260" t="s">
        <v>239</v>
      </c>
    </row>
    <row r="53" spans="1:14" ht="12" customHeight="1" x14ac:dyDescent="0.25">
      <c r="A53" s="388">
        <f>A51+1</f>
        <v>24</v>
      </c>
      <c r="B53" s="329" t="s">
        <v>19</v>
      </c>
      <c r="C53" s="337" t="s">
        <v>19</v>
      </c>
      <c r="D53" s="271" t="s">
        <v>207</v>
      </c>
      <c r="E53" s="228" t="s">
        <v>217</v>
      </c>
      <c r="F53" s="272" t="s">
        <v>218</v>
      </c>
      <c r="G53" s="392" t="s">
        <v>210</v>
      </c>
      <c r="H53" s="301" t="s">
        <v>19</v>
      </c>
      <c r="I53" s="317" t="s">
        <v>211</v>
      </c>
      <c r="J53" s="401" t="s">
        <v>240</v>
      </c>
      <c r="K53" s="193" t="s">
        <v>236</v>
      </c>
      <c r="L53" s="403" t="s">
        <v>212</v>
      </c>
      <c r="M53" s="319" t="s">
        <v>233</v>
      </c>
      <c r="N53" s="274" t="s">
        <v>238</v>
      </c>
    </row>
    <row r="54" spans="1:14" ht="12.75" thickBot="1" x14ac:dyDescent="0.3">
      <c r="A54" s="389"/>
      <c r="B54" s="328" t="s">
        <v>19</v>
      </c>
      <c r="C54" s="336" t="s">
        <v>19</v>
      </c>
      <c r="D54" s="262" t="s">
        <v>213</v>
      </c>
      <c r="E54" s="220" t="s">
        <v>219</v>
      </c>
      <c r="F54" s="256" t="s">
        <v>220</v>
      </c>
      <c r="G54" s="393"/>
      <c r="H54" s="300" t="s">
        <v>19</v>
      </c>
      <c r="I54" s="316" t="s">
        <v>216</v>
      </c>
      <c r="J54" s="402"/>
      <c r="K54" s="223" t="s">
        <v>237</v>
      </c>
      <c r="L54" s="395"/>
      <c r="M54" s="259" t="s">
        <v>232</v>
      </c>
      <c r="N54" s="260" t="s">
        <v>239</v>
      </c>
    </row>
    <row r="55" spans="1:14" ht="12" customHeight="1" x14ac:dyDescent="0.25">
      <c r="A55" s="388">
        <f>A53+1</f>
        <v>25</v>
      </c>
      <c r="B55" s="329" t="s">
        <v>19</v>
      </c>
      <c r="C55" s="337" t="s">
        <v>19</v>
      </c>
      <c r="D55" s="271" t="s">
        <v>207</v>
      </c>
      <c r="E55" s="228" t="s">
        <v>208</v>
      </c>
      <c r="F55" s="272" t="s">
        <v>221</v>
      </c>
      <c r="G55" s="392" t="s">
        <v>210</v>
      </c>
      <c r="H55" s="302" t="s">
        <v>19</v>
      </c>
      <c r="I55" s="317" t="s">
        <v>211</v>
      </c>
      <c r="J55" s="401" t="s">
        <v>240</v>
      </c>
      <c r="K55" s="193" t="s">
        <v>236</v>
      </c>
      <c r="L55" s="403" t="s">
        <v>212</v>
      </c>
      <c r="M55" s="319" t="s">
        <v>233</v>
      </c>
      <c r="N55" s="274" t="s">
        <v>238</v>
      </c>
    </row>
    <row r="56" spans="1:14" ht="12.75" thickBot="1" x14ac:dyDescent="0.3">
      <c r="A56" s="389"/>
      <c r="B56" s="328" t="s">
        <v>19</v>
      </c>
      <c r="C56" s="336" t="s">
        <v>19</v>
      </c>
      <c r="D56" s="262" t="s">
        <v>213</v>
      </c>
      <c r="E56" s="220" t="s">
        <v>214</v>
      </c>
      <c r="F56" s="256" t="s">
        <v>222</v>
      </c>
      <c r="G56" s="393"/>
      <c r="H56" s="303" t="s">
        <v>19</v>
      </c>
      <c r="I56" s="316" t="s">
        <v>216</v>
      </c>
      <c r="J56" s="402"/>
      <c r="K56" s="223" t="s">
        <v>237</v>
      </c>
      <c r="L56" s="395"/>
      <c r="M56" s="259" t="s">
        <v>232</v>
      </c>
      <c r="N56" s="260" t="s">
        <v>239</v>
      </c>
    </row>
    <row r="57" spans="1:14" ht="12" customHeight="1" x14ac:dyDescent="0.25">
      <c r="A57" s="388">
        <f>A55+1</f>
        <v>26</v>
      </c>
      <c r="B57" s="329" t="s">
        <v>19</v>
      </c>
      <c r="C57" s="337" t="s">
        <v>19</v>
      </c>
      <c r="D57" s="271" t="s">
        <v>207</v>
      </c>
      <c r="E57" s="228" t="s">
        <v>208</v>
      </c>
      <c r="F57" s="272" t="s">
        <v>223</v>
      </c>
      <c r="G57" s="392" t="s">
        <v>210</v>
      </c>
      <c r="H57" s="301" t="s">
        <v>19</v>
      </c>
      <c r="I57" s="317" t="s">
        <v>211</v>
      </c>
      <c r="J57" s="401" t="s">
        <v>240</v>
      </c>
      <c r="K57" s="193" t="s">
        <v>236</v>
      </c>
      <c r="L57" s="403" t="s">
        <v>212</v>
      </c>
      <c r="M57" s="319" t="s">
        <v>233</v>
      </c>
      <c r="N57" s="274" t="s">
        <v>238</v>
      </c>
    </row>
    <row r="58" spans="1:14" ht="12.75" thickBot="1" x14ac:dyDescent="0.3">
      <c r="A58" s="389"/>
      <c r="B58" s="328" t="s">
        <v>19</v>
      </c>
      <c r="C58" s="336" t="s">
        <v>19</v>
      </c>
      <c r="D58" s="262" t="s">
        <v>213</v>
      </c>
      <c r="E58" s="220" t="s">
        <v>214</v>
      </c>
      <c r="F58" s="256" t="s">
        <v>224</v>
      </c>
      <c r="G58" s="393"/>
      <c r="H58" s="300" t="s">
        <v>19</v>
      </c>
      <c r="I58" s="316" t="s">
        <v>216</v>
      </c>
      <c r="J58" s="402"/>
      <c r="K58" s="223" t="s">
        <v>237</v>
      </c>
      <c r="L58" s="395"/>
      <c r="M58" s="259" t="s">
        <v>232</v>
      </c>
      <c r="N58" s="260" t="s">
        <v>239</v>
      </c>
    </row>
    <row r="59" spans="1:14" ht="12" customHeight="1" x14ac:dyDescent="0.25">
      <c r="A59" s="388">
        <f>A57+1</f>
        <v>27</v>
      </c>
      <c r="B59" s="329" t="s">
        <v>19</v>
      </c>
      <c r="C59" s="337" t="s">
        <v>19</v>
      </c>
      <c r="D59" s="271" t="s">
        <v>207</v>
      </c>
      <c r="E59" s="228" t="s">
        <v>219</v>
      </c>
      <c r="F59" s="272" t="s">
        <v>225</v>
      </c>
      <c r="G59" s="392" t="s">
        <v>226</v>
      </c>
      <c r="H59" s="301" t="s">
        <v>19</v>
      </c>
      <c r="I59" s="317" t="s">
        <v>211</v>
      </c>
      <c r="J59" s="401" t="s">
        <v>240</v>
      </c>
      <c r="K59" s="193" t="s">
        <v>236</v>
      </c>
      <c r="L59" s="403" t="s">
        <v>212</v>
      </c>
      <c r="M59" s="319" t="s">
        <v>233</v>
      </c>
      <c r="N59" s="274" t="s">
        <v>238</v>
      </c>
    </row>
    <row r="60" spans="1:14" ht="12.75" thickBot="1" x14ac:dyDescent="0.3">
      <c r="A60" s="389"/>
      <c r="B60" s="328" t="s">
        <v>19</v>
      </c>
      <c r="C60" s="336" t="s">
        <v>19</v>
      </c>
      <c r="D60" s="262" t="s">
        <v>213</v>
      </c>
      <c r="E60" s="220" t="s">
        <v>217</v>
      </c>
      <c r="F60" s="256" t="s">
        <v>227</v>
      </c>
      <c r="G60" s="393"/>
      <c r="H60" s="300" t="s">
        <v>19</v>
      </c>
      <c r="I60" s="316" t="s">
        <v>216</v>
      </c>
      <c r="J60" s="402"/>
      <c r="K60" s="223" t="s">
        <v>237</v>
      </c>
      <c r="L60" s="395"/>
      <c r="M60" s="259" t="s">
        <v>232</v>
      </c>
      <c r="N60" s="260" t="s">
        <v>239</v>
      </c>
    </row>
    <row r="61" spans="1:14" ht="12.75" thickBot="1" x14ac:dyDescent="0.3">
      <c r="A61" s="264" t="s">
        <v>261</v>
      </c>
      <c r="B61" s="324"/>
      <c r="C61" s="268"/>
      <c r="D61" s="265"/>
      <c r="E61" s="266"/>
      <c r="F61" s="267"/>
      <c r="G61" s="268"/>
      <c r="H61" s="298"/>
      <c r="I61" s="314"/>
      <c r="J61" s="309"/>
      <c r="K61" s="267"/>
      <c r="L61" s="267"/>
      <c r="M61" s="321"/>
      <c r="N61" s="268"/>
    </row>
    <row r="62" spans="1:14" ht="12" customHeight="1" x14ac:dyDescent="0.25">
      <c r="A62" s="396">
        <f>A59+1</f>
        <v>28</v>
      </c>
      <c r="B62" s="327" t="s">
        <v>19</v>
      </c>
      <c r="C62" s="335" t="s">
        <v>19</v>
      </c>
      <c r="D62" s="275" t="s">
        <v>207</v>
      </c>
      <c r="E62" s="276" t="s">
        <v>214</v>
      </c>
      <c r="F62" s="277" t="s">
        <v>215</v>
      </c>
      <c r="G62" s="397" t="s">
        <v>226</v>
      </c>
      <c r="H62" s="299" t="s">
        <v>19</v>
      </c>
      <c r="I62" s="315" t="s">
        <v>211</v>
      </c>
      <c r="J62" s="404" t="s">
        <v>240</v>
      </c>
      <c r="K62" s="278" t="s">
        <v>236</v>
      </c>
      <c r="L62" s="394" t="s">
        <v>212</v>
      </c>
      <c r="M62" s="319" t="s">
        <v>233</v>
      </c>
      <c r="N62" s="279" t="s">
        <v>238</v>
      </c>
    </row>
    <row r="63" spans="1:14" ht="12.75" thickBot="1" x14ac:dyDescent="0.3">
      <c r="A63" s="389"/>
      <c r="B63" s="328" t="s">
        <v>19</v>
      </c>
      <c r="C63" s="336" t="s">
        <v>19</v>
      </c>
      <c r="D63" s="262" t="s">
        <v>213</v>
      </c>
      <c r="E63" s="220" t="s">
        <v>208</v>
      </c>
      <c r="F63" s="256" t="s">
        <v>209</v>
      </c>
      <c r="G63" s="393"/>
      <c r="H63" s="300" t="s">
        <v>19</v>
      </c>
      <c r="I63" s="316" t="s">
        <v>216</v>
      </c>
      <c r="J63" s="402"/>
      <c r="K63" s="223" t="s">
        <v>237</v>
      </c>
      <c r="L63" s="395"/>
      <c r="M63" s="259" t="s">
        <v>232</v>
      </c>
      <c r="N63" s="260" t="s">
        <v>239</v>
      </c>
    </row>
    <row r="64" spans="1:14" ht="12" customHeight="1" x14ac:dyDescent="0.25">
      <c r="A64" s="388">
        <f t="shared" ref="A64:A70" si="2">A62+1</f>
        <v>29</v>
      </c>
      <c r="B64" s="329" t="s">
        <v>19</v>
      </c>
      <c r="C64" s="337" t="s">
        <v>19</v>
      </c>
      <c r="D64" s="271" t="s">
        <v>207</v>
      </c>
      <c r="E64" s="228" t="s">
        <v>219</v>
      </c>
      <c r="F64" s="272" t="s">
        <v>220</v>
      </c>
      <c r="G64" s="392" t="s">
        <v>226</v>
      </c>
      <c r="H64" s="302" t="s">
        <v>19</v>
      </c>
      <c r="I64" s="317" t="s">
        <v>211</v>
      </c>
      <c r="J64" s="401" t="s">
        <v>240</v>
      </c>
      <c r="K64" s="193" t="s">
        <v>236</v>
      </c>
      <c r="L64" s="403" t="s">
        <v>212</v>
      </c>
      <c r="M64" s="319" t="s">
        <v>233</v>
      </c>
      <c r="N64" s="274" t="s">
        <v>238</v>
      </c>
    </row>
    <row r="65" spans="1:14" ht="12.75" thickBot="1" x14ac:dyDescent="0.3">
      <c r="A65" s="389"/>
      <c r="B65" s="328" t="s">
        <v>19</v>
      </c>
      <c r="C65" s="336" t="s">
        <v>19</v>
      </c>
      <c r="D65" s="262" t="s">
        <v>213</v>
      </c>
      <c r="E65" s="220" t="s">
        <v>217</v>
      </c>
      <c r="F65" s="256" t="s">
        <v>218</v>
      </c>
      <c r="G65" s="393"/>
      <c r="H65" s="303" t="s">
        <v>19</v>
      </c>
      <c r="I65" s="316" t="s">
        <v>216</v>
      </c>
      <c r="J65" s="402"/>
      <c r="K65" s="223" t="s">
        <v>237</v>
      </c>
      <c r="L65" s="395"/>
      <c r="M65" s="259" t="s">
        <v>232</v>
      </c>
      <c r="N65" s="260" t="s">
        <v>239</v>
      </c>
    </row>
    <row r="66" spans="1:14" ht="12" customHeight="1" x14ac:dyDescent="0.25">
      <c r="A66" s="388">
        <f t="shared" si="2"/>
        <v>30</v>
      </c>
      <c r="B66" s="329" t="s">
        <v>19</v>
      </c>
      <c r="C66" s="337" t="s">
        <v>19</v>
      </c>
      <c r="D66" s="271" t="s">
        <v>207</v>
      </c>
      <c r="E66" s="228" t="s">
        <v>214</v>
      </c>
      <c r="F66" s="272" t="s">
        <v>222</v>
      </c>
      <c r="G66" s="392" t="s">
        <v>226</v>
      </c>
      <c r="H66" s="302" t="s">
        <v>19</v>
      </c>
      <c r="I66" s="317" t="s">
        <v>211</v>
      </c>
      <c r="J66" s="401" t="s">
        <v>240</v>
      </c>
      <c r="K66" s="193" t="s">
        <v>236</v>
      </c>
      <c r="L66" s="403" t="s">
        <v>212</v>
      </c>
      <c r="M66" s="319" t="s">
        <v>233</v>
      </c>
      <c r="N66" s="274" t="s">
        <v>238</v>
      </c>
    </row>
    <row r="67" spans="1:14" ht="12.75" thickBot="1" x14ac:dyDescent="0.3">
      <c r="A67" s="389"/>
      <c r="B67" s="328" t="s">
        <v>19</v>
      </c>
      <c r="C67" s="336" t="s">
        <v>19</v>
      </c>
      <c r="D67" s="262" t="s">
        <v>213</v>
      </c>
      <c r="E67" s="220" t="s">
        <v>208</v>
      </c>
      <c r="F67" s="256" t="s">
        <v>221</v>
      </c>
      <c r="G67" s="393"/>
      <c r="H67" s="303" t="s">
        <v>19</v>
      </c>
      <c r="I67" s="316" t="s">
        <v>216</v>
      </c>
      <c r="J67" s="402"/>
      <c r="K67" s="223" t="s">
        <v>237</v>
      </c>
      <c r="L67" s="395"/>
      <c r="M67" s="259" t="s">
        <v>232</v>
      </c>
      <c r="N67" s="260" t="s">
        <v>239</v>
      </c>
    </row>
    <row r="68" spans="1:14" ht="12" customHeight="1" x14ac:dyDescent="0.25">
      <c r="A68" s="388">
        <f t="shared" si="2"/>
        <v>31</v>
      </c>
      <c r="B68" s="329" t="s">
        <v>19</v>
      </c>
      <c r="C68" s="337" t="s">
        <v>19</v>
      </c>
      <c r="D68" s="271" t="s">
        <v>207</v>
      </c>
      <c r="E68" s="228" t="s">
        <v>214</v>
      </c>
      <c r="F68" s="272" t="s">
        <v>224</v>
      </c>
      <c r="G68" s="392" t="s">
        <v>226</v>
      </c>
      <c r="H68" s="301" t="s">
        <v>19</v>
      </c>
      <c r="I68" s="317" t="s">
        <v>211</v>
      </c>
      <c r="J68" s="401" t="s">
        <v>240</v>
      </c>
      <c r="K68" s="193" t="s">
        <v>236</v>
      </c>
      <c r="L68" s="403" t="s">
        <v>212</v>
      </c>
      <c r="M68" s="319" t="s">
        <v>233</v>
      </c>
      <c r="N68" s="274" t="s">
        <v>238</v>
      </c>
    </row>
    <row r="69" spans="1:14" ht="12.75" thickBot="1" x14ac:dyDescent="0.3">
      <c r="A69" s="389"/>
      <c r="B69" s="328" t="s">
        <v>19</v>
      </c>
      <c r="C69" s="336" t="s">
        <v>19</v>
      </c>
      <c r="D69" s="262" t="s">
        <v>213</v>
      </c>
      <c r="E69" s="220" t="s">
        <v>208</v>
      </c>
      <c r="F69" s="256" t="s">
        <v>223</v>
      </c>
      <c r="G69" s="393"/>
      <c r="H69" s="300" t="s">
        <v>19</v>
      </c>
      <c r="I69" s="316" t="s">
        <v>216</v>
      </c>
      <c r="J69" s="402"/>
      <c r="K69" s="223" t="s">
        <v>237</v>
      </c>
      <c r="L69" s="395"/>
      <c r="M69" s="259" t="s">
        <v>232</v>
      </c>
      <c r="N69" s="260" t="s">
        <v>239</v>
      </c>
    </row>
    <row r="70" spans="1:14" ht="12" customHeight="1" x14ac:dyDescent="0.25">
      <c r="A70" s="388">
        <f t="shared" si="2"/>
        <v>32</v>
      </c>
      <c r="B70" s="329" t="s">
        <v>19</v>
      </c>
      <c r="C70" s="337" t="s">
        <v>19</v>
      </c>
      <c r="D70" s="271" t="s">
        <v>207</v>
      </c>
      <c r="E70" s="228" t="s">
        <v>217</v>
      </c>
      <c r="F70" s="272" t="s">
        <v>227</v>
      </c>
      <c r="G70" s="392" t="s">
        <v>210</v>
      </c>
      <c r="H70" s="301" t="s">
        <v>19</v>
      </c>
      <c r="I70" s="317" t="s">
        <v>211</v>
      </c>
      <c r="J70" s="401" t="s">
        <v>240</v>
      </c>
      <c r="K70" s="193" t="s">
        <v>236</v>
      </c>
      <c r="L70" s="403" t="s">
        <v>212</v>
      </c>
      <c r="M70" s="319" t="s">
        <v>233</v>
      </c>
      <c r="N70" s="274" t="s">
        <v>238</v>
      </c>
    </row>
    <row r="71" spans="1:14" ht="12.75" thickBot="1" x14ac:dyDescent="0.3">
      <c r="A71" s="389"/>
      <c r="B71" s="328" t="s">
        <v>19</v>
      </c>
      <c r="C71" s="336" t="s">
        <v>19</v>
      </c>
      <c r="D71" s="262" t="s">
        <v>213</v>
      </c>
      <c r="E71" s="220" t="s">
        <v>219</v>
      </c>
      <c r="F71" s="256" t="s">
        <v>225</v>
      </c>
      <c r="G71" s="393"/>
      <c r="H71" s="300" t="s">
        <v>19</v>
      </c>
      <c r="I71" s="316" t="s">
        <v>216</v>
      </c>
      <c r="J71" s="402"/>
      <c r="K71" s="223" t="s">
        <v>237</v>
      </c>
      <c r="L71" s="395"/>
      <c r="M71" s="259" t="s">
        <v>232</v>
      </c>
      <c r="N71" s="260" t="s">
        <v>239</v>
      </c>
    </row>
    <row r="72" spans="1:14" ht="12.75" thickBot="1" x14ac:dyDescent="0.3">
      <c r="A72" s="264" t="s">
        <v>262</v>
      </c>
      <c r="B72" s="324"/>
      <c r="C72" s="268"/>
      <c r="D72" s="265"/>
      <c r="E72" s="266"/>
      <c r="F72" s="267"/>
      <c r="G72" s="268"/>
      <c r="H72" s="298"/>
      <c r="I72" s="314"/>
      <c r="J72" s="309"/>
      <c r="K72" s="267"/>
      <c r="L72" s="267"/>
      <c r="M72" s="321"/>
      <c r="N72" s="268"/>
    </row>
    <row r="73" spans="1:14" ht="12" customHeight="1" x14ac:dyDescent="0.25">
      <c r="A73" s="396">
        <f>A70+1</f>
        <v>33</v>
      </c>
      <c r="B73" s="327" t="s">
        <v>19</v>
      </c>
      <c r="C73" s="335" t="s">
        <v>19</v>
      </c>
      <c r="D73" s="275" t="s">
        <v>207</v>
      </c>
      <c r="E73" s="284" t="s">
        <v>19</v>
      </c>
      <c r="F73" s="285" t="s">
        <v>19</v>
      </c>
      <c r="G73" s="397" t="s">
        <v>19</v>
      </c>
      <c r="H73" s="304" t="s">
        <v>228</v>
      </c>
      <c r="I73" s="315" t="s">
        <v>211</v>
      </c>
      <c r="J73" s="310" t="s">
        <v>241</v>
      </c>
      <c r="K73" s="278" t="s">
        <v>236</v>
      </c>
      <c r="L73" s="394" t="s">
        <v>212</v>
      </c>
      <c r="M73" s="319" t="s">
        <v>233</v>
      </c>
      <c r="N73" s="274" t="s">
        <v>238</v>
      </c>
    </row>
    <row r="74" spans="1:14" ht="12.75" thickBot="1" x14ac:dyDescent="0.3">
      <c r="A74" s="389"/>
      <c r="B74" s="328" t="s">
        <v>19</v>
      </c>
      <c r="C74" s="336" t="s">
        <v>19</v>
      </c>
      <c r="D74" s="262" t="s">
        <v>213</v>
      </c>
      <c r="E74" s="286" t="s">
        <v>19</v>
      </c>
      <c r="F74" s="258" t="s">
        <v>19</v>
      </c>
      <c r="G74" s="393"/>
      <c r="H74" s="305" t="s">
        <v>229</v>
      </c>
      <c r="I74" s="316" t="s">
        <v>216</v>
      </c>
      <c r="J74" s="311" t="s">
        <v>242</v>
      </c>
      <c r="K74" s="223" t="s">
        <v>237</v>
      </c>
      <c r="L74" s="395"/>
      <c r="M74" s="259" t="s">
        <v>232</v>
      </c>
      <c r="N74" s="260" t="s">
        <v>239</v>
      </c>
    </row>
    <row r="75" spans="1:14" ht="12" customHeight="1" x14ac:dyDescent="0.25">
      <c r="A75" s="396">
        <f>A73+1</f>
        <v>34</v>
      </c>
      <c r="B75" s="327" t="s">
        <v>19</v>
      </c>
      <c r="C75" s="335" t="s">
        <v>19</v>
      </c>
      <c r="D75" s="275" t="s">
        <v>207</v>
      </c>
      <c r="E75" s="284" t="s">
        <v>19</v>
      </c>
      <c r="F75" s="285" t="s">
        <v>19</v>
      </c>
      <c r="G75" s="397" t="s">
        <v>19</v>
      </c>
      <c r="H75" s="304" t="s">
        <v>230</v>
      </c>
      <c r="I75" s="315" t="s">
        <v>211</v>
      </c>
      <c r="J75" s="310" t="s">
        <v>244</v>
      </c>
      <c r="K75" s="278" t="s">
        <v>236</v>
      </c>
      <c r="L75" s="394" t="s">
        <v>212</v>
      </c>
      <c r="M75" s="319" t="s">
        <v>233</v>
      </c>
      <c r="N75" s="274" t="s">
        <v>238</v>
      </c>
    </row>
    <row r="76" spans="1:14" ht="12.75" thickBot="1" x14ac:dyDescent="0.3">
      <c r="A76" s="389"/>
      <c r="B76" s="328" t="s">
        <v>19</v>
      </c>
      <c r="C76" s="336" t="s">
        <v>19</v>
      </c>
      <c r="D76" s="262" t="s">
        <v>213</v>
      </c>
      <c r="E76" s="286" t="s">
        <v>19</v>
      </c>
      <c r="F76" s="258" t="s">
        <v>19</v>
      </c>
      <c r="G76" s="393"/>
      <c r="H76" s="305" t="s">
        <v>231</v>
      </c>
      <c r="I76" s="316" t="s">
        <v>216</v>
      </c>
      <c r="J76" s="311" t="s">
        <v>243</v>
      </c>
      <c r="K76" s="223" t="s">
        <v>237</v>
      </c>
      <c r="L76" s="395"/>
      <c r="M76" s="259" t="s">
        <v>232</v>
      </c>
      <c r="N76" s="260" t="s">
        <v>239</v>
      </c>
    </row>
    <row r="77" spans="1:14" s="291" customFormat="1" ht="12.75" thickBot="1" x14ac:dyDescent="0.3">
      <c r="A77" s="264" t="s">
        <v>263</v>
      </c>
      <c r="B77" s="324"/>
      <c r="C77" s="268"/>
      <c r="D77" s="265"/>
      <c r="E77" s="266"/>
      <c r="F77" s="267"/>
      <c r="G77" s="268"/>
      <c r="H77" s="298"/>
      <c r="I77" s="314"/>
      <c r="J77" s="309"/>
      <c r="K77" s="267"/>
      <c r="L77" s="267"/>
      <c r="M77" s="321"/>
      <c r="N77" s="268"/>
    </row>
    <row r="78" spans="1:14" ht="12" customHeight="1" x14ac:dyDescent="0.25">
      <c r="A78" s="396">
        <f>A75+1</f>
        <v>35</v>
      </c>
      <c r="B78" s="327" t="s">
        <v>19</v>
      </c>
      <c r="C78" s="335" t="s">
        <v>19</v>
      </c>
      <c r="D78" s="287" t="s">
        <v>19</v>
      </c>
      <c r="E78" s="276" t="s">
        <v>214</v>
      </c>
      <c r="F78" s="277" t="s">
        <v>215</v>
      </c>
      <c r="G78" s="397" t="s">
        <v>226</v>
      </c>
      <c r="H78" s="304" t="s">
        <v>228</v>
      </c>
      <c r="I78" s="315" t="s">
        <v>211</v>
      </c>
      <c r="J78" s="310" t="s">
        <v>241</v>
      </c>
      <c r="K78" s="319" t="s">
        <v>232</v>
      </c>
      <c r="L78" s="394" t="s">
        <v>212</v>
      </c>
      <c r="M78" s="319" t="s">
        <v>233</v>
      </c>
      <c r="N78" s="274" t="s">
        <v>238</v>
      </c>
    </row>
    <row r="79" spans="1:14" ht="12.75" thickBot="1" x14ac:dyDescent="0.3">
      <c r="A79" s="389"/>
      <c r="B79" s="328" t="s">
        <v>19</v>
      </c>
      <c r="C79" s="336" t="s">
        <v>19</v>
      </c>
      <c r="D79" s="281" t="s">
        <v>19</v>
      </c>
      <c r="E79" s="220" t="s">
        <v>208</v>
      </c>
      <c r="F79" s="256" t="s">
        <v>209</v>
      </c>
      <c r="G79" s="393"/>
      <c r="H79" s="305" t="s">
        <v>229</v>
      </c>
      <c r="I79" s="316" t="s">
        <v>216</v>
      </c>
      <c r="J79" s="311" t="s">
        <v>242</v>
      </c>
      <c r="K79" s="259" t="s">
        <v>233</v>
      </c>
      <c r="L79" s="395"/>
      <c r="M79" s="259" t="s">
        <v>232</v>
      </c>
      <c r="N79" s="260" t="s">
        <v>239</v>
      </c>
    </row>
    <row r="80" spans="1:14" ht="12" customHeight="1" x14ac:dyDescent="0.25">
      <c r="A80" s="388">
        <f t="shared" ref="A80:A96" si="3">A78+1</f>
        <v>36</v>
      </c>
      <c r="B80" s="329" t="s">
        <v>19</v>
      </c>
      <c r="C80" s="337" t="s">
        <v>19</v>
      </c>
      <c r="D80" s="280" t="s">
        <v>19</v>
      </c>
      <c r="E80" s="228" t="s">
        <v>208</v>
      </c>
      <c r="F80" s="272" t="s">
        <v>209</v>
      </c>
      <c r="G80" s="392" t="s">
        <v>210</v>
      </c>
      <c r="H80" s="306" t="s">
        <v>228</v>
      </c>
      <c r="I80" s="317" t="s">
        <v>211</v>
      </c>
      <c r="J80" s="310" t="s">
        <v>241</v>
      </c>
      <c r="K80" s="319" t="s">
        <v>232</v>
      </c>
      <c r="L80" s="394" t="s">
        <v>212</v>
      </c>
      <c r="M80" s="319" t="s">
        <v>233</v>
      </c>
      <c r="N80" s="274" t="s">
        <v>238</v>
      </c>
    </row>
    <row r="81" spans="1:14" ht="12.75" thickBot="1" x14ac:dyDescent="0.3">
      <c r="A81" s="389"/>
      <c r="B81" s="328" t="s">
        <v>19</v>
      </c>
      <c r="C81" s="336" t="s">
        <v>19</v>
      </c>
      <c r="D81" s="281" t="s">
        <v>19</v>
      </c>
      <c r="E81" s="220" t="s">
        <v>214</v>
      </c>
      <c r="F81" s="256" t="s">
        <v>215</v>
      </c>
      <c r="G81" s="393"/>
      <c r="H81" s="305" t="s">
        <v>229</v>
      </c>
      <c r="I81" s="316" t="s">
        <v>216</v>
      </c>
      <c r="J81" s="311" t="s">
        <v>242</v>
      </c>
      <c r="K81" s="259" t="s">
        <v>233</v>
      </c>
      <c r="L81" s="395"/>
      <c r="M81" s="259" t="s">
        <v>232</v>
      </c>
      <c r="N81" s="260" t="s">
        <v>239</v>
      </c>
    </row>
    <row r="82" spans="1:14" ht="12" customHeight="1" x14ac:dyDescent="0.25">
      <c r="A82" s="388">
        <f t="shared" si="3"/>
        <v>37</v>
      </c>
      <c r="B82" s="329" t="s">
        <v>19</v>
      </c>
      <c r="C82" s="337" t="s">
        <v>19</v>
      </c>
      <c r="D82" s="280" t="s">
        <v>19</v>
      </c>
      <c r="E82" s="228" t="s">
        <v>214</v>
      </c>
      <c r="F82" s="272" t="s">
        <v>222</v>
      </c>
      <c r="G82" s="392" t="s">
        <v>226</v>
      </c>
      <c r="H82" s="306" t="s">
        <v>228</v>
      </c>
      <c r="I82" s="317" t="s">
        <v>211</v>
      </c>
      <c r="J82" s="310" t="s">
        <v>241</v>
      </c>
      <c r="K82" s="319" t="s">
        <v>232</v>
      </c>
      <c r="L82" s="394" t="s">
        <v>212</v>
      </c>
      <c r="M82" s="319" t="s">
        <v>233</v>
      </c>
      <c r="N82" s="274" t="s">
        <v>238</v>
      </c>
    </row>
    <row r="83" spans="1:14" ht="12.75" thickBot="1" x14ac:dyDescent="0.3">
      <c r="A83" s="389"/>
      <c r="B83" s="328" t="s">
        <v>19</v>
      </c>
      <c r="C83" s="336" t="s">
        <v>19</v>
      </c>
      <c r="D83" s="281" t="s">
        <v>19</v>
      </c>
      <c r="E83" s="220" t="s">
        <v>208</v>
      </c>
      <c r="F83" s="256" t="s">
        <v>221</v>
      </c>
      <c r="G83" s="393"/>
      <c r="H83" s="305" t="s">
        <v>229</v>
      </c>
      <c r="I83" s="316" t="s">
        <v>216</v>
      </c>
      <c r="J83" s="311" t="s">
        <v>242</v>
      </c>
      <c r="K83" s="259" t="s">
        <v>233</v>
      </c>
      <c r="L83" s="395"/>
      <c r="M83" s="259" t="s">
        <v>232</v>
      </c>
      <c r="N83" s="260" t="s">
        <v>239</v>
      </c>
    </row>
    <row r="84" spans="1:14" ht="12" customHeight="1" x14ac:dyDescent="0.25">
      <c r="A84" s="388">
        <f t="shared" si="3"/>
        <v>38</v>
      </c>
      <c r="B84" s="329" t="s">
        <v>19</v>
      </c>
      <c r="C84" s="337" t="s">
        <v>19</v>
      </c>
      <c r="D84" s="280" t="s">
        <v>19</v>
      </c>
      <c r="E84" s="228" t="s">
        <v>208</v>
      </c>
      <c r="F84" s="272" t="s">
        <v>221</v>
      </c>
      <c r="G84" s="392" t="s">
        <v>210</v>
      </c>
      <c r="H84" s="306" t="s">
        <v>228</v>
      </c>
      <c r="I84" s="317" t="s">
        <v>211</v>
      </c>
      <c r="J84" s="310" t="s">
        <v>241</v>
      </c>
      <c r="K84" s="319" t="s">
        <v>232</v>
      </c>
      <c r="L84" s="394" t="s">
        <v>212</v>
      </c>
      <c r="M84" s="319" t="s">
        <v>233</v>
      </c>
      <c r="N84" s="274" t="s">
        <v>238</v>
      </c>
    </row>
    <row r="85" spans="1:14" ht="12.75" thickBot="1" x14ac:dyDescent="0.3">
      <c r="A85" s="389"/>
      <c r="B85" s="328" t="s">
        <v>19</v>
      </c>
      <c r="C85" s="336" t="s">
        <v>19</v>
      </c>
      <c r="D85" s="281" t="s">
        <v>19</v>
      </c>
      <c r="E85" s="220" t="s">
        <v>214</v>
      </c>
      <c r="F85" s="256" t="s">
        <v>222</v>
      </c>
      <c r="G85" s="393"/>
      <c r="H85" s="305" t="s">
        <v>229</v>
      </c>
      <c r="I85" s="316" t="s">
        <v>216</v>
      </c>
      <c r="J85" s="311" t="s">
        <v>242</v>
      </c>
      <c r="K85" s="259" t="s">
        <v>233</v>
      </c>
      <c r="L85" s="395"/>
      <c r="M85" s="259" t="s">
        <v>232</v>
      </c>
      <c r="N85" s="260" t="s">
        <v>239</v>
      </c>
    </row>
    <row r="86" spans="1:14" ht="12" customHeight="1" x14ac:dyDescent="0.25">
      <c r="A86" s="388">
        <f t="shared" si="3"/>
        <v>39</v>
      </c>
      <c r="B86" s="329" t="s">
        <v>19</v>
      </c>
      <c r="C86" s="337" t="s">
        <v>19</v>
      </c>
      <c r="D86" s="280" t="s">
        <v>19</v>
      </c>
      <c r="E86" s="228" t="s">
        <v>214</v>
      </c>
      <c r="F86" s="272" t="s">
        <v>224</v>
      </c>
      <c r="G86" s="392" t="s">
        <v>226</v>
      </c>
      <c r="H86" s="306" t="s">
        <v>228</v>
      </c>
      <c r="I86" s="317" t="s">
        <v>211</v>
      </c>
      <c r="J86" s="310" t="s">
        <v>241</v>
      </c>
      <c r="K86" s="319" t="s">
        <v>232</v>
      </c>
      <c r="L86" s="394" t="s">
        <v>212</v>
      </c>
      <c r="M86" s="319" t="s">
        <v>233</v>
      </c>
      <c r="N86" s="274" t="s">
        <v>238</v>
      </c>
    </row>
    <row r="87" spans="1:14" ht="12.75" thickBot="1" x14ac:dyDescent="0.3">
      <c r="A87" s="389"/>
      <c r="B87" s="328" t="s">
        <v>19</v>
      </c>
      <c r="C87" s="336" t="s">
        <v>19</v>
      </c>
      <c r="D87" s="281" t="s">
        <v>19</v>
      </c>
      <c r="E87" s="220" t="s">
        <v>208</v>
      </c>
      <c r="F87" s="256" t="s">
        <v>223</v>
      </c>
      <c r="G87" s="393"/>
      <c r="H87" s="305" t="s">
        <v>229</v>
      </c>
      <c r="I87" s="316" t="s">
        <v>216</v>
      </c>
      <c r="J87" s="311" t="s">
        <v>242</v>
      </c>
      <c r="K87" s="259" t="s">
        <v>233</v>
      </c>
      <c r="L87" s="395"/>
      <c r="M87" s="259" t="s">
        <v>232</v>
      </c>
      <c r="N87" s="260" t="s">
        <v>239</v>
      </c>
    </row>
    <row r="88" spans="1:14" ht="12" customHeight="1" x14ac:dyDescent="0.25">
      <c r="A88" s="388">
        <f t="shared" si="3"/>
        <v>40</v>
      </c>
      <c r="B88" s="329" t="s">
        <v>19</v>
      </c>
      <c r="C88" s="337" t="s">
        <v>19</v>
      </c>
      <c r="D88" s="280" t="s">
        <v>19</v>
      </c>
      <c r="E88" s="228" t="s">
        <v>208</v>
      </c>
      <c r="F88" s="272" t="s">
        <v>223</v>
      </c>
      <c r="G88" s="392" t="s">
        <v>210</v>
      </c>
      <c r="H88" s="306" t="s">
        <v>228</v>
      </c>
      <c r="I88" s="317" t="s">
        <v>211</v>
      </c>
      <c r="J88" s="310" t="s">
        <v>241</v>
      </c>
      <c r="K88" s="319" t="s">
        <v>232</v>
      </c>
      <c r="L88" s="394" t="s">
        <v>212</v>
      </c>
      <c r="M88" s="319" t="s">
        <v>233</v>
      </c>
      <c r="N88" s="274" t="s">
        <v>238</v>
      </c>
    </row>
    <row r="89" spans="1:14" ht="12.75" thickBot="1" x14ac:dyDescent="0.3">
      <c r="A89" s="389"/>
      <c r="B89" s="328" t="s">
        <v>19</v>
      </c>
      <c r="C89" s="336" t="s">
        <v>19</v>
      </c>
      <c r="D89" s="281" t="s">
        <v>19</v>
      </c>
      <c r="E89" s="220" t="s">
        <v>214</v>
      </c>
      <c r="F89" s="256" t="s">
        <v>224</v>
      </c>
      <c r="G89" s="393"/>
      <c r="H89" s="305" t="s">
        <v>229</v>
      </c>
      <c r="I89" s="316" t="s">
        <v>216</v>
      </c>
      <c r="J89" s="311" t="s">
        <v>242</v>
      </c>
      <c r="K89" s="259" t="s">
        <v>233</v>
      </c>
      <c r="L89" s="395"/>
      <c r="M89" s="259" t="s">
        <v>232</v>
      </c>
      <c r="N89" s="260" t="s">
        <v>239</v>
      </c>
    </row>
    <row r="90" spans="1:14" ht="12" customHeight="1" x14ac:dyDescent="0.25">
      <c r="A90" s="388">
        <f t="shared" si="3"/>
        <v>41</v>
      </c>
      <c r="B90" s="330" t="s">
        <v>19</v>
      </c>
      <c r="C90" s="229" t="s">
        <v>19</v>
      </c>
      <c r="D90" s="273" t="s">
        <v>19</v>
      </c>
      <c r="E90" s="228" t="s">
        <v>217</v>
      </c>
      <c r="F90" s="272" t="s">
        <v>227</v>
      </c>
      <c r="G90" s="392" t="s">
        <v>210</v>
      </c>
      <c r="H90" s="306" t="s">
        <v>230</v>
      </c>
      <c r="I90" s="317" t="s">
        <v>211</v>
      </c>
      <c r="J90" s="310" t="s">
        <v>244</v>
      </c>
      <c r="K90" s="319" t="s">
        <v>232</v>
      </c>
      <c r="L90" s="394" t="s">
        <v>212</v>
      </c>
      <c r="M90" s="319" t="s">
        <v>233</v>
      </c>
      <c r="N90" s="274" t="s">
        <v>238</v>
      </c>
    </row>
    <row r="91" spans="1:14" ht="12.75" thickBot="1" x14ac:dyDescent="0.3">
      <c r="A91" s="389"/>
      <c r="B91" s="331" t="s">
        <v>19</v>
      </c>
      <c r="C91" s="230" t="s">
        <v>19</v>
      </c>
      <c r="D91" s="263" t="s">
        <v>19</v>
      </c>
      <c r="E91" s="220" t="s">
        <v>219</v>
      </c>
      <c r="F91" s="256" t="s">
        <v>225</v>
      </c>
      <c r="G91" s="393"/>
      <c r="H91" s="305" t="s">
        <v>231</v>
      </c>
      <c r="I91" s="316" t="s">
        <v>216</v>
      </c>
      <c r="J91" s="312" t="s">
        <v>243</v>
      </c>
      <c r="K91" s="259" t="s">
        <v>233</v>
      </c>
      <c r="L91" s="395"/>
      <c r="M91" s="259" t="s">
        <v>232</v>
      </c>
      <c r="N91" s="260" t="s">
        <v>239</v>
      </c>
    </row>
    <row r="92" spans="1:14" ht="12" customHeight="1" x14ac:dyDescent="0.25">
      <c r="A92" s="388">
        <f t="shared" si="3"/>
        <v>42</v>
      </c>
      <c r="B92" s="329" t="s">
        <v>19</v>
      </c>
      <c r="C92" s="337" t="s">
        <v>19</v>
      </c>
      <c r="D92" s="280" t="s">
        <v>19</v>
      </c>
      <c r="E92" s="228" t="s">
        <v>217</v>
      </c>
      <c r="F92" s="272" t="s">
        <v>227</v>
      </c>
      <c r="G92" s="392" t="s">
        <v>210</v>
      </c>
      <c r="H92" s="306" t="s">
        <v>228</v>
      </c>
      <c r="I92" s="317" t="s">
        <v>211</v>
      </c>
      <c r="J92" s="310" t="s">
        <v>241</v>
      </c>
      <c r="K92" s="319" t="s">
        <v>232</v>
      </c>
      <c r="L92" s="394" t="s">
        <v>212</v>
      </c>
      <c r="M92" s="319" t="s">
        <v>233</v>
      </c>
      <c r="N92" s="274" t="s">
        <v>238</v>
      </c>
    </row>
    <row r="93" spans="1:14" ht="12.75" thickBot="1" x14ac:dyDescent="0.3">
      <c r="A93" s="389"/>
      <c r="B93" s="328" t="s">
        <v>19</v>
      </c>
      <c r="C93" s="336" t="s">
        <v>19</v>
      </c>
      <c r="D93" s="281" t="s">
        <v>19</v>
      </c>
      <c r="E93" s="220" t="s">
        <v>219</v>
      </c>
      <c r="F93" s="256" t="s">
        <v>225</v>
      </c>
      <c r="G93" s="393"/>
      <c r="H93" s="305" t="s">
        <v>229</v>
      </c>
      <c r="I93" s="316" t="s">
        <v>216</v>
      </c>
      <c r="J93" s="311" t="s">
        <v>242</v>
      </c>
      <c r="K93" s="259" t="s">
        <v>233</v>
      </c>
      <c r="L93" s="395"/>
      <c r="M93" s="259" t="s">
        <v>232</v>
      </c>
      <c r="N93" s="260" t="s">
        <v>239</v>
      </c>
    </row>
    <row r="94" spans="1:14" ht="12" customHeight="1" x14ac:dyDescent="0.25">
      <c r="A94" s="388">
        <f t="shared" si="3"/>
        <v>43</v>
      </c>
      <c r="B94" s="329" t="s">
        <v>19</v>
      </c>
      <c r="C94" s="337" t="s">
        <v>19</v>
      </c>
      <c r="D94" s="280" t="s">
        <v>19</v>
      </c>
      <c r="E94" s="228" t="s">
        <v>217</v>
      </c>
      <c r="F94" s="272" t="s">
        <v>218</v>
      </c>
      <c r="G94" s="392" t="s">
        <v>210</v>
      </c>
      <c r="H94" s="306" t="s">
        <v>230</v>
      </c>
      <c r="I94" s="317" t="s">
        <v>211</v>
      </c>
      <c r="J94" s="310" t="s">
        <v>244</v>
      </c>
      <c r="K94" s="319" t="s">
        <v>232</v>
      </c>
      <c r="L94" s="394" t="s">
        <v>212</v>
      </c>
      <c r="M94" s="319" t="s">
        <v>233</v>
      </c>
      <c r="N94" s="274" t="s">
        <v>238</v>
      </c>
    </row>
    <row r="95" spans="1:14" ht="12.75" thickBot="1" x14ac:dyDescent="0.3">
      <c r="A95" s="389"/>
      <c r="B95" s="328" t="s">
        <v>19</v>
      </c>
      <c r="C95" s="336" t="s">
        <v>19</v>
      </c>
      <c r="D95" s="281" t="s">
        <v>19</v>
      </c>
      <c r="E95" s="220" t="s">
        <v>219</v>
      </c>
      <c r="F95" s="256" t="s">
        <v>220</v>
      </c>
      <c r="G95" s="393"/>
      <c r="H95" s="305" t="s">
        <v>231</v>
      </c>
      <c r="I95" s="316" t="s">
        <v>216</v>
      </c>
      <c r="J95" s="312" t="s">
        <v>243</v>
      </c>
      <c r="K95" s="259" t="s">
        <v>233</v>
      </c>
      <c r="L95" s="395"/>
      <c r="M95" s="259" t="s">
        <v>232</v>
      </c>
      <c r="N95" s="260" t="s">
        <v>239</v>
      </c>
    </row>
    <row r="96" spans="1:14" ht="12" customHeight="1" x14ac:dyDescent="0.25">
      <c r="A96" s="396">
        <f t="shared" si="3"/>
        <v>44</v>
      </c>
      <c r="B96" s="327" t="s">
        <v>19</v>
      </c>
      <c r="C96" s="335" t="s">
        <v>19</v>
      </c>
      <c r="D96" s="287" t="s">
        <v>19</v>
      </c>
      <c r="E96" s="276" t="s">
        <v>217</v>
      </c>
      <c r="F96" s="277" t="s">
        <v>218</v>
      </c>
      <c r="G96" s="397" t="s">
        <v>210</v>
      </c>
      <c r="H96" s="304" t="s">
        <v>228</v>
      </c>
      <c r="I96" s="315" t="s">
        <v>211</v>
      </c>
      <c r="J96" s="310" t="s">
        <v>241</v>
      </c>
      <c r="K96" s="319" t="s">
        <v>232</v>
      </c>
      <c r="L96" s="394" t="s">
        <v>212</v>
      </c>
      <c r="M96" s="319" t="s">
        <v>233</v>
      </c>
      <c r="N96" s="274" t="s">
        <v>238</v>
      </c>
    </row>
    <row r="97" spans="1:14" ht="12.75" thickBot="1" x14ac:dyDescent="0.3">
      <c r="A97" s="389"/>
      <c r="B97" s="328" t="s">
        <v>19</v>
      </c>
      <c r="C97" s="336" t="s">
        <v>19</v>
      </c>
      <c r="D97" s="281" t="s">
        <v>19</v>
      </c>
      <c r="E97" s="220" t="s">
        <v>219</v>
      </c>
      <c r="F97" s="256" t="s">
        <v>220</v>
      </c>
      <c r="G97" s="393"/>
      <c r="H97" s="305" t="s">
        <v>229</v>
      </c>
      <c r="I97" s="316" t="s">
        <v>216</v>
      </c>
      <c r="J97" s="311" t="s">
        <v>242</v>
      </c>
      <c r="K97" s="259" t="s">
        <v>233</v>
      </c>
      <c r="L97" s="395"/>
      <c r="M97" s="259" t="s">
        <v>232</v>
      </c>
      <c r="N97" s="260" t="s">
        <v>239</v>
      </c>
    </row>
    <row r="98" spans="1:14" s="291" customFormat="1" ht="12.75" thickBot="1" x14ac:dyDescent="0.3">
      <c r="A98" s="264" t="s">
        <v>256</v>
      </c>
      <c r="B98" s="332"/>
      <c r="C98" s="334"/>
      <c r="D98" s="292"/>
      <c r="E98" s="293"/>
      <c r="F98" s="294"/>
      <c r="G98" s="295"/>
      <c r="H98" s="307"/>
      <c r="I98" s="318"/>
      <c r="J98" s="313"/>
      <c r="K98" s="294"/>
      <c r="L98" s="296"/>
      <c r="M98" s="322"/>
      <c r="N98" s="295"/>
    </row>
    <row r="99" spans="1:14" ht="12" customHeight="1" x14ac:dyDescent="0.25">
      <c r="A99" s="396">
        <f>A96+1</f>
        <v>45</v>
      </c>
      <c r="B99" s="327" t="s">
        <v>19</v>
      </c>
      <c r="C99" s="335" t="s">
        <v>19</v>
      </c>
      <c r="D99" s="275" t="s">
        <v>207</v>
      </c>
      <c r="E99" s="276" t="s">
        <v>214</v>
      </c>
      <c r="F99" s="277" t="s">
        <v>215</v>
      </c>
      <c r="G99" s="397" t="s">
        <v>226</v>
      </c>
      <c r="H99" s="304" t="s">
        <v>228</v>
      </c>
      <c r="I99" s="315" t="s">
        <v>211</v>
      </c>
      <c r="J99" s="310" t="s">
        <v>241</v>
      </c>
      <c r="K99" s="278" t="s">
        <v>236</v>
      </c>
      <c r="L99" s="394" t="s">
        <v>212</v>
      </c>
      <c r="M99" s="319" t="s">
        <v>233</v>
      </c>
      <c r="N99" s="279" t="s">
        <v>238</v>
      </c>
    </row>
    <row r="100" spans="1:14" ht="12.75" thickBot="1" x14ac:dyDescent="0.3">
      <c r="A100" s="389"/>
      <c r="B100" s="328" t="s">
        <v>19</v>
      </c>
      <c r="C100" s="336" t="s">
        <v>19</v>
      </c>
      <c r="D100" s="262" t="s">
        <v>213</v>
      </c>
      <c r="E100" s="220" t="s">
        <v>208</v>
      </c>
      <c r="F100" s="256" t="s">
        <v>209</v>
      </c>
      <c r="G100" s="393"/>
      <c r="H100" s="305" t="s">
        <v>229</v>
      </c>
      <c r="I100" s="316" t="s">
        <v>216</v>
      </c>
      <c r="J100" s="311" t="s">
        <v>242</v>
      </c>
      <c r="K100" s="223" t="s">
        <v>237</v>
      </c>
      <c r="L100" s="395"/>
      <c r="M100" s="259" t="s">
        <v>232</v>
      </c>
      <c r="N100" s="260" t="s">
        <v>239</v>
      </c>
    </row>
    <row r="101" spans="1:14" ht="12" customHeight="1" x14ac:dyDescent="0.25">
      <c r="A101" s="388">
        <f t="shared" ref="A101:A117" si="4">A99+1</f>
        <v>46</v>
      </c>
      <c r="B101" s="329" t="s">
        <v>19</v>
      </c>
      <c r="C101" s="337" t="s">
        <v>19</v>
      </c>
      <c r="D101" s="271" t="s">
        <v>207</v>
      </c>
      <c r="E101" s="228" t="s">
        <v>208</v>
      </c>
      <c r="F101" s="272" t="s">
        <v>209</v>
      </c>
      <c r="G101" s="392" t="s">
        <v>210</v>
      </c>
      <c r="H101" s="306" t="s">
        <v>228</v>
      </c>
      <c r="I101" s="317" t="s">
        <v>211</v>
      </c>
      <c r="J101" s="310" t="s">
        <v>241</v>
      </c>
      <c r="K101" s="278" t="s">
        <v>236</v>
      </c>
      <c r="L101" s="394" t="s">
        <v>212</v>
      </c>
      <c r="M101" s="319" t="s">
        <v>233</v>
      </c>
      <c r="N101" s="274" t="s">
        <v>238</v>
      </c>
    </row>
    <row r="102" spans="1:14" ht="12.75" thickBot="1" x14ac:dyDescent="0.3">
      <c r="A102" s="389"/>
      <c r="B102" s="328" t="s">
        <v>19</v>
      </c>
      <c r="C102" s="336" t="s">
        <v>19</v>
      </c>
      <c r="D102" s="262" t="s">
        <v>213</v>
      </c>
      <c r="E102" s="220" t="s">
        <v>214</v>
      </c>
      <c r="F102" s="256" t="s">
        <v>215</v>
      </c>
      <c r="G102" s="393"/>
      <c r="H102" s="305" t="s">
        <v>229</v>
      </c>
      <c r="I102" s="316" t="s">
        <v>216</v>
      </c>
      <c r="J102" s="311" t="s">
        <v>242</v>
      </c>
      <c r="K102" s="223" t="s">
        <v>237</v>
      </c>
      <c r="L102" s="395"/>
      <c r="M102" s="259" t="s">
        <v>232</v>
      </c>
      <c r="N102" s="260" t="s">
        <v>239</v>
      </c>
    </row>
    <row r="103" spans="1:14" ht="12" customHeight="1" x14ac:dyDescent="0.25">
      <c r="A103" s="388">
        <f t="shared" si="4"/>
        <v>47</v>
      </c>
      <c r="B103" s="329" t="s">
        <v>19</v>
      </c>
      <c r="C103" s="337" t="s">
        <v>19</v>
      </c>
      <c r="D103" s="271" t="s">
        <v>207</v>
      </c>
      <c r="E103" s="228" t="s">
        <v>214</v>
      </c>
      <c r="F103" s="272" t="s">
        <v>222</v>
      </c>
      <c r="G103" s="392" t="s">
        <v>226</v>
      </c>
      <c r="H103" s="306" t="s">
        <v>228</v>
      </c>
      <c r="I103" s="317" t="s">
        <v>211</v>
      </c>
      <c r="J103" s="310" t="s">
        <v>241</v>
      </c>
      <c r="K103" s="278" t="s">
        <v>236</v>
      </c>
      <c r="L103" s="394" t="s">
        <v>212</v>
      </c>
      <c r="M103" s="319" t="s">
        <v>233</v>
      </c>
      <c r="N103" s="274" t="s">
        <v>238</v>
      </c>
    </row>
    <row r="104" spans="1:14" ht="12.75" thickBot="1" x14ac:dyDescent="0.3">
      <c r="A104" s="389"/>
      <c r="B104" s="328" t="s">
        <v>19</v>
      </c>
      <c r="C104" s="336" t="s">
        <v>19</v>
      </c>
      <c r="D104" s="262" t="s">
        <v>213</v>
      </c>
      <c r="E104" s="220" t="s">
        <v>208</v>
      </c>
      <c r="F104" s="256" t="s">
        <v>221</v>
      </c>
      <c r="G104" s="393"/>
      <c r="H104" s="305" t="s">
        <v>229</v>
      </c>
      <c r="I104" s="316" t="s">
        <v>216</v>
      </c>
      <c r="J104" s="311" t="s">
        <v>242</v>
      </c>
      <c r="K104" s="223" t="s">
        <v>237</v>
      </c>
      <c r="L104" s="395"/>
      <c r="M104" s="259" t="s">
        <v>232</v>
      </c>
      <c r="N104" s="260" t="s">
        <v>239</v>
      </c>
    </row>
    <row r="105" spans="1:14" ht="12" customHeight="1" x14ac:dyDescent="0.25">
      <c r="A105" s="388">
        <f t="shared" si="4"/>
        <v>48</v>
      </c>
      <c r="B105" s="329" t="s">
        <v>19</v>
      </c>
      <c r="C105" s="337" t="s">
        <v>19</v>
      </c>
      <c r="D105" s="271" t="s">
        <v>207</v>
      </c>
      <c r="E105" s="228" t="s">
        <v>208</v>
      </c>
      <c r="F105" s="272" t="s">
        <v>221</v>
      </c>
      <c r="G105" s="392" t="s">
        <v>210</v>
      </c>
      <c r="H105" s="306" t="s">
        <v>228</v>
      </c>
      <c r="I105" s="317" t="s">
        <v>211</v>
      </c>
      <c r="J105" s="310" t="s">
        <v>241</v>
      </c>
      <c r="K105" s="278" t="s">
        <v>236</v>
      </c>
      <c r="L105" s="394" t="s">
        <v>212</v>
      </c>
      <c r="M105" s="319" t="s">
        <v>233</v>
      </c>
      <c r="N105" s="274" t="s">
        <v>238</v>
      </c>
    </row>
    <row r="106" spans="1:14" ht="12.75" thickBot="1" x14ac:dyDescent="0.3">
      <c r="A106" s="389"/>
      <c r="B106" s="328" t="s">
        <v>19</v>
      </c>
      <c r="C106" s="336" t="s">
        <v>19</v>
      </c>
      <c r="D106" s="262" t="s">
        <v>213</v>
      </c>
      <c r="E106" s="220" t="s">
        <v>214</v>
      </c>
      <c r="F106" s="256" t="s">
        <v>222</v>
      </c>
      <c r="G106" s="393"/>
      <c r="H106" s="305" t="s">
        <v>229</v>
      </c>
      <c r="I106" s="316" t="s">
        <v>216</v>
      </c>
      <c r="J106" s="311" t="s">
        <v>242</v>
      </c>
      <c r="K106" s="223" t="s">
        <v>237</v>
      </c>
      <c r="L106" s="395"/>
      <c r="M106" s="259" t="s">
        <v>232</v>
      </c>
      <c r="N106" s="260" t="s">
        <v>239</v>
      </c>
    </row>
    <row r="107" spans="1:14" ht="12" customHeight="1" x14ac:dyDescent="0.25">
      <c r="A107" s="388">
        <f t="shared" si="4"/>
        <v>49</v>
      </c>
      <c r="B107" s="329" t="s">
        <v>19</v>
      </c>
      <c r="C107" s="337" t="s">
        <v>19</v>
      </c>
      <c r="D107" s="271" t="s">
        <v>207</v>
      </c>
      <c r="E107" s="228" t="s">
        <v>214</v>
      </c>
      <c r="F107" s="272" t="s">
        <v>224</v>
      </c>
      <c r="G107" s="392" t="s">
        <v>226</v>
      </c>
      <c r="H107" s="306" t="s">
        <v>228</v>
      </c>
      <c r="I107" s="317" t="s">
        <v>211</v>
      </c>
      <c r="J107" s="310" t="s">
        <v>241</v>
      </c>
      <c r="K107" s="278" t="s">
        <v>236</v>
      </c>
      <c r="L107" s="394" t="s">
        <v>212</v>
      </c>
      <c r="M107" s="319" t="s">
        <v>233</v>
      </c>
      <c r="N107" s="274" t="s">
        <v>238</v>
      </c>
    </row>
    <row r="108" spans="1:14" ht="12.75" thickBot="1" x14ac:dyDescent="0.3">
      <c r="A108" s="389"/>
      <c r="B108" s="328" t="s">
        <v>19</v>
      </c>
      <c r="C108" s="336" t="s">
        <v>19</v>
      </c>
      <c r="D108" s="262" t="s">
        <v>213</v>
      </c>
      <c r="E108" s="220" t="s">
        <v>208</v>
      </c>
      <c r="F108" s="256" t="s">
        <v>223</v>
      </c>
      <c r="G108" s="393"/>
      <c r="H108" s="305" t="s">
        <v>229</v>
      </c>
      <c r="I108" s="316" t="s">
        <v>216</v>
      </c>
      <c r="J108" s="311" t="s">
        <v>242</v>
      </c>
      <c r="K108" s="223" t="s">
        <v>237</v>
      </c>
      <c r="L108" s="395"/>
      <c r="M108" s="259" t="s">
        <v>232</v>
      </c>
      <c r="N108" s="260" t="s">
        <v>239</v>
      </c>
    </row>
    <row r="109" spans="1:14" ht="12" customHeight="1" x14ac:dyDescent="0.25">
      <c r="A109" s="388">
        <f t="shared" si="4"/>
        <v>50</v>
      </c>
      <c r="B109" s="329" t="s">
        <v>19</v>
      </c>
      <c r="C109" s="337" t="s">
        <v>19</v>
      </c>
      <c r="D109" s="271" t="s">
        <v>207</v>
      </c>
      <c r="E109" s="228" t="s">
        <v>208</v>
      </c>
      <c r="F109" s="272" t="s">
        <v>223</v>
      </c>
      <c r="G109" s="392" t="s">
        <v>210</v>
      </c>
      <c r="H109" s="306" t="s">
        <v>228</v>
      </c>
      <c r="I109" s="317" t="s">
        <v>211</v>
      </c>
      <c r="J109" s="310" t="s">
        <v>241</v>
      </c>
      <c r="K109" s="278" t="s">
        <v>236</v>
      </c>
      <c r="L109" s="394" t="s">
        <v>212</v>
      </c>
      <c r="M109" s="319" t="s">
        <v>233</v>
      </c>
      <c r="N109" s="274" t="s">
        <v>238</v>
      </c>
    </row>
    <row r="110" spans="1:14" ht="12.75" thickBot="1" x14ac:dyDescent="0.3">
      <c r="A110" s="389"/>
      <c r="B110" s="328" t="s">
        <v>19</v>
      </c>
      <c r="C110" s="336" t="s">
        <v>19</v>
      </c>
      <c r="D110" s="262" t="s">
        <v>213</v>
      </c>
      <c r="E110" s="220" t="s">
        <v>214</v>
      </c>
      <c r="F110" s="256" t="s">
        <v>224</v>
      </c>
      <c r="G110" s="393"/>
      <c r="H110" s="305" t="s">
        <v>229</v>
      </c>
      <c r="I110" s="316" t="s">
        <v>216</v>
      </c>
      <c r="J110" s="311" t="s">
        <v>242</v>
      </c>
      <c r="K110" s="223" t="s">
        <v>237</v>
      </c>
      <c r="L110" s="395"/>
      <c r="M110" s="259" t="s">
        <v>232</v>
      </c>
      <c r="N110" s="260" t="s">
        <v>239</v>
      </c>
    </row>
    <row r="111" spans="1:14" ht="12" customHeight="1" x14ac:dyDescent="0.25">
      <c r="A111" s="388">
        <f t="shared" si="4"/>
        <v>51</v>
      </c>
      <c r="B111" s="329" t="s">
        <v>19</v>
      </c>
      <c r="C111" s="337" t="s">
        <v>19</v>
      </c>
      <c r="D111" s="271" t="s">
        <v>207</v>
      </c>
      <c r="E111" s="228" t="s">
        <v>217</v>
      </c>
      <c r="F111" s="272" t="s">
        <v>227</v>
      </c>
      <c r="G111" s="392" t="s">
        <v>210</v>
      </c>
      <c r="H111" s="306" t="s">
        <v>230</v>
      </c>
      <c r="I111" s="317" t="s">
        <v>211</v>
      </c>
      <c r="J111" s="310" t="s">
        <v>244</v>
      </c>
      <c r="K111" s="278" t="s">
        <v>236</v>
      </c>
      <c r="L111" s="394" t="s">
        <v>212</v>
      </c>
      <c r="M111" s="319" t="s">
        <v>233</v>
      </c>
      <c r="N111" s="274" t="s">
        <v>238</v>
      </c>
    </row>
    <row r="112" spans="1:14" ht="12.75" thickBot="1" x14ac:dyDescent="0.3">
      <c r="A112" s="389"/>
      <c r="B112" s="328" t="s">
        <v>19</v>
      </c>
      <c r="C112" s="336" t="s">
        <v>19</v>
      </c>
      <c r="D112" s="262" t="s">
        <v>213</v>
      </c>
      <c r="E112" s="220" t="s">
        <v>219</v>
      </c>
      <c r="F112" s="256" t="s">
        <v>225</v>
      </c>
      <c r="G112" s="393"/>
      <c r="H112" s="305" t="s">
        <v>231</v>
      </c>
      <c r="I112" s="316" t="s">
        <v>216</v>
      </c>
      <c r="J112" s="312" t="s">
        <v>243</v>
      </c>
      <c r="K112" s="223" t="s">
        <v>237</v>
      </c>
      <c r="L112" s="395"/>
      <c r="M112" s="259" t="s">
        <v>232</v>
      </c>
      <c r="N112" s="260" t="s">
        <v>239</v>
      </c>
    </row>
    <row r="113" spans="1:14" ht="12" customHeight="1" x14ac:dyDescent="0.25">
      <c r="A113" s="388">
        <f t="shared" si="4"/>
        <v>52</v>
      </c>
      <c r="B113" s="329" t="s">
        <v>19</v>
      </c>
      <c r="C113" s="337" t="s">
        <v>19</v>
      </c>
      <c r="D113" s="271" t="s">
        <v>207</v>
      </c>
      <c r="E113" s="228" t="s">
        <v>217</v>
      </c>
      <c r="F113" s="272" t="s">
        <v>227</v>
      </c>
      <c r="G113" s="392" t="s">
        <v>210</v>
      </c>
      <c r="H113" s="306" t="s">
        <v>228</v>
      </c>
      <c r="I113" s="317" t="s">
        <v>211</v>
      </c>
      <c r="J113" s="310" t="s">
        <v>241</v>
      </c>
      <c r="K113" s="278" t="s">
        <v>236</v>
      </c>
      <c r="L113" s="394" t="s">
        <v>212</v>
      </c>
      <c r="M113" s="319" t="s">
        <v>233</v>
      </c>
      <c r="N113" s="274" t="s">
        <v>238</v>
      </c>
    </row>
    <row r="114" spans="1:14" ht="12.75" thickBot="1" x14ac:dyDescent="0.3">
      <c r="A114" s="389"/>
      <c r="B114" s="328" t="s">
        <v>19</v>
      </c>
      <c r="C114" s="336" t="s">
        <v>19</v>
      </c>
      <c r="D114" s="262" t="s">
        <v>213</v>
      </c>
      <c r="E114" s="220" t="s">
        <v>219</v>
      </c>
      <c r="F114" s="256" t="s">
        <v>225</v>
      </c>
      <c r="G114" s="393"/>
      <c r="H114" s="305" t="s">
        <v>229</v>
      </c>
      <c r="I114" s="316" t="s">
        <v>216</v>
      </c>
      <c r="J114" s="311" t="s">
        <v>242</v>
      </c>
      <c r="K114" s="223" t="s">
        <v>237</v>
      </c>
      <c r="L114" s="395"/>
      <c r="M114" s="259" t="s">
        <v>232</v>
      </c>
      <c r="N114" s="260" t="s">
        <v>239</v>
      </c>
    </row>
    <row r="115" spans="1:14" ht="12" customHeight="1" x14ac:dyDescent="0.25">
      <c r="A115" s="388">
        <f t="shared" si="4"/>
        <v>53</v>
      </c>
      <c r="B115" s="329" t="s">
        <v>19</v>
      </c>
      <c r="C115" s="337" t="s">
        <v>19</v>
      </c>
      <c r="D115" s="271" t="s">
        <v>207</v>
      </c>
      <c r="E115" s="228" t="s">
        <v>217</v>
      </c>
      <c r="F115" s="272" t="s">
        <v>218</v>
      </c>
      <c r="G115" s="392" t="s">
        <v>210</v>
      </c>
      <c r="H115" s="306" t="s">
        <v>230</v>
      </c>
      <c r="I115" s="317" t="s">
        <v>211</v>
      </c>
      <c r="J115" s="310" t="s">
        <v>244</v>
      </c>
      <c r="K115" s="278" t="s">
        <v>236</v>
      </c>
      <c r="L115" s="394" t="s">
        <v>212</v>
      </c>
      <c r="M115" s="319" t="s">
        <v>233</v>
      </c>
      <c r="N115" s="274" t="s">
        <v>238</v>
      </c>
    </row>
    <row r="116" spans="1:14" ht="12.75" thickBot="1" x14ac:dyDescent="0.3">
      <c r="A116" s="389"/>
      <c r="B116" s="328" t="s">
        <v>19</v>
      </c>
      <c r="C116" s="336" t="s">
        <v>19</v>
      </c>
      <c r="D116" s="262" t="s">
        <v>213</v>
      </c>
      <c r="E116" s="220" t="s">
        <v>219</v>
      </c>
      <c r="F116" s="256" t="s">
        <v>220</v>
      </c>
      <c r="G116" s="393"/>
      <c r="H116" s="305" t="s">
        <v>231</v>
      </c>
      <c r="I116" s="316" t="s">
        <v>216</v>
      </c>
      <c r="J116" s="312" t="s">
        <v>243</v>
      </c>
      <c r="K116" s="223" t="s">
        <v>237</v>
      </c>
      <c r="L116" s="395"/>
      <c r="M116" s="259" t="s">
        <v>232</v>
      </c>
      <c r="N116" s="260" t="s">
        <v>239</v>
      </c>
    </row>
    <row r="117" spans="1:14" ht="12" customHeight="1" x14ac:dyDescent="0.25">
      <c r="A117" s="388">
        <f t="shared" si="4"/>
        <v>54</v>
      </c>
      <c r="B117" s="329" t="s">
        <v>19</v>
      </c>
      <c r="C117" s="337" t="s">
        <v>19</v>
      </c>
      <c r="D117" s="271" t="s">
        <v>207</v>
      </c>
      <c r="E117" s="228" t="s">
        <v>217</v>
      </c>
      <c r="F117" s="272" t="s">
        <v>218</v>
      </c>
      <c r="G117" s="392" t="s">
        <v>210</v>
      </c>
      <c r="H117" s="306" t="s">
        <v>228</v>
      </c>
      <c r="I117" s="317" t="s">
        <v>211</v>
      </c>
      <c r="J117" s="310" t="s">
        <v>241</v>
      </c>
      <c r="K117" s="278" t="s">
        <v>236</v>
      </c>
      <c r="L117" s="394" t="s">
        <v>212</v>
      </c>
      <c r="M117" s="319" t="s">
        <v>233</v>
      </c>
      <c r="N117" s="274" t="s">
        <v>238</v>
      </c>
    </row>
    <row r="118" spans="1:14" ht="12.75" thickBot="1" x14ac:dyDescent="0.3">
      <c r="A118" s="389"/>
      <c r="B118" s="328" t="s">
        <v>19</v>
      </c>
      <c r="C118" s="336" t="s">
        <v>19</v>
      </c>
      <c r="D118" s="262" t="s">
        <v>213</v>
      </c>
      <c r="E118" s="220" t="s">
        <v>219</v>
      </c>
      <c r="F118" s="256" t="s">
        <v>220</v>
      </c>
      <c r="G118" s="393"/>
      <c r="H118" s="305" t="s">
        <v>229</v>
      </c>
      <c r="I118" s="316" t="s">
        <v>216</v>
      </c>
      <c r="J118" s="311" t="s">
        <v>242</v>
      </c>
      <c r="K118" s="223" t="s">
        <v>237</v>
      </c>
      <c r="L118" s="395"/>
      <c r="M118" s="259" t="s">
        <v>232</v>
      </c>
      <c r="N118" s="260" t="s">
        <v>239</v>
      </c>
    </row>
  </sheetData>
  <mergeCells count="203">
    <mergeCell ref="A53:A54"/>
    <mergeCell ref="G53:G54"/>
    <mergeCell ref="J53:J54"/>
    <mergeCell ref="L53:L54"/>
    <mergeCell ref="L1:L2"/>
    <mergeCell ref="N1:N2"/>
    <mergeCell ref="A51:A52"/>
    <mergeCell ref="G51:G52"/>
    <mergeCell ref="J51:J52"/>
    <mergeCell ref="L51:L52"/>
    <mergeCell ref="M1:M2"/>
    <mergeCell ref="C32:C33"/>
    <mergeCell ref="A1:A2"/>
    <mergeCell ref="B1:H1"/>
    <mergeCell ref="I1:I2"/>
    <mergeCell ref="J1:J2"/>
    <mergeCell ref="K1:K2"/>
    <mergeCell ref="B2:C2"/>
    <mergeCell ref="A4:A5"/>
    <mergeCell ref="G4:G5"/>
    <mergeCell ref="L4:L5"/>
    <mergeCell ref="A6:A7"/>
    <mergeCell ref="G6:G7"/>
    <mergeCell ref="L6:L7"/>
    <mergeCell ref="A59:A60"/>
    <mergeCell ref="G59:G60"/>
    <mergeCell ref="J59:J60"/>
    <mergeCell ref="L59:L60"/>
    <mergeCell ref="A57:A58"/>
    <mergeCell ref="G57:G58"/>
    <mergeCell ref="J57:J58"/>
    <mergeCell ref="L57:L58"/>
    <mergeCell ref="A55:A56"/>
    <mergeCell ref="G55:G56"/>
    <mergeCell ref="J55:J56"/>
    <mergeCell ref="L55:L56"/>
    <mergeCell ref="A66:A67"/>
    <mergeCell ref="G66:G67"/>
    <mergeCell ref="J66:J67"/>
    <mergeCell ref="L66:L67"/>
    <mergeCell ref="A64:A65"/>
    <mergeCell ref="G64:G65"/>
    <mergeCell ref="J64:J65"/>
    <mergeCell ref="L64:L65"/>
    <mergeCell ref="A62:A63"/>
    <mergeCell ref="G62:G63"/>
    <mergeCell ref="J62:J63"/>
    <mergeCell ref="L62:L63"/>
    <mergeCell ref="A73:A74"/>
    <mergeCell ref="G73:G74"/>
    <mergeCell ref="L73:L74"/>
    <mergeCell ref="A70:A71"/>
    <mergeCell ref="G70:G71"/>
    <mergeCell ref="J70:J71"/>
    <mergeCell ref="L70:L71"/>
    <mergeCell ref="A68:A69"/>
    <mergeCell ref="G68:G69"/>
    <mergeCell ref="J68:J69"/>
    <mergeCell ref="L68:L69"/>
    <mergeCell ref="A80:A81"/>
    <mergeCell ref="G80:G81"/>
    <mergeCell ref="L80:L81"/>
    <mergeCell ref="A78:A79"/>
    <mergeCell ref="G78:G79"/>
    <mergeCell ref="L78:L79"/>
    <mergeCell ref="A75:A76"/>
    <mergeCell ref="G75:G76"/>
    <mergeCell ref="L75:L76"/>
    <mergeCell ref="A86:A87"/>
    <mergeCell ref="G86:G87"/>
    <mergeCell ref="L86:L87"/>
    <mergeCell ref="A84:A85"/>
    <mergeCell ref="G84:G85"/>
    <mergeCell ref="L84:L85"/>
    <mergeCell ref="A82:A83"/>
    <mergeCell ref="G82:G83"/>
    <mergeCell ref="L82:L83"/>
    <mergeCell ref="A92:A93"/>
    <mergeCell ref="G92:G93"/>
    <mergeCell ref="L92:L93"/>
    <mergeCell ref="A90:A91"/>
    <mergeCell ref="G90:G91"/>
    <mergeCell ref="L90:L91"/>
    <mergeCell ref="A88:A89"/>
    <mergeCell ref="G88:G89"/>
    <mergeCell ref="L88:L89"/>
    <mergeCell ref="A99:A100"/>
    <mergeCell ref="G99:G100"/>
    <mergeCell ref="L99:L100"/>
    <mergeCell ref="A96:A97"/>
    <mergeCell ref="G96:G97"/>
    <mergeCell ref="L96:L97"/>
    <mergeCell ref="A94:A95"/>
    <mergeCell ref="G94:G95"/>
    <mergeCell ref="L94:L95"/>
    <mergeCell ref="A105:A106"/>
    <mergeCell ref="G105:G106"/>
    <mergeCell ref="L105:L106"/>
    <mergeCell ref="A103:A104"/>
    <mergeCell ref="G103:G104"/>
    <mergeCell ref="L103:L104"/>
    <mergeCell ref="A101:A102"/>
    <mergeCell ref="G101:G102"/>
    <mergeCell ref="L101:L102"/>
    <mergeCell ref="A117:A118"/>
    <mergeCell ref="G117:G118"/>
    <mergeCell ref="L117:L118"/>
    <mergeCell ref="A115:A116"/>
    <mergeCell ref="G115:G116"/>
    <mergeCell ref="L115:L116"/>
    <mergeCell ref="A113:A114"/>
    <mergeCell ref="G113:G114"/>
    <mergeCell ref="L113:L114"/>
    <mergeCell ref="A111:A112"/>
    <mergeCell ref="G111:G112"/>
    <mergeCell ref="L111:L112"/>
    <mergeCell ref="A109:A110"/>
    <mergeCell ref="G109:G110"/>
    <mergeCell ref="L109:L110"/>
    <mergeCell ref="A107:A108"/>
    <mergeCell ref="G107:G108"/>
    <mergeCell ref="L107:L108"/>
    <mergeCell ref="A12:A13"/>
    <mergeCell ref="G12:G13"/>
    <mergeCell ref="L12:L13"/>
    <mergeCell ref="A14:A15"/>
    <mergeCell ref="G14:G15"/>
    <mergeCell ref="L14:L15"/>
    <mergeCell ref="A8:A9"/>
    <mergeCell ref="G8:G9"/>
    <mergeCell ref="L8:L9"/>
    <mergeCell ref="A10:A11"/>
    <mergeCell ref="G10:G11"/>
    <mergeCell ref="L10:L11"/>
    <mergeCell ref="A20:A21"/>
    <mergeCell ref="G20:G21"/>
    <mergeCell ref="L20:L21"/>
    <mergeCell ref="A22:A23"/>
    <mergeCell ref="G22:G23"/>
    <mergeCell ref="L22:L23"/>
    <mergeCell ref="C20:C21"/>
    <mergeCell ref="C22:C23"/>
    <mergeCell ref="A16:A17"/>
    <mergeCell ref="G16:G17"/>
    <mergeCell ref="L16:L17"/>
    <mergeCell ref="A18:A19"/>
    <mergeCell ref="G18:G19"/>
    <mergeCell ref="L18:L19"/>
    <mergeCell ref="C18:C19"/>
    <mergeCell ref="A32:A33"/>
    <mergeCell ref="G32:G33"/>
    <mergeCell ref="L32:L33"/>
    <mergeCell ref="A34:A35"/>
    <mergeCell ref="A30:A31"/>
    <mergeCell ref="G30:G31"/>
    <mergeCell ref="L30:L31"/>
    <mergeCell ref="C30:C31"/>
    <mergeCell ref="A25:A26"/>
    <mergeCell ref="G25:G26"/>
    <mergeCell ref="L25:L26"/>
    <mergeCell ref="A27:A28"/>
    <mergeCell ref="G27:G28"/>
    <mergeCell ref="L27:L28"/>
    <mergeCell ref="C25:C26"/>
    <mergeCell ref="C27:C28"/>
    <mergeCell ref="A36:A37"/>
    <mergeCell ref="G36:G37"/>
    <mergeCell ref="L36:L37"/>
    <mergeCell ref="A38:A39"/>
    <mergeCell ref="G38:G39"/>
    <mergeCell ref="L38:L39"/>
    <mergeCell ref="C34:C35"/>
    <mergeCell ref="C36:C37"/>
    <mergeCell ref="A40:A41"/>
    <mergeCell ref="G40:G41"/>
    <mergeCell ref="L40:L41"/>
    <mergeCell ref="C4:C5"/>
    <mergeCell ref="C6:C7"/>
    <mergeCell ref="C8:C9"/>
    <mergeCell ref="C10:C11"/>
    <mergeCell ref="C12:C13"/>
    <mergeCell ref="C14:C15"/>
    <mergeCell ref="C16:C17"/>
    <mergeCell ref="G42:G43"/>
    <mergeCell ref="L42:L43"/>
    <mergeCell ref="G34:G35"/>
    <mergeCell ref="L34:L35"/>
    <mergeCell ref="C38:C39"/>
    <mergeCell ref="C40:C41"/>
    <mergeCell ref="C42:C43"/>
    <mergeCell ref="A42:A43"/>
    <mergeCell ref="C44:C45"/>
    <mergeCell ref="C46:C47"/>
    <mergeCell ref="C48:C49"/>
    <mergeCell ref="A48:A49"/>
    <mergeCell ref="G48:G49"/>
    <mergeCell ref="L48:L49"/>
    <mergeCell ref="A44:A45"/>
    <mergeCell ref="G44:G45"/>
    <mergeCell ref="L44:L45"/>
    <mergeCell ref="A46:A47"/>
    <mergeCell ref="G46:G47"/>
    <mergeCell ref="L46:L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U29"/>
  <sheetViews>
    <sheetView zoomScale="190" zoomScaleNormal="190" workbookViewId="0">
      <pane xSplit="10" ySplit="3" topLeftCell="K4" activePane="bottomRight" state="frozen"/>
      <selection pane="topRight" activeCell="K1" sqref="K1"/>
      <selection pane="bottomLeft" activeCell="A4" sqref="A4"/>
      <selection pane="bottomRight" activeCell="A4" sqref="A4"/>
    </sheetView>
  </sheetViews>
  <sheetFormatPr defaultRowHeight="11.25" x14ac:dyDescent="0.25"/>
  <cols>
    <col min="1" max="1" width="3.7109375" style="5" customWidth="1"/>
    <col min="2" max="2" width="12.7109375" style="5" customWidth="1"/>
    <col min="3" max="3" width="8.7109375" style="5" customWidth="1"/>
    <col min="4" max="4" width="7.7109375" style="5" customWidth="1"/>
    <col min="5" max="5" width="15.7109375" style="5" customWidth="1"/>
    <col min="6" max="10" width="7.7109375" style="119" customWidth="1"/>
    <col min="11" max="11" width="2.7109375" style="119" customWidth="1"/>
    <col min="12" max="13" width="7.7109375" style="5" customWidth="1"/>
    <col min="14" max="14" width="8.7109375" style="183" customWidth="1"/>
    <col min="15" max="15" width="7.7109375" style="184" customWidth="1"/>
    <col min="16" max="16" width="9.140625" style="5" customWidth="1"/>
    <col min="17" max="18" width="8.7109375" style="5" customWidth="1"/>
    <col min="19" max="19" width="9.140625" style="5" customWidth="1"/>
    <col min="20" max="20" width="18.7109375" style="5" customWidth="1"/>
    <col min="21" max="21" width="6.7109375" style="5" customWidth="1"/>
    <col min="22" max="22" width="9.7109375" style="5" customWidth="1"/>
    <col min="23" max="23" width="10.7109375" style="5" customWidth="1"/>
    <col min="24" max="27" width="9.7109375" style="5" customWidth="1"/>
    <col min="28" max="28" width="6.7109375" style="5" customWidth="1"/>
    <col min="29" max="29" width="9.7109375" style="5" customWidth="1"/>
    <col min="30" max="30" width="10.7109375" style="5" customWidth="1"/>
    <col min="31" max="38" width="9.7109375" style="5" customWidth="1"/>
    <col min="39" max="47" width="9.140625" style="5" customWidth="1"/>
    <col min="48" max="48" width="6.7109375" style="5" customWidth="1"/>
    <col min="49" max="49" width="24.5703125" style="5" customWidth="1"/>
    <col min="50" max="61" width="9.140625" style="5" customWidth="1"/>
    <col min="62" max="62" width="7.7109375" style="119" customWidth="1"/>
    <col min="63" max="63" width="8.7109375" style="119" customWidth="1"/>
    <col min="64" max="64" width="6.7109375" style="5" customWidth="1"/>
    <col min="65" max="65" width="7.7109375" style="5" customWidth="1"/>
    <col min="66" max="66" width="6.7109375" style="5" customWidth="1"/>
    <col min="67" max="67" width="5.7109375" style="5" customWidth="1"/>
    <col min="68" max="71" width="6.7109375" style="5" customWidth="1"/>
    <col min="72" max="16384" width="9.140625" style="5"/>
  </cols>
  <sheetData>
    <row r="1" spans="1:73" ht="19.5" customHeight="1" x14ac:dyDescent="0.25">
      <c r="A1" s="338"/>
      <c r="B1" s="339">
        <f>[1]NOW!$C$6</f>
        <v>8183.2</v>
      </c>
      <c r="C1" s="340">
        <f>[1]NOW!$E$6</f>
        <v>-41.9</v>
      </c>
      <c r="D1" s="341">
        <f ca="1">NOW()</f>
        <v>45353.030630787034</v>
      </c>
      <c r="E1" s="435" t="s">
        <v>265</v>
      </c>
      <c r="F1" s="435"/>
      <c r="G1" s="435"/>
      <c r="H1" s="435"/>
      <c r="I1" s="421" t="s">
        <v>247</v>
      </c>
      <c r="J1" s="422"/>
      <c r="K1" s="5"/>
      <c r="N1" s="5"/>
      <c r="O1" s="5"/>
      <c r="T1" s="185"/>
      <c r="U1" s="437" t="s">
        <v>80</v>
      </c>
      <c r="V1" s="437"/>
      <c r="W1" s="437"/>
      <c r="X1" s="437"/>
      <c r="Y1" s="437"/>
      <c r="Z1" s="437"/>
      <c r="AA1" s="437"/>
      <c r="AB1" s="436" t="s">
        <v>79</v>
      </c>
      <c r="AC1" s="436"/>
      <c r="AD1" s="436"/>
      <c r="AE1" s="436"/>
      <c r="AF1" s="436"/>
      <c r="AG1" s="436"/>
      <c r="AH1" s="436"/>
      <c r="AI1" s="436"/>
      <c r="AJ1" s="436"/>
      <c r="AK1" s="436"/>
      <c r="AL1" s="436"/>
      <c r="BC1" s="119"/>
      <c r="BD1" s="119"/>
      <c r="BE1" s="119"/>
      <c r="BF1" s="148"/>
      <c r="BG1" s="119"/>
      <c r="BH1" s="119"/>
      <c r="BI1" s="119"/>
      <c r="BJ1" s="5"/>
      <c r="BK1" s="5"/>
      <c r="BL1" s="186"/>
      <c r="BM1" s="186"/>
      <c r="BN1" s="186"/>
      <c r="BO1" s="186"/>
      <c r="BP1" s="186"/>
      <c r="BQ1" s="186"/>
      <c r="BR1" s="186"/>
      <c r="BS1" s="186"/>
      <c r="BT1" s="186"/>
      <c r="BU1" s="186"/>
    </row>
    <row r="2" spans="1:73" s="149" customFormat="1" ht="48" customHeight="1" x14ac:dyDescent="0.25">
      <c r="A2" s="428" t="s">
        <v>4</v>
      </c>
      <c r="B2" s="428" t="s">
        <v>82</v>
      </c>
      <c r="C2" s="428" t="s">
        <v>83</v>
      </c>
      <c r="D2" s="428" t="s">
        <v>84</v>
      </c>
      <c r="E2" s="428" t="s">
        <v>81</v>
      </c>
      <c r="F2" s="423" t="s">
        <v>187</v>
      </c>
      <c r="G2" s="423" t="s">
        <v>189</v>
      </c>
      <c r="H2" s="423" t="s">
        <v>190</v>
      </c>
      <c r="I2" s="423" t="s">
        <v>191</v>
      </c>
      <c r="J2" s="423" t="s">
        <v>192</v>
      </c>
      <c r="K2" s="427" t="s">
        <v>85</v>
      </c>
      <c r="L2" s="434" t="s">
        <v>193</v>
      </c>
      <c r="M2" s="434" t="s">
        <v>194</v>
      </c>
      <c r="N2" s="434" t="s">
        <v>195</v>
      </c>
      <c r="O2" s="430" t="s">
        <v>196</v>
      </c>
      <c r="P2" s="427" t="s">
        <v>198</v>
      </c>
      <c r="Q2" s="427" t="s">
        <v>197</v>
      </c>
      <c r="R2" s="427" t="s">
        <v>86</v>
      </c>
      <c r="S2" s="423" t="s">
        <v>87</v>
      </c>
      <c r="T2" s="427" t="s">
        <v>108</v>
      </c>
      <c r="U2" s="432" t="s">
        <v>107</v>
      </c>
      <c r="V2" s="432" t="str">
        <f>CONCATENATE("Max. Lots with Risk per Trade of Rs. ",'Base Data'!$D$7,"
[No. of Lots]")</f>
        <v>Max. Lots with Risk per Trade of Rs. 25000
[No. of Lots]</v>
      </c>
      <c r="W2" s="429" t="str">
        <f>CONCATENATE("Hard Stop Loss &amp; Target Points. from Entry
[",'Base Data'!$D$13,"N]")</f>
        <v>Hard Stop Loss &amp; Target Points. from Entry
[0.75N]</v>
      </c>
      <c r="X2" s="429" t="s">
        <v>106</v>
      </c>
      <c r="Y2" s="429" t="str">
        <f>CONCATENATE("Hard Stop Loss
[",'Base Data'!$D$13,"N]")</f>
        <v>Hard Stop Loss
[0.75N]</v>
      </c>
      <c r="Z2" s="429" t="str">
        <f>CONCATENATE("Target
[",'Base Data'!$D$13,"N]")</f>
        <v>Target
[0.75N]</v>
      </c>
      <c r="AA2" s="429" t="s">
        <v>199</v>
      </c>
      <c r="AB2" s="432" t="s">
        <v>105</v>
      </c>
      <c r="AC2" s="432" t="str">
        <f>CONCATENATE("Max. Lots with Risk per Trade of Rs. ",'Base Data'!$D$7,"
[No. of Lots]")</f>
        <v>Max. Lots with Risk per Trade of Rs. 25000
[No. of Lots]</v>
      </c>
      <c r="AD2" s="429" t="str">
        <f>CONCATENATE("Hard Stop Loss &amp; Target Points. from Entry
[",'Base Data'!$D$10,"N]")</f>
        <v>Hard Stop Loss &amp; Target Points. from Entry
[2N]</v>
      </c>
      <c r="AE2" s="429" t="s">
        <v>106</v>
      </c>
      <c r="AF2" s="429" t="str">
        <f>CONCATENATE("Hard Stop Loss
[",'Base Data'!$D$10,"N]")</f>
        <v>Hard Stop Loss
[2N]</v>
      </c>
      <c r="AG2" s="429" t="str">
        <f>CONCATENATE("Enter Additional Position
[",1*'Base Data'!$D$12,"N]")</f>
        <v>Enter Additional Position
[0.4N]</v>
      </c>
      <c r="AH2" s="429" t="str">
        <f>CONCATENATE("Enter Additional Position
[",2*'Base Data'!$D$12,"N]")</f>
        <v>Enter Additional Position
[0.8N]</v>
      </c>
      <c r="AI2" s="429" t="str">
        <f>CONCATENATE("Enter Additional Position
[",3*'Base Data'!$D$12,"N]")</f>
        <v>Enter Additional Position
[1.2N]</v>
      </c>
      <c r="AJ2" s="429" t="str">
        <f>CONCATENATE("Enter Additional Position
[",4*'Base Data'!$D$12,"N]")</f>
        <v>Enter Additional Position
[1.6N]</v>
      </c>
      <c r="AK2" s="429" t="str">
        <f>CONCATENATE("Target
[",'Base Data'!$D$10,"N]")</f>
        <v>Target
[2N]</v>
      </c>
      <c r="AL2" s="429" t="s">
        <v>199</v>
      </c>
      <c r="AM2" s="427" t="s">
        <v>88</v>
      </c>
      <c r="AN2" s="428" t="s">
        <v>67</v>
      </c>
      <c r="AO2" s="427" t="s">
        <v>89</v>
      </c>
      <c r="AP2" s="427" t="s">
        <v>90</v>
      </c>
      <c r="AQ2" s="427" t="s">
        <v>91</v>
      </c>
      <c r="AR2" s="427" t="s">
        <v>92</v>
      </c>
      <c r="AS2" s="427" t="s">
        <v>74</v>
      </c>
      <c r="AT2" s="427" t="s">
        <v>75</v>
      </c>
      <c r="AU2" s="427" t="s">
        <v>93</v>
      </c>
      <c r="AV2" s="427" t="s">
        <v>94</v>
      </c>
      <c r="AW2" s="433" t="s">
        <v>95</v>
      </c>
      <c r="AX2" s="426" t="s">
        <v>96</v>
      </c>
      <c r="AY2" s="426" t="s">
        <v>97</v>
      </c>
      <c r="AZ2" s="426" t="s">
        <v>98</v>
      </c>
      <c r="BA2" s="425" t="s">
        <v>99</v>
      </c>
      <c r="BB2" s="426" t="s">
        <v>100</v>
      </c>
      <c r="BC2" s="426" t="s">
        <v>21</v>
      </c>
      <c r="BD2" s="426" t="s">
        <v>22</v>
      </c>
      <c r="BE2" s="426" t="s">
        <v>23</v>
      </c>
      <c r="BF2" s="426" t="s">
        <v>101</v>
      </c>
      <c r="BG2" s="424" t="s">
        <v>102</v>
      </c>
      <c r="BH2" s="424" t="s">
        <v>103</v>
      </c>
      <c r="BI2" s="424" t="s">
        <v>104</v>
      </c>
      <c r="BJ2" s="423" t="s">
        <v>186</v>
      </c>
      <c r="BK2" s="423" t="s">
        <v>188</v>
      </c>
      <c r="BL2" s="428" t="s">
        <v>109</v>
      </c>
      <c r="BM2" s="430" t="s">
        <v>110</v>
      </c>
      <c r="BN2" s="430" t="s">
        <v>111</v>
      </c>
      <c r="BO2" s="430" t="s">
        <v>112</v>
      </c>
      <c r="BP2" s="431" t="s">
        <v>113</v>
      </c>
      <c r="BQ2" s="431" t="s">
        <v>114</v>
      </c>
      <c r="BR2" s="431" t="s">
        <v>115</v>
      </c>
      <c r="BS2" s="431" t="s">
        <v>185</v>
      </c>
      <c r="BT2" s="423" t="s">
        <v>116</v>
      </c>
      <c r="BU2" s="423" t="s">
        <v>117</v>
      </c>
    </row>
    <row r="3" spans="1:73" x14ac:dyDescent="0.25">
      <c r="A3" s="428"/>
      <c r="B3" s="428"/>
      <c r="C3" s="428"/>
      <c r="D3" s="428"/>
      <c r="E3" s="428"/>
      <c r="F3" s="423"/>
      <c r="G3" s="423"/>
      <c r="H3" s="423"/>
      <c r="I3" s="423"/>
      <c r="J3" s="423"/>
      <c r="K3" s="427"/>
      <c r="L3" s="434"/>
      <c r="M3" s="434"/>
      <c r="N3" s="434"/>
      <c r="O3" s="430"/>
      <c r="P3" s="427"/>
      <c r="Q3" s="427"/>
      <c r="R3" s="427"/>
      <c r="S3" s="423"/>
      <c r="T3" s="427"/>
      <c r="U3" s="432"/>
      <c r="V3" s="432"/>
      <c r="W3" s="429"/>
      <c r="X3" s="429"/>
      <c r="Y3" s="429"/>
      <c r="Z3" s="429"/>
      <c r="AA3" s="429"/>
      <c r="AB3" s="432"/>
      <c r="AC3" s="432"/>
      <c r="AD3" s="429"/>
      <c r="AE3" s="429"/>
      <c r="AF3" s="429"/>
      <c r="AG3" s="429"/>
      <c r="AH3" s="429"/>
      <c r="AI3" s="429"/>
      <c r="AJ3" s="429"/>
      <c r="AK3" s="429"/>
      <c r="AL3" s="429"/>
      <c r="AM3" s="427"/>
      <c r="AN3" s="428"/>
      <c r="AO3" s="427"/>
      <c r="AP3" s="427"/>
      <c r="AQ3" s="427"/>
      <c r="AR3" s="427"/>
      <c r="AS3" s="427"/>
      <c r="AT3" s="427"/>
      <c r="AU3" s="427"/>
      <c r="AV3" s="427"/>
      <c r="AW3" s="433"/>
      <c r="AX3" s="426"/>
      <c r="AY3" s="426"/>
      <c r="AZ3" s="426"/>
      <c r="BA3" s="425"/>
      <c r="BB3" s="426"/>
      <c r="BC3" s="426"/>
      <c r="BD3" s="426"/>
      <c r="BE3" s="426"/>
      <c r="BF3" s="426"/>
      <c r="BG3" s="424"/>
      <c r="BH3" s="424"/>
      <c r="BI3" s="424"/>
      <c r="BJ3" s="423"/>
      <c r="BK3" s="423"/>
      <c r="BL3" s="428"/>
      <c r="BM3" s="430"/>
      <c r="BN3" s="430"/>
      <c r="BO3" s="430"/>
      <c r="BP3" s="431"/>
      <c r="BQ3" s="431"/>
      <c r="BR3" s="431"/>
      <c r="BS3" s="431"/>
      <c r="BT3" s="423"/>
      <c r="BU3" s="423"/>
    </row>
    <row r="4" spans="1:73" x14ac:dyDescent="0.25">
      <c r="A4" s="150">
        <v>1</v>
      </c>
      <c r="B4" s="151" t="s">
        <v>1</v>
      </c>
      <c r="C4" s="152">
        <f>IF(AND(BL4=1,AZ4&lt;&gt;0),AZ4,IF(AND(BL4=2,AX4&lt;&gt;0),AX4,AY4))</f>
        <v>17551</v>
      </c>
      <c r="D4" s="152">
        <f>(AY4-BC4)</f>
        <v>-49</v>
      </c>
      <c r="E4" s="153" t="str">
        <f>IF(AND(BL4=1,OR(AND(BM4&gt;=0.5%,BM4&lt;=1.5%),AND(BM4&lt;=-0.5%,BM4&gt;=-1.5%)),BN4&gt;=0.5%),CONCATENATE("Long ",B4),IF(AND(BL4=2,OR(AND(BM4&gt;=0.5%,BM4&lt;=1.5%),AND(BM4&lt;=-0.5%,BM4&gt;=-1.5%)),BN4&gt;=0.5%),CONCATENATE("Short ",B4),"Do Not Trade"))</f>
        <v>Do Not Trade</v>
      </c>
      <c r="F4" s="150" t="str">
        <f>IF(BF4&gt;BG4,IF(BC4&gt;BH4,"U-H",IF(AND(BC4&lt;=BH4,BC4&gt;BF4),"U-HC",IF(AND(BC4&lt;BF4,BC4&gt;=BG4),"U-CO",IF(AND(BC4&lt;BG4,BC4&gt;=BI4),"U-OL",IF(BC4&lt;BI4,"U-L","-"))))),IF(BF4&lt;BG4,IF(BC4&gt;BH4,"D-H",IF(AND(BC4&lt;=BH4,BC4&gt;BG4),"D-HO",IF(AND(BC4&lt;=BG4,BC4&gt;BF4),"D-OC",IF(AND(BC4&lt;BF4,BC4&gt;=BI4),"D-CL",IF(BC4&lt;BI4,"D-L","-"))))),"-"))</f>
        <v>D-L</v>
      </c>
      <c r="G4" s="150">
        <f>IF(BC4=BE4,1,IF(BC4=BD4,2,0))</f>
        <v>0</v>
      </c>
      <c r="H4" s="150">
        <f>IF(AND(BC4&lt;BH4,AY4&gt;BH4),"Up-BO",IF(AND(BC4&gt;BI4,AY4&lt;BI4),"Dn-BO",IF(AND(BJ4="FGDn",AY4&gt;BI4),"Dn2Up-BO",IF(AND(BJ4="FGUp",AY4&lt;BH4),"Up2Dn-BO",0))))</f>
        <v>0</v>
      </c>
      <c r="I4" s="150">
        <f>IF(AY4&gt;(BD4-(BC4*0.5%)),1,IF(AY4&lt;(BE4+(BC4*0.5%)),2,0))</f>
        <v>2</v>
      </c>
      <c r="J4" s="150">
        <f>IF(C4&gt;((BC4+BH4+BI4+BF4)/4),1,IF(C4&lt;((BC4+BH4+BI4+BF4)/4),2,0))</f>
        <v>2</v>
      </c>
      <c r="K4" s="253">
        <f>V4</f>
        <v>4</v>
      </c>
      <c r="L4" s="255"/>
      <c r="M4" s="255"/>
      <c r="N4" s="155"/>
      <c r="O4" s="154" t="str">
        <f>IF(N4="","",IF(N4&gt;0,(C4-N4),IF(N4&lt;0,(-N4-C4),"Check")))</f>
        <v/>
      </c>
      <c r="P4" s="154" t="str">
        <f>IF(N4="","",IF(N4&gt;0,((C4-N4)*K4*BA4),IF(N4&lt;0,((-N4-C4)*K4*BA4),"Check")))</f>
        <v/>
      </c>
      <c r="Q4" s="154" t="str">
        <f>IF(N4="","",(P4-AU4))</f>
        <v/>
      </c>
      <c r="R4" s="160" t="str">
        <f>IF(N4&lt;&gt;"",Q4/S4,"")</f>
        <v/>
      </c>
      <c r="S4" s="159" t="str">
        <f>IF(N4&lt;&gt;"",(BB4*K4),"")</f>
        <v/>
      </c>
      <c r="T4" s="150" t="str">
        <f>IF(N4="","",IF(N4&gt;0,IF(AY4&lt;M4,"Exit Long &amp; Go Short",IF(AY4&gt;(N4+(L4-M4)),"Exit - TP","Hold")),IF(N4&lt;0,IF(AY4&gt;L4,"Exit Short &amp; Go Long",IF(AY4&lt;(-N4-(L4-M4)),"Exit - TP","Hold")))))</f>
        <v/>
      </c>
      <c r="U4" s="152">
        <f>'BNF-Nifty'!$AA$65</f>
        <v>260.36582258693016</v>
      </c>
      <c r="V4" s="162">
        <f>'BNF-Nifty'!$AD$65</f>
        <v>4</v>
      </c>
      <c r="W4" s="154" t="str">
        <f>IF(N4="","",'Base Data'!$D$13*U4)</f>
        <v/>
      </c>
      <c r="X4" s="154" t="str">
        <f>IF(Y4="","",IF(N4&gt;0,(Y4-N4),IF(N4&lt;0,(Y4+N4),"Check")))</f>
        <v/>
      </c>
      <c r="Y4" s="154" t="str">
        <f>IF(N4="","",IF(N4&gt;0,(N4-W4),IF(N4&lt;0,(-N4+W4),"Check")))</f>
        <v/>
      </c>
      <c r="Z4" s="154" t="str">
        <f>IF(N4="","",IF(N4&gt;0,(N4+W4),IF(N4&lt;0,(-N4-W4),"Check")))</f>
        <v/>
      </c>
      <c r="AA4" s="154" t="str">
        <f>IF(Z4="","",IF(N4&gt;0,(Z4-N4),IF(N4&lt;0,(Z4+N4),"Check")))</f>
        <v/>
      </c>
      <c r="AB4" s="152">
        <f>'BNF-Nifty'!$AK$65</f>
        <v>263.4151199762934</v>
      </c>
      <c r="AC4" s="162">
        <f>'BNF-Nifty'!$AN$65</f>
        <v>1</v>
      </c>
      <c r="AD4" s="154" t="str">
        <f>IF(N4="","",'Base Data'!$D$10*AB4)</f>
        <v/>
      </c>
      <c r="AE4" s="154" t="str">
        <f>IF(AF4="","",IF(N4&gt;0,(AF4-N4),IF(N4&lt;0,(AF4+N4),"Check")))</f>
        <v/>
      </c>
      <c r="AF4" s="154" t="str">
        <f>IF(N4="","",IF(N4&gt;0,(N4-AD4),IF(N4&lt;0,(-N4+AD4),"Check")))</f>
        <v/>
      </c>
      <c r="AG4" s="154" t="str">
        <f>IF(N4="","",IF(N4&gt;0,(N4+(1*'Base Data'!$D$12*AB4)),IF(N4&lt;0,(-N4-(1*'Base Data'!$D$12*AB4)),"Check")))</f>
        <v/>
      </c>
      <c r="AH4" s="154" t="str">
        <f>IF(N4="","",IF(N4&gt;0,(N4+(2*'Base Data'!$D$12*AB4)),IF(N4&lt;0,(-N4-(2*'Base Data'!$D$12*AB4)),"Check")))</f>
        <v/>
      </c>
      <c r="AI4" s="154" t="str">
        <f>IF(N4="","",IF(N4&gt;0,(N4+(3*'Base Data'!$D$12*AB4)),IF(N4&lt;0,(-N4-(3*'Base Data'!$D$12*AB4)),"Check")))</f>
        <v/>
      </c>
      <c r="AJ4" s="154" t="str">
        <f>IF(N4="","",IF(N4&gt;0,(N4+(4*'Base Data'!$D$12*AB4)),IF(N4&lt;0,(-N4-(4*'Base Data'!$D$12*AB4)),"Check")))</f>
        <v/>
      </c>
      <c r="AK4" s="154" t="str">
        <f>IF(N4="","",IF(N4&gt;0,(N4+AD4),IF(N4&lt;0,(-N4-AD4),"Check")))</f>
        <v/>
      </c>
      <c r="AL4" s="154" t="str">
        <f>IF(AK4="","",IF(N4&gt;0,(AK4-N4),IF(N4&lt;0,(AK4+N4),"Check")))</f>
        <v/>
      </c>
      <c r="AM4" s="159">
        <f>(C4*K4*BA4)</f>
        <v>2106120</v>
      </c>
      <c r="AN4" s="152" t="str">
        <f>IF(N4="","",(AM4*'Base Data'!$C$25*2))</f>
        <v/>
      </c>
      <c r="AO4" s="152" t="str">
        <f>IF(N4="","",(AM4*'Base Data'!$D$25*2))</f>
        <v/>
      </c>
      <c r="AP4" s="152" t="str">
        <f>IF(N4="","",((AN4+AO4)*'Base Data'!$E$25)+(((AN4+AO4)*'Base Data'!$E$25)*'Base Data'!$F$25)+(((AN4+AO4)*'Base Data'!$E$25)*'Base Data'!$G$25))</f>
        <v/>
      </c>
      <c r="AQ4" s="152" t="str">
        <f>IF(N4="","",(AM4*'Base Data'!$H$26*2))</f>
        <v/>
      </c>
      <c r="AR4" s="152" t="str">
        <f>IF(N4="","",(AM4*'Base Data'!$I$25*2))</f>
        <v/>
      </c>
      <c r="AS4" s="152" t="str">
        <f>IF(N4="","",(AM4*'Base Data'!$J$25))</f>
        <v/>
      </c>
      <c r="AT4" s="152" t="str">
        <f>IF(N4="","",(AM4*'Base Data'!$K$25*2))</f>
        <v/>
      </c>
      <c r="AU4" s="152" t="str">
        <f>IF(N4="","",SUM(AN4:AT4))</f>
        <v/>
      </c>
      <c r="AV4" s="150" t="str">
        <f>IF(N4="","",IF(N4&gt;0,1,IF(N4&lt;0,2,0)))</f>
        <v/>
      </c>
      <c r="AW4" s="158" t="str">
        <f>CONCATENATE(B4,'Base Data'!$D$1)</f>
        <v>BankNifty16JunFut</v>
      </c>
      <c r="AX4" s="152">
        <f>VLOOKUP(AW4,[1]NOW!$A:$D,2,FALSE)</f>
        <v>17551</v>
      </c>
      <c r="AY4" s="152">
        <f>VLOOKUP(AW4,[1]NOW!$A:$D,3,FALSE)</f>
        <v>17551</v>
      </c>
      <c r="AZ4" s="152">
        <f>VLOOKUP(AW4,[1]NOW!$A:$D,4,FALSE)</f>
        <v>17553.3</v>
      </c>
      <c r="BA4" s="150">
        <f>VLOOKUP(B4,'[2]Margin - NSE Fut (5Paisa)'!$A:$K,2,FALSE)</f>
        <v>30</v>
      </c>
      <c r="BB4" s="152">
        <f>VLOOKUP(B4,'[2]Margin - NSE Fut (5Paisa)'!$A:$K,11,FALSE)</f>
        <v>42945.06</v>
      </c>
      <c r="BC4" s="152">
        <f>VLOOKUP(AW4,[1]NOW!$A:$L,9,FALSE)</f>
        <v>17600</v>
      </c>
      <c r="BD4" s="152">
        <f>VLOOKUP(AW4,[1]NOW!$A:$L,10,FALSE)</f>
        <v>17765.650000000001</v>
      </c>
      <c r="BE4" s="152">
        <f>VLOOKUP(AW4,[1]NOW!$A:$L,11,FALSE)</f>
        <v>17500</v>
      </c>
      <c r="BF4" s="152">
        <f>VLOOKUP(AW4,[1]NOW!$A:$L,12,FALSE)</f>
        <v>17623.099999999999</v>
      </c>
      <c r="BG4" s="152">
        <f>'BNF-Nifty'!$N$63</f>
        <v>17715.300800000001</v>
      </c>
      <c r="BH4" s="152">
        <f>'BNF-Nifty'!$O$63</f>
        <v>17754.849600000001</v>
      </c>
      <c r="BI4" s="152">
        <f>'BNF-Nifty'!$P$63</f>
        <v>17603</v>
      </c>
      <c r="BJ4" s="150" t="str">
        <f>IF(AND(BC4&gt;BF4,BC4&lt;BH4),"PGUp",IF(AND(BC4&gt;BF4,BC4&gt;BH4),"FGUp",IF(AND(BC4&lt;BF4,BC4&gt;BI4),"PGDn",IF(AND(BC4&lt;BF4,BC4&lt;BI4),"FGDn",0))))</f>
        <v>FGDn</v>
      </c>
      <c r="BK4" s="154" t="str">
        <f>IF(BF4&gt;BG4,IF(BC4&gt;BH4,"Fade-Short",IF(AND(BC4&lt;=BH4,BC4&gt;BF4),"Fade-Short",IF(AND(BC4&lt;BF4,BC4&gt;=BG4),"Fade-Long",IF(AND(BC4&lt;BG4,BC4&gt;=BI4),"Fade-Long",IF(BC4&lt;BI4,"GA-Short","-"))))),IF(BF4&lt;BG4,IF(BC4&gt;BH4,"GA-Long",IF(AND(BC4&lt;=BH4,BC4&gt;BG4),"Fade-Short",IF(AND(BC4&lt;=BG4,BC4&gt;BF4),"Fade-Short",IF(AND(BC4&lt;BF4,BC4&gt;=BI4),"Fade-Long",IF(BC4&lt;BI4,"Fade-Long","-"))))),"-"))</f>
        <v>Fade-Long</v>
      </c>
      <c r="BL4" s="150" t="str">
        <f>IF(OR(L4="",M4=""),"",IF(AY4&gt;=(L4+'Base Data'!$D$14),1,IF(AY4&lt;=(M4-'Base Data'!$D$14),2,0)))</f>
        <v/>
      </c>
      <c r="BM4" s="160">
        <f>(AY4-BF4)/BF4</f>
        <v>-4.0912211812903828E-3</v>
      </c>
      <c r="BN4" s="160">
        <f>IF(OR(L4&lt;&gt;"",M4&lt;&gt;""),(L4-M4)/BC4,(BD4-BE4)/BC4)</f>
        <v>1.5093750000000083E-2</v>
      </c>
      <c r="BO4" s="163">
        <f>IF(AND(BP4="",BQ4="",BR4="",BS4=""),"",IF(AND(BP4&lt;(80%*BS4),BQ4&lt;(80%*BS4),BR4&lt;(80%*BS4)),0,IF(AND(BP4&gt;=(80%*BS4),BQ4&lt;(80%*BS4),BR4&lt;(80%*BS4)),5,IF(AND(BP4&lt;(80%*BS4),BQ4&gt;=(80%*BS4),BR4&lt;(80%*BS4)),10,IF(AND(BP4&lt;(80%*BS4),BQ4&lt;(80%*BS4),BR4&gt;=(80%*BS4)),15,IF(AND(BP4&gt;=(80%*BS4),BQ4&gt;=(80%*BS4),BR4&lt;(80%*BS4)),20,IF(AND(BP4&gt;=(80%*BS4),BQ4&lt;(80%*BS4),BR4&gt;=(80%*BS4)),25,IF(AND(BP4&lt;(80%*BS4),BQ4&gt;=(80%*BS4),BR4&gt;=(80%*BS4)),30,IF(AND(BP4&gt;=(80%*BS4),BQ4&gt;=(80%*BS4),BR4&gt;=(80%*BS4)),35,"Check")))))))))</f>
        <v>35</v>
      </c>
      <c r="BP4" s="160">
        <f>'BNF-Nifty'!$AV$65</f>
        <v>1.3957532549016426E-2</v>
      </c>
      <c r="BQ4" s="160">
        <f>'BNF-Nifty'!$AW$65</f>
        <v>1.3093817078898024E-2</v>
      </c>
      <c r="BR4" s="160">
        <f>'BNF-Nifty'!$AX$65</f>
        <v>1.3935545163171217E-2</v>
      </c>
      <c r="BS4" s="160">
        <f>'BNF-Nifty'!$AU$69</f>
        <v>1.6332233947198158E-2</v>
      </c>
      <c r="BT4" s="161">
        <f>IF(OR(AND(BL4=1,OR(AND(BM4&gt;=0.5%,BM4&lt;=1.5%),AND(BM4&lt;=-0.5%,BM4&gt;=-1.5%)),BN4&gt;=0.5%),AND(BL4=2,OR(AND(BM4&gt;=0.5%,BM4&lt;=1.5%),AND(BM4&lt;=-0.5%,BM4&gt;=-1.5%)),BN4&gt;=0.5%)),1,0)</f>
        <v>0</v>
      </c>
      <c r="BU4" s="161">
        <f>IF(OR(T4="Exit Long &amp; Go Short",T4="Exit Short &amp; Go Long"),1,0)</f>
        <v>0</v>
      </c>
    </row>
    <row r="5" spans="1:73" x14ac:dyDescent="0.25">
      <c r="A5" s="164">
        <f>A4+1</f>
        <v>2</v>
      </c>
      <c r="B5" s="165" t="s">
        <v>2</v>
      </c>
      <c r="C5" s="166">
        <f>IF(AND(BL5=1,AZ5&lt;&gt;0),AZ5,IF(AND(BL5=2,AX5&lt;&gt;0),AX5,AY5))</f>
        <v>8183.2</v>
      </c>
      <c r="D5" s="166">
        <f>(AY5-BC5)</f>
        <v>-43.650000000000546</v>
      </c>
      <c r="E5" s="153" t="str">
        <f>IF(AND(BL5=1,OR(AND(BM5&gt;=0.5%,BM5&lt;=1.5%),AND(BM5&lt;=-0.5%,BM5&gt;=-1.5%)),BN5&gt;=0.5%),CONCATENATE("Long ",B5),IF(AND(BL5=2,OR(AND(BM5&gt;=0.5%,BM5&lt;=1.5%),AND(BM5&lt;=-0.5%,BM5&gt;=-1.5%)),BN5&gt;=0.5%),CONCATENATE("Short ",B5),"Do Not Trade"))</f>
        <v>Do Not Trade</v>
      </c>
      <c r="F5" s="164" t="str">
        <f>IF(BF5&gt;BG5,IF(BC5&gt;BH5,"U-H",IF(AND(BC5&lt;=BH5,BC5&gt;BF5),"U-HC",IF(AND(BC5&lt;BF5,BC5&gt;=BG5),"U-CO",IF(AND(BC5&lt;BG5,BC5&gt;=BI5),"U-OL",IF(BC5&lt;BI5,"U-L","-"))))),IF(BF5&lt;BG5,IF(BC5&gt;BH5,"D-H",IF(AND(BC5&lt;=BH5,BC5&gt;BG5),"D-HO",IF(AND(BC5&lt;=BG5,BC5&gt;BF5),"D-OC",IF(AND(BC5&lt;BF5,BC5&gt;=BI5),"D-CL",IF(BC5&lt;BI5,"D-L","-"))))),"-"))</f>
        <v>D-OC</v>
      </c>
      <c r="G5" s="164">
        <f>IF(BC5=BE5,1,IF(BC5=BD5,2,0))</f>
        <v>0</v>
      </c>
      <c r="H5" s="164" t="str">
        <f>IF(AND(BC5&lt;BH5,AY5&gt;BH5),"Up-BO",IF(AND(BC5&gt;BI5,AY5&lt;BI5),"Dn-BO",IF(AND(BJ5="FGDn",AY5&gt;BI5),"Dn2Up-BO",IF(AND(BJ5="FGUp",AY5&lt;BH5),"Up2Dn-BO",0))))</f>
        <v>Dn-BO</v>
      </c>
      <c r="I5" s="164">
        <f>IF(AY5&gt;(BD5-(BC5*0.5%)),1,IF(AY5&lt;(BE5+(BC5*0.5%)),2,0))</f>
        <v>2</v>
      </c>
      <c r="J5" s="164">
        <f>IF(C5&gt;((BC5+BH5+BI5+BF5)/4),1,IF(C5&lt;((BC5+BH5+BI5+BF5)/4),2,0))</f>
        <v>2</v>
      </c>
      <c r="K5" s="254">
        <f>V5</f>
        <v>4</v>
      </c>
      <c r="L5" s="255"/>
      <c r="M5" s="255"/>
      <c r="N5" s="155"/>
      <c r="O5" s="167" t="str">
        <f>IF(N5="","",IF(N5&gt;0,(C5-N5),IF(N5&lt;0,(-N5-C5),"Check")))</f>
        <v/>
      </c>
      <c r="P5" s="167" t="str">
        <f>IF(N5="","",IF(N5&gt;0,((C5-N5)*K5*BA5),IF(N5&lt;0,((-N5-C5)*K5*BA5),"Check")))</f>
        <v/>
      </c>
      <c r="Q5" s="167" t="str">
        <f>IF(N5="","",(P5-AU5))</f>
        <v/>
      </c>
      <c r="R5" s="170" t="str">
        <f>IF(N5&lt;&gt;"",Q5/S5,"")</f>
        <v/>
      </c>
      <c r="S5" s="169" t="str">
        <f>IF(N5&lt;&gt;"",(BB5*K5),"")</f>
        <v/>
      </c>
      <c r="T5" s="164" t="str">
        <f>IF(N5="","",IF(N5&gt;0,IF(AY5&lt;M5,"Exit Long &amp; Go Short",IF(AY5&gt;(N5+(L5-M5)),"Exit - TP","Hold")),IF(N5&lt;0,IF(AY5&gt;L5,"Exit Short &amp; Go Long",IF(AY5&lt;(-N5-(L5-M5)),"Exit - TP","Hold")))))</f>
        <v/>
      </c>
      <c r="U5" s="166">
        <f>'BNF-Nifty'!$AF$65</f>
        <v>96.188727139939914</v>
      </c>
      <c r="V5" s="172">
        <f>'BNF-Nifty'!$AI$65</f>
        <v>4</v>
      </c>
      <c r="W5" s="167" t="str">
        <f>IF(N5="","",'Base Data'!$D$13*U5)</f>
        <v/>
      </c>
      <c r="X5" s="167" t="str">
        <f>IF(Y5="","",IF(N5&gt;0,(Y5-N5),IF(N5&lt;0,(Y5+N5),"Check")))</f>
        <v/>
      </c>
      <c r="Y5" s="167" t="str">
        <f>IF(N5="","",IF(N5&gt;0,(N5-W5),IF(N5&lt;0,(-N5+W5),"Check")))</f>
        <v/>
      </c>
      <c r="Z5" s="167" t="str">
        <f>IF(N5="","",IF(N5&gt;0,(N5+W5),IF(N5&lt;0,(-N5-W5),"Check")))</f>
        <v/>
      </c>
      <c r="AA5" s="167" t="str">
        <f>IF(Z5="","",IF(N5&gt;0,(Z5-N5),IF(N5&lt;0,(Z5+N5),"Check")))</f>
        <v/>
      </c>
      <c r="AB5" s="166">
        <f>'BNF-Nifty'!$AP$65</f>
        <v>93.924742175434645</v>
      </c>
      <c r="AC5" s="172">
        <f>'BNF-Nifty'!$AS$65</f>
        <v>1</v>
      </c>
      <c r="AD5" s="167" t="str">
        <f>IF(N5="","",'Base Data'!$D$10*AB5)</f>
        <v/>
      </c>
      <c r="AE5" s="167" t="str">
        <f>IF(AF5="","",IF(N5&gt;0,(AF5-N5),IF(N5&lt;0,(AF5+N5),"Check")))</f>
        <v/>
      </c>
      <c r="AF5" s="167" t="str">
        <f>IF(N5="","",IF(N5&gt;0,(N5-AD5),IF(N5&lt;0,(-N5+AD5),"Check")))</f>
        <v/>
      </c>
      <c r="AG5" s="167" t="str">
        <f>IF(N5="","",IF(N5&gt;0,(N5+(1*'Base Data'!$D$12*AB5)),IF(N5&lt;0,(-N5-(1*'Base Data'!$D$12*AB5)),"Check")))</f>
        <v/>
      </c>
      <c r="AH5" s="167" t="str">
        <f>IF(N5="","",IF(N5&gt;0,(N5+(2*'Base Data'!$D$12*AB5)),IF(N5&lt;0,(-N5-(2*'Base Data'!$D$12*AB5)),"Check")))</f>
        <v/>
      </c>
      <c r="AI5" s="167" t="str">
        <f>IF(N5="","",IF(N5&gt;0,(N5+(3*'Base Data'!$D$12*AB5)),IF(N5&lt;0,(-N5-(3*'Base Data'!$D$12*AB5)),"Check")))</f>
        <v/>
      </c>
      <c r="AJ5" s="167" t="str">
        <f>IF(N5="","",IF(N5&gt;0,(N5+(4*'Base Data'!$D$12*AB5)),IF(N5&lt;0,(-N5-(4*'Base Data'!$D$12*AB5)),"Check")))</f>
        <v/>
      </c>
      <c r="AK5" s="167" t="str">
        <f>IF(N5="","",IF(N5&gt;0,(N5+AD5),IF(N5&lt;0,(-N5-AD5),"Check")))</f>
        <v/>
      </c>
      <c r="AL5" s="167" t="str">
        <f>IF(AK5="","",IF(N5&gt;0,(AK5-N5),IF(N5&lt;0,(AK5+N5),"Check")))</f>
        <v/>
      </c>
      <c r="AM5" s="169">
        <f>(C5*K5*BA5)</f>
        <v>2454960</v>
      </c>
      <c r="AN5" s="166" t="str">
        <f>IF(N5="","",(AM5*'Base Data'!$C$25*2))</f>
        <v/>
      </c>
      <c r="AO5" s="166" t="str">
        <f>IF(N5="","",(AM5*'Base Data'!$D$25*2))</f>
        <v/>
      </c>
      <c r="AP5" s="166" t="str">
        <f>IF(N5="","",((AN5+AO5)*'Base Data'!$E$25)+(((AN5+AO5)*'Base Data'!$E$25)*'Base Data'!$F$25)+(((AN5+AO5)*'Base Data'!$E$25)*'Base Data'!$G$25))</f>
        <v/>
      </c>
      <c r="AQ5" s="166" t="str">
        <f>IF(N5="","",(AM5*'Base Data'!$H$26*2))</f>
        <v/>
      </c>
      <c r="AR5" s="166" t="str">
        <f>IF(N5="","",(AM5*'Base Data'!$I$25*2))</f>
        <v/>
      </c>
      <c r="AS5" s="166" t="str">
        <f>IF(N5="","",(AM5*'Base Data'!$J$25))</f>
        <v/>
      </c>
      <c r="AT5" s="166" t="str">
        <f>IF(N5="","",(AM5*'Base Data'!$K$25*2))</f>
        <v/>
      </c>
      <c r="AU5" s="166" t="str">
        <f>IF(N5="","",SUM(AN5:AT5))</f>
        <v/>
      </c>
      <c r="AV5" s="164" t="str">
        <f>IF(N5="","",IF(N5&gt;0,1,IF(N5&lt;0,2,0)))</f>
        <v/>
      </c>
      <c r="AW5" s="168" t="str">
        <f>CONCATENATE(B5,'Base Data'!$D$1)</f>
        <v>Nifty16JunFut</v>
      </c>
      <c r="AX5" s="166">
        <f>VLOOKUP(AW5,[1]NOW!$A:$D,2,FALSE)</f>
        <v>8183.2</v>
      </c>
      <c r="AY5" s="166">
        <f>VLOOKUP(AW5,[1]NOW!$A:$D,3,FALSE)</f>
        <v>8183.2</v>
      </c>
      <c r="AZ5" s="166">
        <f>VLOOKUP(AW5,[1]NOW!$A:$D,4,FALSE)</f>
        <v>8183.4</v>
      </c>
      <c r="BA5" s="164">
        <f>VLOOKUP(B5,'[2]Margin - NSE Fut (5Paisa)'!$A:$K,2,FALSE)</f>
        <v>75</v>
      </c>
      <c r="BB5" s="166">
        <f>VLOOKUP(B5,'[2]Margin - NSE Fut (5Paisa)'!$A:$K,11,FALSE)</f>
        <v>49704.087500000001</v>
      </c>
      <c r="BC5" s="166">
        <f>VLOOKUP(AW5,[1]NOW!$A:$L,9,FALSE)</f>
        <v>8226.85</v>
      </c>
      <c r="BD5" s="166">
        <f>VLOOKUP(AW5,[1]NOW!$A:$L,10,FALSE)</f>
        <v>8253.25</v>
      </c>
      <c r="BE5" s="166">
        <f>VLOOKUP(AW5,[1]NOW!$A:$L,11,FALSE)</f>
        <v>8154</v>
      </c>
      <c r="BF5" s="166">
        <f>VLOOKUP(AW5,[1]NOW!$A:$L,12,FALSE)</f>
        <v>8225.1</v>
      </c>
      <c r="BG5" s="166">
        <f>'BNF-Nifty'!$T$63</f>
        <v>8251.1504000000004</v>
      </c>
      <c r="BH5" s="166">
        <f>'BNF-Nifty'!$U$63</f>
        <v>8253</v>
      </c>
      <c r="BI5" s="166">
        <f>'BNF-Nifty'!$V$63</f>
        <v>8205.7998000000007</v>
      </c>
      <c r="BJ5" s="164" t="str">
        <f>IF(AND(BC5&gt;BF5,BC5&lt;BH5),"PGUp",IF(AND(BC5&gt;BF5,BC5&gt;BH5),"FGUp",IF(AND(BC5&lt;BF5,BC5&gt;BI5),"PGDn",IF(AND(BC5&lt;BF5,BC5&lt;BI5),"FGDn",0))))</f>
        <v>PGUp</v>
      </c>
      <c r="BK5" s="167" t="str">
        <f>IF(BF5&gt;BG5,IF(BC5&gt;BH5,"Fade-Short",IF(AND(BC5&lt;=BH5,BC5&gt;BF5),"Fade-Short",IF(AND(BC5&lt;BF5,BC5&gt;=BG5),"Fade-Long",IF(AND(BC5&lt;BG5,BC5&gt;=BI5),"Fade-Long",IF(BC5&lt;BI5,"GA-Short","-"))))),IF(BF5&lt;BG5,IF(BC5&gt;BH5,"GA-Long",IF(AND(BC5&lt;=BH5,BC5&gt;BG5),"Fade-Short",IF(AND(BC5&lt;=BG5,BC5&gt;BF5),"Fade-Short",IF(AND(BC5&lt;BF5,BC5&gt;=BI5),"Fade-Long",IF(BC5&lt;BI5,"Fade-Long","-"))))),"-"))</f>
        <v>Fade-Short</v>
      </c>
      <c r="BL5" s="164" t="str">
        <f>IF(OR(L5="",M5=""),"",IF(AY5&gt;=(L5+'Base Data'!$D$14),1,IF(AY5&lt;=(M5-'Base Data'!$D$14),2,0)))</f>
        <v/>
      </c>
      <c r="BM5" s="170">
        <f>(AY5-BF5)/BF5</f>
        <v>-5.094162988899897E-3</v>
      </c>
      <c r="BN5" s="170">
        <f>IF(OR(L5&lt;&gt;"",M5&lt;&gt;""),(L5-M5)/BC5,(BD5-BE5)/BC5)</f>
        <v>1.2064155782589934E-2</v>
      </c>
      <c r="BO5" s="173">
        <f>IF(AND(BP5="",BQ5="",BR5="",BS5=""),"",IF(AND(BP5&lt;(80%*BS5),BQ5&lt;(80%*BS5),BR5&lt;(80%*BS5)),0,IF(AND(BP5&gt;=(80%*BS5),BQ5&lt;(80%*BS5),BR5&lt;(80%*BS5)),5,IF(AND(BP5&lt;(80%*BS5),BQ5&gt;=(80%*BS5),BR5&lt;(80%*BS5)),10,IF(AND(BP5&lt;(80%*BS5),BQ5&lt;(80%*BS5),BR5&gt;=(80%*BS5)),15,IF(AND(BP5&gt;=(80%*BS5),BQ5&gt;=(80%*BS5),BR5&lt;(80%*BS5)),20,IF(AND(BP5&gt;=(80%*BS5),BQ5&lt;(80%*BS5),BR5&gt;=(80%*BS5)),25,IF(AND(BP5&lt;(80%*BS5),BQ5&gt;=(80%*BS5),BR5&gt;=(80%*BS5)),30,IF(AND(BP5&gt;=(80%*BS5),BQ5&gt;=(80%*BS5),BR5&gt;=(80%*BS5)),35,"Check")))))))))</f>
        <v>35</v>
      </c>
      <c r="BP5" s="170">
        <f>'BNF-Nifty'!$BA$65</f>
        <v>1.1279247725866814E-2</v>
      </c>
      <c r="BQ5" s="170">
        <f>'BNF-Nifty'!$BB$65</f>
        <v>1.0628939303018373E-2</v>
      </c>
      <c r="BR5" s="170">
        <f>'BNF-Nifty'!$BC$65</f>
        <v>1.0592511583855765E-2</v>
      </c>
      <c r="BS5" s="170">
        <f>'BNF-Nifty'!$AZ$69</f>
        <v>1.1381795018922879E-2</v>
      </c>
      <c r="BT5" s="171">
        <f>IF(OR(AND(BL5=1,OR(AND(BM5&gt;=0.5%,BM5&lt;=1.5%),AND(BM5&lt;=-0.5%,BM5&gt;=-1.5%)),BN5&gt;=0.5%),AND(BL5=2,OR(AND(BM5&gt;=0.5%,BM5&lt;=1.5%),AND(BM5&lt;=-0.5%,BM5&gt;=-1.5%)),BN5&gt;=0.5%)),1,0)</f>
        <v>0</v>
      </c>
      <c r="BU5" s="171">
        <f>IF(OR(T5="Exit Long &amp; Go Short",T5="Exit Short &amp; Go Long"),1,0)</f>
        <v>0</v>
      </c>
    </row>
    <row r="6" spans="1:73" ht="3" customHeight="1" x14ac:dyDescent="0.25">
      <c r="A6" s="153"/>
      <c r="B6" s="174"/>
      <c r="C6" s="175"/>
      <c r="D6" s="175"/>
      <c r="E6" s="153"/>
      <c r="F6" s="176"/>
      <c r="G6" s="153"/>
      <c r="H6" s="176"/>
      <c r="I6" s="153"/>
      <c r="J6" s="153"/>
      <c r="K6" s="177"/>
      <c r="L6" s="178"/>
      <c r="M6" s="178"/>
      <c r="N6" s="179"/>
      <c r="O6" s="179"/>
      <c r="P6" s="156"/>
      <c r="Q6" s="156"/>
      <c r="R6" s="157"/>
      <c r="S6" s="180"/>
      <c r="T6" s="153"/>
      <c r="U6" s="176"/>
      <c r="V6" s="176"/>
      <c r="W6" s="176"/>
      <c r="X6" s="176"/>
      <c r="Y6" s="176"/>
      <c r="Z6" s="176"/>
      <c r="AA6" s="176"/>
      <c r="AB6" s="176"/>
      <c r="AC6" s="176"/>
      <c r="AD6" s="176"/>
      <c r="AE6" s="176"/>
      <c r="AF6" s="176"/>
      <c r="AG6" s="176"/>
      <c r="AH6" s="176"/>
      <c r="AI6" s="176"/>
      <c r="AJ6" s="176"/>
      <c r="AK6" s="176"/>
      <c r="AL6" s="176"/>
      <c r="AM6" s="180"/>
      <c r="AN6" s="175"/>
      <c r="AO6" s="175"/>
      <c r="AP6" s="175"/>
      <c r="AQ6" s="175"/>
      <c r="AR6" s="175"/>
      <c r="AS6" s="175"/>
      <c r="AT6" s="175"/>
      <c r="AU6" s="175"/>
      <c r="AV6" s="176"/>
      <c r="AW6" s="181"/>
      <c r="AX6" s="175"/>
      <c r="AY6" s="175"/>
      <c r="AZ6" s="175"/>
      <c r="BA6" s="153"/>
      <c r="BB6" s="175"/>
      <c r="BC6" s="175"/>
      <c r="BD6" s="175"/>
      <c r="BE6" s="175"/>
      <c r="BF6" s="175"/>
      <c r="BG6" s="175"/>
      <c r="BH6" s="175"/>
      <c r="BI6" s="175"/>
      <c r="BJ6" s="176"/>
      <c r="BK6" s="176"/>
      <c r="BL6" s="153"/>
      <c r="BM6" s="157"/>
      <c r="BN6" s="157"/>
      <c r="BO6" s="157"/>
      <c r="BP6" s="157"/>
      <c r="BQ6" s="157"/>
      <c r="BR6" s="157"/>
      <c r="BS6" s="157"/>
      <c r="BT6" s="182"/>
      <c r="BU6" s="182"/>
    </row>
    <row r="8" spans="1:73" x14ac:dyDescent="0.25">
      <c r="F8" s="5"/>
      <c r="G8" s="5"/>
      <c r="H8" s="5"/>
      <c r="I8" s="5"/>
      <c r="J8" s="5"/>
      <c r="K8" s="5"/>
      <c r="N8" s="5"/>
      <c r="O8" s="5"/>
      <c r="BJ8" s="5"/>
      <c r="BK8" s="5"/>
    </row>
    <row r="9" spans="1:73" x14ac:dyDescent="0.25">
      <c r="F9" s="5"/>
      <c r="G9" s="5"/>
      <c r="H9" s="5"/>
      <c r="I9" s="5"/>
      <c r="J9" s="5"/>
      <c r="K9" s="5"/>
      <c r="N9" s="5"/>
      <c r="O9" s="5"/>
      <c r="BJ9" s="5"/>
      <c r="BK9" s="5"/>
    </row>
    <row r="10" spans="1:73" x14ac:dyDescent="0.25">
      <c r="F10" s="5"/>
      <c r="G10" s="5"/>
      <c r="H10" s="5"/>
      <c r="I10" s="5"/>
      <c r="J10" s="5"/>
      <c r="K10" s="5"/>
      <c r="N10" s="5"/>
      <c r="O10" s="5"/>
      <c r="BJ10" s="5"/>
      <c r="BK10" s="5"/>
    </row>
    <row r="11" spans="1:73" x14ac:dyDescent="0.25">
      <c r="F11" s="5"/>
      <c r="G11" s="5"/>
      <c r="H11" s="5"/>
      <c r="I11" s="5"/>
      <c r="J11" s="5"/>
      <c r="K11" s="5"/>
      <c r="N11" s="5"/>
      <c r="O11" s="5"/>
      <c r="BJ11" s="5"/>
      <c r="BK11" s="5"/>
    </row>
    <row r="12" spans="1:73" x14ac:dyDescent="0.25">
      <c r="F12" s="5"/>
      <c r="G12" s="5"/>
      <c r="H12" s="5"/>
      <c r="I12" s="5"/>
      <c r="J12" s="5"/>
      <c r="K12" s="5"/>
      <c r="N12" s="5"/>
      <c r="O12" s="5"/>
      <c r="BJ12" s="5"/>
      <c r="BK12" s="5"/>
    </row>
    <row r="13" spans="1:73" x14ac:dyDescent="0.25">
      <c r="F13" s="5"/>
      <c r="G13" s="5"/>
      <c r="H13" s="5"/>
      <c r="I13" s="5"/>
      <c r="J13" s="5"/>
      <c r="K13" s="5"/>
      <c r="N13" s="5"/>
      <c r="O13" s="5"/>
      <c r="BJ13" s="5"/>
      <c r="BK13" s="5"/>
    </row>
    <row r="14" spans="1:73" x14ac:dyDescent="0.25">
      <c r="F14" s="5"/>
      <c r="G14" s="5"/>
      <c r="H14" s="5"/>
      <c r="I14" s="5"/>
      <c r="J14" s="5"/>
      <c r="K14" s="5"/>
      <c r="N14" s="5"/>
      <c r="O14" s="5"/>
      <c r="BJ14" s="5"/>
      <c r="BK14" s="5"/>
    </row>
    <row r="15" spans="1:73" x14ac:dyDescent="0.25">
      <c r="F15" s="5"/>
      <c r="G15" s="5"/>
      <c r="H15" s="5"/>
      <c r="I15" s="5"/>
      <c r="J15" s="5"/>
      <c r="K15" s="5"/>
      <c r="N15" s="5"/>
      <c r="O15" s="5"/>
      <c r="BJ15" s="5"/>
      <c r="BK15" s="5"/>
    </row>
    <row r="16" spans="1:73" x14ac:dyDescent="0.25">
      <c r="F16" s="5"/>
      <c r="G16" s="5"/>
      <c r="H16" s="5"/>
      <c r="I16" s="5"/>
      <c r="J16" s="5"/>
      <c r="K16" s="5"/>
      <c r="N16" s="5"/>
      <c r="O16" s="5"/>
      <c r="BJ16" s="5"/>
      <c r="BK16" s="5"/>
    </row>
    <row r="17" s="5" customFormat="1" x14ac:dyDescent="0.25"/>
    <row r="18" s="5" customFormat="1" x14ac:dyDescent="0.25"/>
    <row r="19" s="5" customFormat="1" x14ac:dyDescent="0.25"/>
    <row r="20" s="5" customFormat="1" x14ac:dyDescent="0.25"/>
    <row r="21" s="5" customFormat="1" x14ac:dyDescent="0.25"/>
    <row r="22" s="5" customFormat="1" x14ac:dyDescent="0.25"/>
    <row r="23" s="5" customFormat="1" x14ac:dyDescent="0.25"/>
    <row r="24" s="5" customFormat="1" x14ac:dyDescent="0.25"/>
    <row r="25" s="5" customFormat="1" x14ac:dyDescent="0.25"/>
    <row r="26" s="5" customFormat="1" x14ac:dyDescent="0.25"/>
    <row r="27" s="5" customFormat="1" x14ac:dyDescent="0.25"/>
    <row r="28" s="5" customFormat="1" x14ac:dyDescent="0.25"/>
    <row r="29" s="5" customFormat="1" x14ac:dyDescent="0.25"/>
  </sheetData>
  <mergeCells count="77">
    <mergeCell ref="E1:H1"/>
    <mergeCell ref="AB1:AL1"/>
    <mergeCell ref="U1:AA1"/>
    <mergeCell ref="K2:K3"/>
    <mergeCell ref="L2:L3"/>
    <mergeCell ref="N2:N3"/>
    <mergeCell ref="O2:O3"/>
    <mergeCell ref="Q2:Q3"/>
    <mergeCell ref="R2:R3"/>
    <mergeCell ref="P2:P3"/>
    <mergeCell ref="S2:S3"/>
    <mergeCell ref="AJ2:AJ3"/>
    <mergeCell ref="T2:T3"/>
    <mergeCell ref="U2:U3"/>
    <mergeCell ref="V2:V3"/>
    <mergeCell ref="W2:W3"/>
    <mergeCell ref="AV2:AV3"/>
    <mergeCell ref="AW2:AW3"/>
    <mergeCell ref="AX2:AX3"/>
    <mergeCell ref="AY2:AY3"/>
    <mergeCell ref="A2:A3"/>
    <mergeCell ref="B2:B3"/>
    <mergeCell ref="C2:C3"/>
    <mergeCell ref="D2:D3"/>
    <mergeCell ref="M2:M3"/>
    <mergeCell ref="E2:E3"/>
    <mergeCell ref="G2:G3"/>
    <mergeCell ref="H2:H3"/>
    <mergeCell ref="I2:I3"/>
    <mergeCell ref="J2:J3"/>
    <mergeCell ref="AF2:AF3"/>
    <mergeCell ref="AG2:AG3"/>
    <mergeCell ref="BL2:BL3"/>
    <mergeCell ref="BM2:BM3"/>
    <mergeCell ref="Z2:Z3"/>
    <mergeCell ref="AA2:AA3"/>
    <mergeCell ref="AL2:AL3"/>
    <mergeCell ref="AI2:AI3"/>
    <mergeCell ref="BK2:BK3"/>
    <mergeCell ref="AK2:AK3"/>
    <mergeCell ref="BH2:BH3"/>
    <mergeCell ref="AZ2:AZ3"/>
    <mergeCell ref="AP2:AP3"/>
    <mergeCell ref="AQ2:AQ3"/>
    <mergeCell ref="AR2:AR3"/>
    <mergeCell ref="AS2:AS3"/>
    <mergeCell ref="AT2:AT3"/>
    <mergeCell ref="AU2:AU3"/>
    <mergeCell ref="AH2:AH3"/>
    <mergeCell ref="AB2:AB3"/>
    <mergeCell ref="AC2:AC3"/>
    <mergeCell ref="AD2:AD3"/>
    <mergeCell ref="AE2:AE3"/>
    <mergeCell ref="BT2:BT3"/>
    <mergeCell ref="BU2:BU3"/>
    <mergeCell ref="BN2:BN3"/>
    <mergeCell ref="BO2:BO3"/>
    <mergeCell ref="BP2:BP3"/>
    <mergeCell ref="BQ2:BQ3"/>
    <mergeCell ref="BR2:BR3"/>
    <mergeCell ref="BS2:BS3"/>
    <mergeCell ref="I1:J1"/>
    <mergeCell ref="BJ2:BJ3"/>
    <mergeCell ref="F2:F3"/>
    <mergeCell ref="BI2:BI3"/>
    <mergeCell ref="BA2:BA3"/>
    <mergeCell ref="BB2:BB3"/>
    <mergeCell ref="BC2:BC3"/>
    <mergeCell ref="BD2:BD3"/>
    <mergeCell ref="BE2:BE3"/>
    <mergeCell ref="BF2:BF3"/>
    <mergeCell ref="AM2:AM3"/>
    <mergeCell ref="AN2:AN3"/>
    <mergeCell ref="AO2:AO3"/>
    <mergeCell ref="BG2:BG3"/>
    <mergeCell ref="X2:X3"/>
    <mergeCell ref="Y2:Y3"/>
  </mergeCells>
  <conditionalFormatting sqref="P6">
    <cfRule type="containsBlanks" priority="287" stopIfTrue="1">
      <formula>LEN(TRIM(P6))=0</formula>
    </cfRule>
    <cfRule type="expression" dxfId="33" priority="288">
      <formula>P6&lt;=0</formula>
    </cfRule>
    <cfRule type="expression" dxfId="32" priority="289">
      <formula>P6&gt;0</formula>
    </cfRule>
  </conditionalFormatting>
  <conditionalFormatting sqref="B1">
    <cfRule type="expression" dxfId="31" priority="272">
      <formula>C1&lt;=0</formula>
    </cfRule>
    <cfRule type="expression" dxfId="30" priority="273">
      <formula>C1&gt;0</formula>
    </cfRule>
  </conditionalFormatting>
  <conditionalFormatting sqref="T4">
    <cfRule type="containsText" dxfId="29" priority="296" operator="containsText" text="Hold">
      <formula>NOT(ISERROR(SEARCH("Hold",T4)))</formula>
    </cfRule>
    <cfRule type="containsText" dxfId="28" priority="297" operator="containsText" text="Exit - TP">
      <formula>NOT(ISERROR(SEARCH("Exit - TP",T4)))</formula>
    </cfRule>
    <cfRule type="containsText" dxfId="27" priority="298" operator="containsText" text="Go">
      <formula>NOT(ISERROR(SEARCH("Go",T4)))</formula>
    </cfRule>
  </conditionalFormatting>
  <conditionalFormatting sqref="K4:K5">
    <cfRule type="expression" dxfId="26" priority="233">
      <formula>OR(K4="",K4=0)</formula>
    </cfRule>
  </conditionalFormatting>
  <conditionalFormatting sqref="T5">
    <cfRule type="containsText" dxfId="25" priority="223" operator="containsText" text="Hold">
      <formula>NOT(ISERROR(SEARCH("Hold",T5)))</formula>
    </cfRule>
    <cfRule type="containsText" dxfId="24" priority="224" operator="containsText" text="Exit - TP">
      <formula>NOT(ISERROR(SEARCH("Exit - TP",T5)))</formula>
    </cfRule>
    <cfRule type="containsText" dxfId="23" priority="225" operator="containsText" text="Go">
      <formula>NOT(ISERROR(SEARCH("Go",T5)))</formula>
    </cfRule>
  </conditionalFormatting>
  <conditionalFormatting sqref="E4">
    <cfRule type="containsText" dxfId="22" priority="171" stopIfTrue="1" operator="containsText" text="Do Not Trade">
      <formula>NOT(ISERROR(SEARCH("Do Not Trade",E4)))</formula>
    </cfRule>
    <cfRule type="containsText" dxfId="21" priority="172" operator="containsText" text="Long">
      <formula>NOT(ISERROR(SEARCH("Long",E4)))</formula>
    </cfRule>
    <cfRule type="containsText" dxfId="20" priority="173" operator="containsText" text="Short">
      <formula>NOT(ISERROR(SEARCH("Short",E4)))</formula>
    </cfRule>
  </conditionalFormatting>
  <conditionalFormatting sqref="BL4">
    <cfRule type="cellIs" dxfId="19" priority="168" stopIfTrue="1" operator="equal">
      <formula>0</formula>
    </cfRule>
    <cfRule type="cellIs" dxfId="18" priority="169" operator="equal">
      <formula>1</formula>
    </cfRule>
    <cfRule type="cellIs" dxfId="17" priority="170" operator="equal">
      <formula>2</formula>
    </cfRule>
  </conditionalFormatting>
  <conditionalFormatting sqref="BL5">
    <cfRule type="cellIs" dxfId="16" priority="165" stopIfTrue="1" operator="equal">
      <formula>0</formula>
    </cfRule>
    <cfRule type="cellIs" dxfId="15" priority="166" operator="equal">
      <formula>1</formula>
    </cfRule>
    <cfRule type="cellIs" dxfId="14" priority="167" operator="equal">
      <formula>2</formula>
    </cfRule>
  </conditionalFormatting>
  <conditionalFormatting sqref="E5">
    <cfRule type="containsText" dxfId="13" priority="150" stopIfTrue="1" operator="containsText" text="Do Not Trade">
      <formula>NOT(ISERROR(SEARCH("Do Not Trade",E5)))</formula>
    </cfRule>
    <cfRule type="containsText" dxfId="12" priority="151" operator="containsText" text="Long">
      <formula>NOT(ISERROR(SEARCH("Long",E5)))</formula>
    </cfRule>
    <cfRule type="containsText" dxfId="11" priority="152" operator="containsText" text="Short">
      <formula>NOT(ISERROR(SEARCH("Short",E5)))</formula>
    </cfRule>
  </conditionalFormatting>
  <conditionalFormatting sqref="L4:L5">
    <cfRule type="expression" dxfId="10" priority="327">
      <formula>AND(BL4=1,OR(AND(#REF!&gt;=0.5%,#REF!&lt;=1.5%),AND(#REF!&lt;=-0.5%,#REF!&gt;=-1.5%)),#REF!&gt;=0.5%)</formula>
    </cfRule>
  </conditionalFormatting>
  <conditionalFormatting sqref="M4:M5">
    <cfRule type="expression" dxfId="9" priority="328">
      <formula>AND(BL4=2,OR(AND(#REF!&gt;=0.5%,#REF!&lt;=1.5%),AND(#REF!&lt;=-0.5%,#REF!&gt;=-1.5%)),#REF!&gt;=0.5%)</formula>
    </cfRule>
  </conditionalFormatting>
  <conditionalFormatting sqref="N4:N5">
    <cfRule type="expression" dxfId="8" priority="431">
      <formula>AND(OR(BL4=1,BL4=2),E4&lt;&gt;"Do Not Trade",N4="")</formula>
    </cfRule>
    <cfRule type="expression" dxfId="7" priority="432">
      <formula>AND(BL4=1,E4&lt;&gt;"Do Not Trade",N4&lt;0)</formula>
    </cfRule>
    <cfRule type="expression" dxfId="6" priority="433">
      <formula>AND(BL4=2,E4&lt;&gt;"Do Not Trade",N4&gt;0)</formula>
    </cfRule>
  </conditionalFormatting>
  <pageMargins left="0.7" right="0.7" top="0.75" bottom="0.75" header="0.3" footer="0.3"/>
  <pageSetup paperSize="5" orientation="portrait" horizontalDpi="4294967294"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BC623"/>
  <sheetViews>
    <sheetView zoomScale="190" zoomScaleNormal="190" workbookViewId="0">
      <pane ySplit="3" topLeftCell="A4" activePane="bottomLeft" state="frozen"/>
      <selection pane="bottomLeft" activeCell="A4" sqref="A4:C4"/>
    </sheetView>
  </sheetViews>
  <sheetFormatPr defaultRowHeight="11.25" x14ac:dyDescent="0.25"/>
  <cols>
    <col min="1" max="3" width="9.7109375" style="5" customWidth="1"/>
    <col min="4" max="7" width="15.7109375" style="5" customWidth="1"/>
    <col min="8" max="11" width="8.7109375" style="5" customWidth="1"/>
    <col min="12" max="17" width="9.7109375" style="5" customWidth="1"/>
    <col min="18" max="18" width="10.7109375" style="5" customWidth="1"/>
    <col min="19" max="23" width="9.7109375" style="5" customWidth="1"/>
    <col min="24" max="24" width="10.7109375" style="5" customWidth="1"/>
    <col min="25" max="25" width="0.85546875" style="54" customWidth="1"/>
    <col min="26" max="27" width="9.7109375" style="5" customWidth="1"/>
    <col min="28" max="30" width="10.7109375" style="5" customWidth="1"/>
    <col min="31" max="32" width="9.7109375" style="5" customWidth="1"/>
    <col min="33" max="35" width="10.7109375" style="5" customWidth="1"/>
    <col min="36" max="37" width="9.7109375" style="5" customWidth="1"/>
    <col min="38" max="40" width="10.7109375" style="5" customWidth="1"/>
    <col min="41" max="42" width="9.7109375" style="5" customWidth="1"/>
    <col min="43" max="45" width="10.7109375" style="5" customWidth="1"/>
    <col min="46" max="55" width="9.7109375" style="5" customWidth="1"/>
    <col min="56" max="16384" width="9.140625" style="5"/>
  </cols>
  <sheetData>
    <row r="1" spans="1:55" ht="12" customHeight="1" thickBot="1" x14ac:dyDescent="0.3">
      <c r="A1" s="480" t="s">
        <v>0</v>
      </c>
      <c r="B1" s="481"/>
      <c r="C1" s="482"/>
      <c r="D1" s="1" t="s">
        <v>1</v>
      </c>
      <c r="E1" s="2" t="s">
        <v>2</v>
      </c>
      <c r="F1" s="3" t="s">
        <v>3</v>
      </c>
      <c r="G1" s="4" t="s">
        <v>2</v>
      </c>
      <c r="L1" s="483" t="s">
        <v>4</v>
      </c>
      <c r="M1" s="486" t="str">
        <f>CONCATENATE($F$1," - Open, High, Low &amp; Close")</f>
        <v>BNF - Open, High, Low &amp; Close</v>
      </c>
      <c r="N1" s="487"/>
      <c r="O1" s="487"/>
      <c r="P1" s="487"/>
      <c r="Q1" s="487"/>
      <c r="R1" s="488"/>
      <c r="S1" s="486" t="str">
        <f>CONCATENATE($G$1," - Open, High, Low &amp; Close")</f>
        <v>Nifty - Open, High, Low &amp; Close</v>
      </c>
      <c r="T1" s="487"/>
      <c r="U1" s="487"/>
      <c r="V1" s="487"/>
      <c r="W1" s="487"/>
      <c r="X1" s="488"/>
      <c r="Y1" s="6"/>
      <c r="Z1" s="494" t="str">
        <f>CONCATENATE($F$1," - MM (Market Normalisation) with ATR (8) for IntraDay Trades")</f>
        <v>BNF - MM (Market Normalisation) with ATR (8) for IntraDay Trades</v>
      </c>
      <c r="AA1" s="472"/>
      <c r="AB1" s="472"/>
      <c r="AC1" s="472"/>
      <c r="AD1" s="473"/>
      <c r="AE1" s="474" t="str">
        <f>CONCATENATE($G$1," - MM (Market Normalisation) with ATR (8) for IntraDay Trades")</f>
        <v>Nifty - MM (Market Normalisation) with ATR (8) for IntraDay Trades</v>
      </c>
      <c r="AF1" s="475"/>
      <c r="AG1" s="475"/>
      <c r="AH1" s="475"/>
      <c r="AI1" s="476"/>
      <c r="AJ1" s="477" t="str">
        <f>CONCATENATE($F$1," - MM (Market Normalisation) with ATR (21) for Positional Trades")</f>
        <v>BNF - MM (Market Normalisation) with ATR (21) for Positional Trades</v>
      </c>
      <c r="AK1" s="478"/>
      <c r="AL1" s="478"/>
      <c r="AM1" s="478"/>
      <c r="AN1" s="479"/>
      <c r="AO1" s="491" t="str">
        <f>CONCATENATE($G$1," - MM (Market Normalisation) with ATR (21) for Positional Trades")</f>
        <v>Nifty - MM (Market Normalisation) with ATR (21) for Positional Trades</v>
      </c>
      <c r="AP1" s="492"/>
      <c r="AQ1" s="492"/>
      <c r="AR1" s="492"/>
      <c r="AS1" s="493"/>
      <c r="AT1" s="471" t="str">
        <f>CONCATENATE($F$1," - High-Low Range Average for ORB")</f>
        <v>BNF - High-Low Range Average for ORB</v>
      </c>
      <c r="AU1" s="472"/>
      <c r="AV1" s="472"/>
      <c r="AW1" s="472"/>
      <c r="AX1" s="473"/>
      <c r="AY1" s="474" t="str">
        <f>CONCATENATE($G$1," - High-Low Range Average for ORB")</f>
        <v>Nifty - High-Low Range Average for ORB</v>
      </c>
      <c r="AZ1" s="475"/>
      <c r="BA1" s="475"/>
      <c r="BB1" s="475"/>
      <c r="BC1" s="476"/>
    </row>
    <row r="2" spans="1:55" ht="57" customHeight="1" thickBot="1" x14ac:dyDescent="0.3">
      <c r="A2" s="462" t="s">
        <v>5</v>
      </c>
      <c r="B2" s="463"/>
      <c r="C2" s="464"/>
      <c r="D2" s="467" t="s">
        <v>6</v>
      </c>
      <c r="E2" s="468"/>
      <c r="F2" s="467" t="s">
        <v>7</v>
      </c>
      <c r="G2" s="468"/>
      <c r="L2" s="484"/>
      <c r="M2" s="469" t="s">
        <v>8</v>
      </c>
      <c r="N2" s="454" t="str">
        <f>CONCATENATE($F$1,"
Open")</f>
        <v>BNF
Open</v>
      </c>
      <c r="O2" s="454" t="str">
        <f>CONCATENATE($F$1,"
High")</f>
        <v>BNF
High</v>
      </c>
      <c r="P2" s="454" t="str">
        <f>CONCATENATE($F$1,"
Low")</f>
        <v>BNF
Low</v>
      </c>
      <c r="Q2" s="454" t="str">
        <f>CONCATENATE($F$1,"
Close")</f>
        <v>BNF
Close</v>
      </c>
      <c r="R2" s="446" t="str">
        <f>CONCATENATE($F$1,"
Volume")</f>
        <v>BNF
Volume</v>
      </c>
      <c r="S2" s="489" t="s">
        <v>8</v>
      </c>
      <c r="T2" s="442" t="str">
        <f>CONCATENATE($G$1,"
Open")</f>
        <v>Nifty
Open</v>
      </c>
      <c r="U2" s="442" t="str">
        <f>CONCATENATE($G$1,"
High")</f>
        <v>Nifty
High</v>
      </c>
      <c r="V2" s="442" t="str">
        <f>CONCATENATE($G$1,"
Low")</f>
        <v>Nifty
Low</v>
      </c>
      <c r="W2" s="442" t="str">
        <f>CONCATENATE($G$1,"
Close")</f>
        <v>Nifty
Close</v>
      </c>
      <c r="X2" s="450" t="str">
        <f>CONCATENATE($G$1,"
Volume")</f>
        <v>Nifty
Volume</v>
      </c>
      <c r="Y2" s="6"/>
      <c r="Z2" s="452" t="s">
        <v>9</v>
      </c>
      <c r="AA2" s="454" t="s">
        <v>12</v>
      </c>
      <c r="AB2" s="454" t="s">
        <v>11</v>
      </c>
      <c r="AC2" s="454" t="str">
        <f>CONCATENATE("Contract Risk
(Unit)
[",'Base Data'!$D$13,"N]")</f>
        <v>Contract Risk
(Unit)
[0.75N]</v>
      </c>
      <c r="AD2" s="446" t="str">
        <f>CONCATENATE("Max. Lots that can be Traded with a Unit of
Rs. ",'Base Data'!$D$7,"
[No. of Lots]")</f>
        <v>Max. Lots that can be Traded with a Unit of
Rs. 25000
[No. of Lots]</v>
      </c>
      <c r="AE2" s="448" t="s">
        <v>9</v>
      </c>
      <c r="AF2" s="442" t="s">
        <v>12</v>
      </c>
      <c r="AG2" s="442" t="s">
        <v>11</v>
      </c>
      <c r="AH2" s="442" t="str">
        <f>CONCATENATE("Contract Risk
(Unit)
[",'Base Data'!$D$13,"N]")</f>
        <v>Contract Risk
(Unit)
[0.75N]</v>
      </c>
      <c r="AI2" s="450" t="str">
        <f>CONCATENATE("Max. Lots that can be Traded with a Unit of
Rs. ",'Base Data'!$D$7,"
[No. of Lots]")</f>
        <v>Max. Lots that can be Traded with a Unit of
Rs. 25000
[No. of Lots]</v>
      </c>
      <c r="AJ2" s="452" t="s">
        <v>9</v>
      </c>
      <c r="AK2" s="454" t="s">
        <v>10</v>
      </c>
      <c r="AL2" s="454" t="s">
        <v>11</v>
      </c>
      <c r="AM2" s="454" t="str">
        <f>CONCATENATE("Contract Risk
(Unit)
[",'Base Data'!$D$10,"N]")</f>
        <v>Contract Risk
(Unit)
[2N]</v>
      </c>
      <c r="AN2" s="446" t="str">
        <f>CONCATENATE("Max. Lots that can be Traded with a Unit of
Rs. ",'Base Data'!$D$7,"
[No. of Lots]")</f>
        <v>Max. Lots that can be Traded with a Unit of
Rs. 25000
[No. of Lots]</v>
      </c>
      <c r="AO2" s="460" t="s">
        <v>9</v>
      </c>
      <c r="AP2" s="442" t="s">
        <v>10</v>
      </c>
      <c r="AQ2" s="442" t="s">
        <v>11</v>
      </c>
      <c r="AR2" s="442" t="str">
        <f>CONCATENATE("Contract Risk
(Unit)
[",'Base Data'!$D$10,"N]")</f>
        <v>Contract Risk
(Unit)
[2N]</v>
      </c>
      <c r="AS2" s="450" t="str">
        <f>CONCATENATE("Max. Lots that can be Traded with a Unit of
Rs. ",'Base Data'!$D$7,"
[No. of Lots]")</f>
        <v>Max. Lots that can be Traded with a Unit of
Rs. 25000
[No. of Lots]</v>
      </c>
      <c r="AT2" s="458" t="s">
        <v>13</v>
      </c>
      <c r="AU2" s="454" t="s">
        <v>14</v>
      </c>
      <c r="AV2" s="444" t="s">
        <v>15</v>
      </c>
      <c r="AW2" s="444" t="s">
        <v>16</v>
      </c>
      <c r="AX2" s="456" t="s">
        <v>17</v>
      </c>
      <c r="AY2" s="460" t="s">
        <v>13</v>
      </c>
      <c r="AZ2" s="442" t="s">
        <v>14</v>
      </c>
      <c r="BA2" s="444" t="s">
        <v>15</v>
      </c>
      <c r="BB2" s="444" t="s">
        <v>16</v>
      </c>
      <c r="BC2" s="456" t="s">
        <v>17</v>
      </c>
    </row>
    <row r="3" spans="1:55" ht="12" thickBot="1" x14ac:dyDescent="0.3">
      <c r="A3" s="465"/>
      <c r="B3" s="466"/>
      <c r="C3" s="466"/>
      <c r="D3" s="7" t="str">
        <f>$F$1</f>
        <v>BNF</v>
      </c>
      <c r="E3" s="8" t="str">
        <f>$G$1</f>
        <v>Nifty</v>
      </c>
      <c r="F3" s="9" t="str">
        <f>$F$1</f>
        <v>BNF</v>
      </c>
      <c r="G3" s="8" t="str">
        <f>$G$1</f>
        <v>Nifty</v>
      </c>
      <c r="L3" s="485"/>
      <c r="M3" s="470"/>
      <c r="N3" s="455"/>
      <c r="O3" s="455"/>
      <c r="P3" s="455"/>
      <c r="Q3" s="455"/>
      <c r="R3" s="447"/>
      <c r="S3" s="490"/>
      <c r="T3" s="443"/>
      <c r="U3" s="443"/>
      <c r="V3" s="443"/>
      <c r="W3" s="443"/>
      <c r="X3" s="451"/>
      <c r="Y3" s="10"/>
      <c r="Z3" s="453"/>
      <c r="AA3" s="455"/>
      <c r="AB3" s="455"/>
      <c r="AC3" s="455"/>
      <c r="AD3" s="447"/>
      <c r="AE3" s="449"/>
      <c r="AF3" s="443"/>
      <c r="AG3" s="443"/>
      <c r="AH3" s="443"/>
      <c r="AI3" s="451"/>
      <c r="AJ3" s="453"/>
      <c r="AK3" s="455"/>
      <c r="AL3" s="455"/>
      <c r="AM3" s="455"/>
      <c r="AN3" s="447"/>
      <c r="AO3" s="461"/>
      <c r="AP3" s="443"/>
      <c r="AQ3" s="443"/>
      <c r="AR3" s="443"/>
      <c r="AS3" s="451"/>
      <c r="AT3" s="459"/>
      <c r="AU3" s="455"/>
      <c r="AV3" s="445"/>
      <c r="AW3" s="445"/>
      <c r="AX3" s="457"/>
      <c r="AY3" s="461"/>
      <c r="AZ3" s="443"/>
      <c r="BA3" s="445"/>
      <c r="BB3" s="445"/>
      <c r="BC3" s="457"/>
    </row>
    <row r="4" spans="1:55" x14ac:dyDescent="0.25">
      <c r="A4" s="438" t="s">
        <v>18</v>
      </c>
      <c r="B4" s="439"/>
      <c r="C4" s="439"/>
      <c r="D4" s="11">
        <f>VLOOKUP(D5,[1]NOW!$A:$O,3,FALSE)</f>
        <v>17551</v>
      </c>
      <c r="E4" s="12">
        <f>VLOOKUP(E5,[1]NOW!$A:$O,3,FALSE)</f>
        <v>8183.2</v>
      </c>
      <c r="F4" s="13">
        <f>VLOOKUP(D1,'[2]Margin - NSE Fut (5Paisa)'!$A:$K,2,FALSE)</f>
        <v>30</v>
      </c>
      <c r="G4" s="14">
        <f>VLOOKUP(E1,'[2]Margin - NSE Fut (5Paisa)'!$A:$K,2,FALSE)</f>
        <v>75</v>
      </c>
      <c r="L4" s="15">
        <v>1</v>
      </c>
      <c r="M4" s="16">
        <f>'[3]BANKNIFTY-I'!B302</f>
        <v>42452</v>
      </c>
      <c r="N4" s="17">
        <f>'[3]BANKNIFTY-I'!D302</f>
        <v>15952.6504</v>
      </c>
      <c r="O4" s="17">
        <f>'[3]BANKNIFTY-I'!E302</f>
        <v>15963</v>
      </c>
      <c r="P4" s="17">
        <f>'[3]BANKNIFTY-I'!F302</f>
        <v>15810</v>
      </c>
      <c r="Q4" s="17">
        <f>'[3]BANKNIFTY-I'!G302</f>
        <v>15936.200199999999</v>
      </c>
      <c r="R4" s="18">
        <f>'[3]BANKNIFTY-I'!I302</f>
        <v>2820750</v>
      </c>
      <c r="S4" s="19">
        <f>'[4]NIFTY-I'!B302</f>
        <v>42452</v>
      </c>
      <c r="T4" s="20">
        <f>'[4]NIFTY-I'!D302</f>
        <v>7696.6499000000003</v>
      </c>
      <c r="U4" s="20">
        <f>'[4]NIFTY-I'!E302</f>
        <v>7746.5497999999998</v>
      </c>
      <c r="V4" s="20">
        <f>'[4]NIFTY-I'!F302</f>
        <v>7678.2002000000002</v>
      </c>
      <c r="W4" s="20">
        <f>'[4]NIFTY-I'!G302</f>
        <v>7736.2997999999998</v>
      </c>
      <c r="X4" s="21">
        <f>'[4]NIFTY-I'!I302</f>
        <v>12288900</v>
      </c>
      <c r="Y4" s="22"/>
      <c r="Z4" s="23">
        <v>0</v>
      </c>
      <c r="AA4" s="17">
        <v>0</v>
      </c>
      <c r="AB4" s="17">
        <v>0</v>
      </c>
      <c r="AC4" s="17">
        <v>0</v>
      </c>
      <c r="AD4" s="27" t="s">
        <v>19</v>
      </c>
      <c r="AE4" s="26">
        <v>0</v>
      </c>
      <c r="AF4" s="20">
        <v>0</v>
      </c>
      <c r="AG4" s="20">
        <v>0</v>
      </c>
      <c r="AH4" s="20">
        <v>0</v>
      </c>
      <c r="AI4" s="28" t="s">
        <v>19</v>
      </c>
      <c r="AJ4" s="23">
        <v>0</v>
      </c>
      <c r="AK4" s="17">
        <v>0</v>
      </c>
      <c r="AL4" s="17">
        <v>0</v>
      </c>
      <c r="AM4" s="17">
        <v>0</v>
      </c>
      <c r="AN4" s="27" t="s">
        <v>19</v>
      </c>
      <c r="AO4" s="24">
        <v>0</v>
      </c>
      <c r="AP4" s="20">
        <v>0</v>
      </c>
      <c r="AQ4" s="20">
        <v>0</v>
      </c>
      <c r="AR4" s="20">
        <v>0</v>
      </c>
      <c r="AS4" s="28" t="s">
        <v>19</v>
      </c>
      <c r="AT4" s="25">
        <f t="shared" ref="AT4:AT35" si="0">(O4-P4)</f>
        <v>153</v>
      </c>
      <c r="AU4" s="29">
        <f t="shared" ref="AU4:AU35" si="1">AT4/N4</f>
        <v>9.5908827789518911E-3</v>
      </c>
      <c r="AV4" s="29">
        <v>0</v>
      </c>
      <c r="AW4" s="29">
        <v>0</v>
      </c>
      <c r="AX4" s="30">
        <v>0</v>
      </c>
      <c r="AY4" s="31">
        <f t="shared" ref="AY4:AY35" si="2">(U4-V4)</f>
        <v>68.349599999999555</v>
      </c>
      <c r="AZ4" s="32">
        <f t="shared" ref="AZ4:AZ35" si="3">AY4/T4</f>
        <v>8.8804351098261021E-3</v>
      </c>
      <c r="BA4" s="32">
        <v>0</v>
      </c>
      <c r="BB4" s="32">
        <v>0</v>
      </c>
      <c r="BC4" s="33">
        <v>0</v>
      </c>
    </row>
    <row r="5" spans="1:55" ht="12" thickBot="1" x14ac:dyDescent="0.3">
      <c r="A5" s="440" t="s">
        <v>20</v>
      </c>
      <c r="B5" s="441"/>
      <c r="C5" s="441"/>
      <c r="D5" s="34" t="str">
        <f>CONCATENATE($D$1,$F$5)</f>
        <v>BankNifty16JunFut</v>
      </c>
      <c r="E5" s="35" t="str">
        <f>CONCATENATE($E$1,$F$5)</f>
        <v>Nifty16JunFut</v>
      </c>
      <c r="F5" s="36" t="str">
        <f>'Base Data'!$D$1</f>
        <v>16JunFut</v>
      </c>
      <c r="G5" s="35"/>
      <c r="L5" s="37">
        <f>L4+1</f>
        <v>2</v>
      </c>
      <c r="M5" s="16">
        <f>'[3]BANKNIFTY-I'!B303</f>
        <v>42457</v>
      </c>
      <c r="N5" s="17">
        <f>'[3]BANKNIFTY-I'!D303</f>
        <v>15890.0996</v>
      </c>
      <c r="O5" s="17">
        <f>'[3]BANKNIFTY-I'!E303</f>
        <v>15909.5996</v>
      </c>
      <c r="P5" s="17">
        <f>'[3]BANKNIFTY-I'!F303</f>
        <v>15569.950199999999</v>
      </c>
      <c r="Q5" s="17">
        <f>'[3]BANKNIFTY-I'!G303</f>
        <v>15666.700199999999</v>
      </c>
      <c r="R5" s="18">
        <f>'[3]BANKNIFTY-I'!I303</f>
        <v>3251880</v>
      </c>
      <c r="S5" s="19">
        <f>'[4]NIFTY-I'!B303</f>
        <v>42457</v>
      </c>
      <c r="T5" s="20">
        <f>'[4]NIFTY-I'!D303</f>
        <v>7715.25</v>
      </c>
      <c r="U5" s="20">
        <f>'[4]NIFTY-I'!E303</f>
        <v>7730.4502000000002</v>
      </c>
      <c r="V5" s="20">
        <f>'[4]NIFTY-I'!F303</f>
        <v>7611.5</v>
      </c>
      <c r="W5" s="20">
        <f>'[4]NIFTY-I'!G303</f>
        <v>7638.6000999999997</v>
      </c>
      <c r="X5" s="21">
        <f>'[4]NIFTY-I'!I303</f>
        <v>15136500</v>
      </c>
      <c r="Y5" s="22"/>
      <c r="Z5" s="42">
        <f t="shared" ref="Z5:Z36" si="4">MAX(O5-P5,ABS(O5-Q4),ABS(Q4-P5))</f>
        <v>366.25</v>
      </c>
      <c r="AA5" s="47">
        <v>0</v>
      </c>
      <c r="AB5" s="47">
        <v>0</v>
      </c>
      <c r="AC5" s="47">
        <v>0</v>
      </c>
      <c r="AD5" s="51" t="s">
        <v>19</v>
      </c>
      <c r="AE5" s="48">
        <f t="shared" ref="AE5:AE36" si="5">MAX(U5-V5,ABS(U5-W4),ABS(W4-V5))</f>
        <v>124.79979999999978</v>
      </c>
      <c r="AF5" s="49">
        <v>0</v>
      </c>
      <c r="AG5" s="49">
        <v>0</v>
      </c>
      <c r="AH5" s="49">
        <v>0</v>
      </c>
      <c r="AI5" s="50" t="s">
        <v>19</v>
      </c>
      <c r="AJ5" s="42">
        <f t="shared" ref="AJ5:AJ36" si="6">MAX(O5-P5,ABS(O5-Q4),ABS(Q4-P5))</f>
        <v>366.25</v>
      </c>
      <c r="AK5" s="47">
        <v>0</v>
      </c>
      <c r="AL5" s="47">
        <v>0</v>
      </c>
      <c r="AM5" s="47">
        <v>0</v>
      </c>
      <c r="AN5" s="43">
        <v>0</v>
      </c>
      <c r="AO5" s="44">
        <f t="shared" ref="AO5:AO36" si="7">MAX(U5-V5,ABS(U5-W4),ABS(W4-V5))</f>
        <v>124.79979999999978</v>
      </c>
      <c r="AP5" s="49">
        <v>0</v>
      </c>
      <c r="AQ5" s="49">
        <v>0</v>
      </c>
      <c r="AR5" s="49">
        <v>0</v>
      </c>
      <c r="AS5" s="50" t="s">
        <v>19</v>
      </c>
      <c r="AT5" s="46">
        <f t="shared" si="0"/>
        <v>339.64940000000024</v>
      </c>
      <c r="AU5" s="39">
        <f t="shared" si="1"/>
        <v>2.1374906926322868E-2</v>
      </c>
      <c r="AV5" s="39">
        <v>0</v>
      </c>
      <c r="AW5" s="39">
        <v>0</v>
      </c>
      <c r="AX5" s="40">
        <v>0</v>
      </c>
      <c r="AY5" s="52">
        <f t="shared" si="2"/>
        <v>118.95020000000022</v>
      </c>
      <c r="AZ5" s="41">
        <f t="shared" si="3"/>
        <v>1.5417543177473216E-2</v>
      </c>
      <c r="BA5" s="41">
        <v>0</v>
      </c>
      <c r="BB5" s="41">
        <v>0</v>
      </c>
      <c r="BC5" s="38">
        <v>0</v>
      </c>
    </row>
    <row r="6" spans="1:55" x14ac:dyDescent="0.25">
      <c r="A6" s="53"/>
      <c r="B6" s="53"/>
      <c r="C6" s="53"/>
      <c r="D6" s="53"/>
      <c r="E6" s="53"/>
      <c r="F6" s="53"/>
      <c r="G6" s="54"/>
      <c r="L6" s="37">
        <f t="shared" ref="L6:L63" si="8">L5+1</f>
        <v>3</v>
      </c>
      <c r="M6" s="16">
        <f>'[3]BANKNIFTY-I'!B304</f>
        <v>42458</v>
      </c>
      <c r="N6" s="17">
        <f>'[3]BANKNIFTY-I'!D304</f>
        <v>15640</v>
      </c>
      <c r="O6" s="17">
        <f>'[3]BANKNIFTY-I'!E304</f>
        <v>15827</v>
      </c>
      <c r="P6" s="17">
        <f>'[3]BANKNIFTY-I'!F304</f>
        <v>15622.950199999999</v>
      </c>
      <c r="Q6" s="17">
        <f>'[3]BANKNIFTY-I'!G304</f>
        <v>15714.5</v>
      </c>
      <c r="R6" s="18">
        <f>'[3]BANKNIFTY-I'!I304</f>
        <v>3241470</v>
      </c>
      <c r="S6" s="19">
        <f>'[4]NIFTY-I'!B304</f>
        <v>42458</v>
      </c>
      <c r="T6" s="20">
        <f>'[4]NIFTY-I'!D304</f>
        <v>7629</v>
      </c>
      <c r="U6" s="20">
        <f>'[4]NIFTY-I'!E304</f>
        <v>7674.8999000000003</v>
      </c>
      <c r="V6" s="20">
        <f>'[4]NIFTY-I'!F304</f>
        <v>7597.5</v>
      </c>
      <c r="W6" s="20">
        <f>'[4]NIFTY-I'!G304</f>
        <v>7620.0497999999998</v>
      </c>
      <c r="X6" s="21">
        <f>'[4]NIFTY-I'!I304</f>
        <v>17362800</v>
      </c>
      <c r="Y6" s="22"/>
      <c r="Z6" s="42">
        <f t="shared" si="4"/>
        <v>204.04980000000069</v>
      </c>
      <c r="AA6" s="47">
        <v>0</v>
      </c>
      <c r="AB6" s="47">
        <v>0</v>
      </c>
      <c r="AC6" s="47">
        <v>0</v>
      </c>
      <c r="AD6" s="51" t="s">
        <v>19</v>
      </c>
      <c r="AE6" s="48">
        <f t="shared" si="5"/>
        <v>77.399900000000343</v>
      </c>
      <c r="AF6" s="49">
        <v>0</v>
      </c>
      <c r="AG6" s="49">
        <v>0</v>
      </c>
      <c r="AH6" s="49">
        <v>0</v>
      </c>
      <c r="AI6" s="50" t="s">
        <v>19</v>
      </c>
      <c r="AJ6" s="42">
        <f t="shared" si="6"/>
        <v>204.04980000000069</v>
      </c>
      <c r="AK6" s="47">
        <v>0</v>
      </c>
      <c r="AL6" s="47">
        <v>0</v>
      </c>
      <c r="AM6" s="47">
        <v>0</v>
      </c>
      <c r="AN6" s="43">
        <v>0</v>
      </c>
      <c r="AO6" s="44">
        <f t="shared" si="7"/>
        <v>77.399900000000343</v>
      </c>
      <c r="AP6" s="49">
        <v>0</v>
      </c>
      <c r="AQ6" s="49">
        <v>0</v>
      </c>
      <c r="AR6" s="49">
        <v>0</v>
      </c>
      <c r="AS6" s="50" t="s">
        <v>19</v>
      </c>
      <c r="AT6" s="46">
        <f t="shared" si="0"/>
        <v>204.04980000000069</v>
      </c>
      <c r="AU6" s="39">
        <f t="shared" si="1"/>
        <v>1.3046662404092116E-2</v>
      </c>
      <c r="AV6" s="39">
        <v>0</v>
      </c>
      <c r="AW6" s="39">
        <v>0</v>
      </c>
      <c r="AX6" s="40">
        <v>0</v>
      </c>
      <c r="AY6" s="52">
        <f t="shared" si="2"/>
        <v>77.399900000000343</v>
      </c>
      <c r="AZ6" s="41">
        <f t="shared" si="3"/>
        <v>1.0145484336086032E-2</v>
      </c>
      <c r="BA6" s="41">
        <v>0</v>
      </c>
      <c r="BB6" s="41">
        <v>0</v>
      </c>
      <c r="BC6" s="38">
        <v>0</v>
      </c>
    </row>
    <row r="7" spans="1:55" x14ac:dyDescent="0.25">
      <c r="A7" s="54"/>
      <c r="B7" s="54"/>
      <c r="C7" s="54"/>
      <c r="D7" s="54"/>
      <c r="E7" s="54"/>
      <c r="F7" s="54"/>
      <c r="G7" s="54"/>
      <c r="H7" s="54"/>
      <c r="I7" s="54"/>
      <c r="J7" s="54"/>
      <c r="K7" s="55"/>
      <c r="L7" s="37">
        <f t="shared" si="8"/>
        <v>4</v>
      </c>
      <c r="M7" s="16">
        <f>'[3]BANKNIFTY-I'!B305</f>
        <v>42459</v>
      </c>
      <c r="N7" s="17">
        <f>'[3]BANKNIFTY-I'!D305</f>
        <v>15879</v>
      </c>
      <c r="O7" s="17">
        <f>'[3]BANKNIFTY-I'!E305</f>
        <v>16179</v>
      </c>
      <c r="P7" s="17">
        <f>'[3]BANKNIFTY-I'!F305</f>
        <v>15784.25</v>
      </c>
      <c r="Q7" s="17">
        <f>'[3]BANKNIFTY-I'!G305</f>
        <v>16147.4004</v>
      </c>
      <c r="R7" s="18">
        <f>'[3]BANKNIFTY-I'!I305</f>
        <v>3788970</v>
      </c>
      <c r="S7" s="19">
        <f>'[4]NIFTY-I'!B305</f>
        <v>42459</v>
      </c>
      <c r="T7" s="20">
        <f>'[4]NIFTY-I'!D305</f>
        <v>7674.4502000000002</v>
      </c>
      <c r="U7" s="20">
        <f>'[4]NIFTY-I'!E305</f>
        <v>7749</v>
      </c>
      <c r="V7" s="20">
        <f>'[4]NIFTY-I'!F305</f>
        <v>7651.1000999999997</v>
      </c>
      <c r="W7" s="20">
        <f>'[4]NIFTY-I'!G305</f>
        <v>7741</v>
      </c>
      <c r="X7" s="21">
        <f>'[4]NIFTY-I'!I305</f>
        <v>14385975</v>
      </c>
      <c r="Y7" s="22"/>
      <c r="Z7" s="42">
        <f t="shared" si="4"/>
        <v>464.5</v>
      </c>
      <c r="AA7" s="47">
        <v>0</v>
      </c>
      <c r="AB7" s="47">
        <v>0</v>
      </c>
      <c r="AC7" s="47">
        <v>0</v>
      </c>
      <c r="AD7" s="51" t="s">
        <v>19</v>
      </c>
      <c r="AE7" s="48">
        <f t="shared" si="5"/>
        <v>128.95020000000022</v>
      </c>
      <c r="AF7" s="49">
        <v>0</v>
      </c>
      <c r="AG7" s="49">
        <v>0</v>
      </c>
      <c r="AH7" s="49">
        <v>0</v>
      </c>
      <c r="AI7" s="50" t="s">
        <v>19</v>
      </c>
      <c r="AJ7" s="42">
        <f t="shared" si="6"/>
        <v>464.5</v>
      </c>
      <c r="AK7" s="47">
        <v>0</v>
      </c>
      <c r="AL7" s="47">
        <v>0</v>
      </c>
      <c r="AM7" s="47">
        <v>0</v>
      </c>
      <c r="AN7" s="43">
        <v>0</v>
      </c>
      <c r="AO7" s="44">
        <f t="shared" si="7"/>
        <v>128.95020000000022</v>
      </c>
      <c r="AP7" s="49">
        <v>0</v>
      </c>
      <c r="AQ7" s="49">
        <v>0</v>
      </c>
      <c r="AR7" s="49">
        <v>0</v>
      </c>
      <c r="AS7" s="50" t="s">
        <v>19</v>
      </c>
      <c r="AT7" s="46">
        <f t="shared" si="0"/>
        <v>394.75</v>
      </c>
      <c r="AU7" s="39">
        <f t="shared" si="1"/>
        <v>2.4859877826059574E-2</v>
      </c>
      <c r="AV7" s="39">
        <v>0</v>
      </c>
      <c r="AW7" s="39">
        <v>0</v>
      </c>
      <c r="AX7" s="40">
        <v>0</v>
      </c>
      <c r="AY7" s="52">
        <f t="shared" si="2"/>
        <v>97.899900000000343</v>
      </c>
      <c r="AZ7" s="41">
        <f t="shared" si="3"/>
        <v>1.2756601117823443E-2</v>
      </c>
      <c r="BA7" s="41">
        <v>0</v>
      </c>
      <c r="BB7" s="41">
        <v>0</v>
      </c>
      <c r="BC7" s="38">
        <v>0</v>
      </c>
    </row>
    <row r="8" spans="1:55" ht="12" customHeight="1" x14ac:dyDescent="0.25">
      <c r="A8" s="54"/>
      <c r="B8" s="54"/>
      <c r="C8" s="54"/>
      <c r="D8" s="54"/>
      <c r="E8" s="54"/>
      <c r="F8" s="54"/>
      <c r="G8" s="54"/>
      <c r="H8" s="54"/>
      <c r="I8" s="54"/>
      <c r="J8" s="54"/>
      <c r="K8" s="55"/>
      <c r="L8" s="37">
        <f t="shared" si="8"/>
        <v>5</v>
      </c>
      <c r="M8" s="16">
        <f>'[3]BANKNIFTY-I'!B306</f>
        <v>42460</v>
      </c>
      <c r="N8" s="17">
        <f>'[3]BANKNIFTY-I'!D306</f>
        <v>16100</v>
      </c>
      <c r="O8" s="17">
        <f>'[3]BANKNIFTY-I'!E306</f>
        <v>16293.950199999999</v>
      </c>
      <c r="P8" s="17">
        <f>'[3]BANKNIFTY-I'!F306</f>
        <v>16079.5996</v>
      </c>
      <c r="Q8" s="17">
        <f>'[3]BANKNIFTY-I'!G306</f>
        <v>16148.5996</v>
      </c>
      <c r="R8" s="18">
        <f>'[3]BANKNIFTY-I'!I306</f>
        <v>3388920</v>
      </c>
      <c r="S8" s="19">
        <f>'[4]NIFTY-I'!B306</f>
        <v>42460</v>
      </c>
      <c r="T8" s="20">
        <f>'[4]NIFTY-I'!D306</f>
        <v>7734.9502000000002</v>
      </c>
      <c r="U8" s="20">
        <f>'[4]NIFTY-I'!E306</f>
        <v>7778.9502000000002</v>
      </c>
      <c r="V8" s="20">
        <f>'[4]NIFTY-I'!F306</f>
        <v>7718.2997999999998</v>
      </c>
      <c r="W8" s="20">
        <f>'[4]NIFTY-I'!G306</f>
        <v>7740.2002000000002</v>
      </c>
      <c r="X8" s="21">
        <f>'[4]NIFTY-I'!I306</f>
        <v>18968400</v>
      </c>
      <c r="Y8" s="22"/>
      <c r="Z8" s="42">
        <f t="shared" si="4"/>
        <v>214.35059999999976</v>
      </c>
      <c r="AA8" s="47">
        <v>0</v>
      </c>
      <c r="AB8" s="47">
        <v>0</v>
      </c>
      <c r="AC8" s="47">
        <v>0</v>
      </c>
      <c r="AD8" s="51" t="s">
        <v>19</v>
      </c>
      <c r="AE8" s="48">
        <f t="shared" si="5"/>
        <v>60.650400000000445</v>
      </c>
      <c r="AF8" s="49">
        <v>0</v>
      </c>
      <c r="AG8" s="49">
        <v>0</v>
      </c>
      <c r="AH8" s="49">
        <v>0</v>
      </c>
      <c r="AI8" s="50" t="s">
        <v>19</v>
      </c>
      <c r="AJ8" s="42">
        <f t="shared" si="6"/>
        <v>214.35059999999976</v>
      </c>
      <c r="AK8" s="47">
        <v>0</v>
      </c>
      <c r="AL8" s="47">
        <v>0</v>
      </c>
      <c r="AM8" s="47">
        <v>0</v>
      </c>
      <c r="AN8" s="43">
        <v>0</v>
      </c>
      <c r="AO8" s="44">
        <f t="shared" si="7"/>
        <v>60.650400000000445</v>
      </c>
      <c r="AP8" s="49">
        <v>0</v>
      </c>
      <c r="AQ8" s="49">
        <v>0</v>
      </c>
      <c r="AR8" s="49">
        <v>0</v>
      </c>
      <c r="AS8" s="50" t="s">
        <v>19</v>
      </c>
      <c r="AT8" s="46">
        <f t="shared" si="0"/>
        <v>214.35059999999976</v>
      </c>
      <c r="AU8" s="39">
        <f t="shared" si="1"/>
        <v>1.3313701863354023E-2</v>
      </c>
      <c r="AV8" s="39">
        <v>0</v>
      </c>
      <c r="AW8" s="39">
        <v>0</v>
      </c>
      <c r="AX8" s="40">
        <v>0</v>
      </c>
      <c r="AY8" s="52">
        <f t="shared" si="2"/>
        <v>60.650400000000445</v>
      </c>
      <c r="AZ8" s="41">
        <f t="shared" si="3"/>
        <v>7.8410847428598118E-3</v>
      </c>
      <c r="BA8" s="41">
        <v>0</v>
      </c>
      <c r="BB8" s="41">
        <v>0</v>
      </c>
      <c r="BC8" s="38">
        <v>0</v>
      </c>
    </row>
    <row r="9" spans="1:55" x14ac:dyDescent="0.25">
      <c r="A9" s="54"/>
      <c r="B9" s="54"/>
      <c r="C9" s="54"/>
      <c r="D9" s="54"/>
      <c r="E9" s="54"/>
      <c r="F9" s="54"/>
      <c r="G9" s="54"/>
      <c r="H9" s="54"/>
      <c r="I9" s="54"/>
      <c r="J9" s="54"/>
      <c r="K9" s="55"/>
      <c r="L9" s="37">
        <f t="shared" si="8"/>
        <v>6</v>
      </c>
      <c r="M9" s="16">
        <f>'[3]BANKNIFTY-I'!B307</f>
        <v>42461</v>
      </c>
      <c r="N9" s="17">
        <f>'[3]BANKNIFTY-I'!D307</f>
        <v>16200</v>
      </c>
      <c r="O9" s="17">
        <f>'[3]BANKNIFTY-I'!E307</f>
        <v>16320</v>
      </c>
      <c r="P9" s="17">
        <f>'[3]BANKNIFTY-I'!F307</f>
        <v>16088</v>
      </c>
      <c r="Q9" s="17">
        <f>'[3]BANKNIFTY-I'!G307</f>
        <v>16253.1504</v>
      </c>
      <c r="R9" s="18">
        <f>'[3]BANKNIFTY-I'!I307</f>
        <v>2962320</v>
      </c>
      <c r="S9" s="19">
        <f>'[4]NIFTY-I'!B307</f>
        <v>42461</v>
      </c>
      <c r="T9" s="20">
        <f>'[4]NIFTY-I'!D307</f>
        <v>7754.8500999999997</v>
      </c>
      <c r="U9" s="20">
        <f>'[4]NIFTY-I'!E307</f>
        <v>7772.6000999999997</v>
      </c>
      <c r="V9" s="20">
        <f>'[4]NIFTY-I'!F307</f>
        <v>7704.1000999999997</v>
      </c>
      <c r="W9" s="20">
        <f>'[4]NIFTY-I'!G307</f>
        <v>7748.75</v>
      </c>
      <c r="X9" s="21">
        <f>'[4]NIFTY-I'!I307</f>
        <v>13695225</v>
      </c>
      <c r="Y9" s="22"/>
      <c r="Z9" s="42">
        <f t="shared" si="4"/>
        <v>232</v>
      </c>
      <c r="AA9" s="47">
        <v>0</v>
      </c>
      <c r="AB9" s="47">
        <v>0</v>
      </c>
      <c r="AC9" s="47">
        <v>0</v>
      </c>
      <c r="AD9" s="51" t="s">
        <v>19</v>
      </c>
      <c r="AE9" s="48">
        <f t="shared" si="5"/>
        <v>68.5</v>
      </c>
      <c r="AF9" s="49">
        <v>0</v>
      </c>
      <c r="AG9" s="49">
        <v>0</v>
      </c>
      <c r="AH9" s="49">
        <v>0</v>
      </c>
      <c r="AI9" s="50" t="s">
        <v>19</v>
      </c>
      <c r="AJ9" s="42">
        <f t="shared" si="6"/>
        <v>232</v>
      </c>
      <c r="AK9" s="47">
        <v>0</v>
      </c>
      <c r="AL9" s="47">
        <v>0</v>
      </c>
      <c r="AM9" s="47">
        <v>0</v>
      </c>
      <c r="AN9" s="43">
        <v>0</v>
      </c>
      <c r="AO9" s="44">
        <f t="shared" si="7"/>
        <v>68.5</v>
      </c>
      <c r="AP9" s="49">
        <v>0</v>
      </c>
      <c r="AQ9" s="49">
        <v>0</v>
      </c>
      <c r="AR9" s="49">
        <v>0</v>
      </c>
      <c r="AS9" s="50" t="s">
        <v>19</v>
      </c>
      <c r="AT9" s="46">
        <f t="shared" si="0"/>
        <v>232</v>
      </c>
      <c r="AU9" s="39">
        <f t="shared" si="1"/>
        <v>1.4320987654320988E-2</v>
      </c>
      <c r="AV9" s="39">
        <v>0</v>
      </c>
      <c r="AW9" s="39">
        <v>0</v>
      </c>
      <c r="AX9" s="40">
        <v>0</v>
      </c>
      <c r="AY9" s="52">
        <f t="shared" si="2"/>
        <v>68.5</v>
      </c>
      <c r="AZ9" s="41">
        <f t="shared" si="3"/>
        <v>8.8331817013458467E-3</v>
      </c>
      <c r="BA9" s="41">
        <v>0</v>
      </c>
      <c r="BB9" s="41">
        <v>0</v>
      </c>
      <c r="BC9" s="38">
        <v>0</v>
      </c>
    </row>
    <row r="10" spans="1:55" x14ac:dyDescent="0.25">
      <c r="A10" s="54"/>
      <c r="B10" s="54"/>
      <c r="C10" s="54"/>
      <c r="D10" s="54"/>
      <c r="E10" s="54"/>
      <c r="F10" s="54"/>
      <c r="G10" s="54"/>
      <c r="H10" s="54"/>
      <c r="I10" s="54"/>
      <c r="J10" s="54"/>
      <c r="K10" s="55"/>
      <c r="L10" s="37">
        <f t="shared" si="8"/>
        <v>7</v>
      </c>
      <c r="M10" s="16">
        <f>'[3]BANKNIFTY-I'!B308</f>
        <v>42464</v>
      </c>
      <c r="N10" s="17">
        <f>'[3]BANKNIFTY-I'!D308</f>
        <v>16306.950199999999</v>
      </c>
      <c r="O10" s="17">
        <f>'[3]BANKNIFTY-I'!E308</f>
        <v>16341.6504</v>
      </c>
      <c r="P10" s="17">
        <f>'[3]BANKNIFTY-I'!F308</f>
        <v>16126</v>
      </c>
      <c r="Q10" s="17">
        <f>'[3]BANKNIFTY-I'!G308</f>
        <v>16257.9004</v>
      </c>
      <c r="R10" s="18">
        <f>'[3]BANKNIFTY-I'!I308</f>
        <v>2216460</v>
      </c>
      <c r="S10" s="19">
        <f>'[4]NIFTY-I'!B308</f>
        <v>42464</v>
      </c>
      <c r="T10" s="20">
        <f>'[4]NIFTY-I'!D308</f>
        <v>7778</v>
      </c>
      <c r="U10" s="20">
        <f>'[4]NIFTY-I'!E308</f>
        <v>7809.8999000000003</v>
      </c>
      <c r="V10" s="20">
        <f>'[4]NIFTY-I'!F308</f>
        <v>7737</v>
      </c>
      <c r="W10" s="20">
        <f>'[4]NIFTY-I'!G308</f>
        <v>7790.75</v>
      </c>
      <c r="X10" s="21">
        <f>'[4]NIFTY-I'!I308</f>
        <v>8339175</v>
      </c>
      <c r="Y10" s="22"/>
      <c r="Z10" s="42">
        <f t="shared" si="4"/>
        <v>215.65040000000045</v>
      </c>
      <c r="AA10" s="47">
        <v>0</v>
      </c>
      <c r="AB10" s="47">
        <v>0</v>
      </c>
      <c r="AC10" s="47">
        <v>0</v>
      </c>
      <c r="AD10" s="51" t="s">
        <v>19</v>
      </c>
      <c r="AE10" s="48">
        <f t="shared" si="5"/>
        <v>72.899900000000343</v>
      </c>
      <c r="AF10" s="49">
        <v>0</v>
      </c>
      <c r="AG10" s="49">
        <v>0</v>
      </c>
      <c r="AH10" s="49">
        <v>0</v>
      </c>
      <c r="AI10" s="50" t="s">
        <v>19</v>
      </c>
      <c r="AJ10" s="42">
        <f t="shared" si="6"/>
        <v>215.65040000000045</v>
      </c>
      <c r="AK10" s="47">
        <v>0</v>
      </c>
      <c r="AL10" s="47">
        <v>0</v>
      </c>
      <c r="AM10" s="47">
        <v>0</v>
      </c>
      <c r="AN10" s="43">
        <v>0</v>
      </c>
      <c r="AO10" s="44">
        <f t="shared" si="7"/>
        <v>72.899900000000343</v>
      </c>
      <c r="AP10" s="49">
        <v>0</v>
      </c>
      <c r="AQ10" s="49">
        <v>0</v>
      </c>
      <c r="AR10" s="49">
        <v>0</v>
      </c>
      <c r="AS10" s="50" t="s">
        <v>19</v>
      </c>
      <c r="AT10" s="46">
        <f t="shared" si="0"/>
        <v>215.65040000000045</v>
      </c>
      <c r="AU10" s="39">
        <f t="shared" si="1"/>
        <v>1.3224447082692412E-2</v>
      </c>
      <c r="AV10" s="39">
        <v>0</v>
      </c>
      <c r="AW10" s="39">
        <v>0</v>
      </c>
      <c r="AX10" s="40">
        <v>0</v>
      </c>
      <c r="AY10" s="52">
        <f t="shared" si="2"/>
        <v>72.899900000000343</v>
      </c>
      <c r="AZ10" s="41">
        <f t="shared" si="3"/>
        <v>9.3725764978143927E-3</v>
      </c>
      <c r="BA10" s="41">
        <v>0</v>
      </c>
      <c r="BB10" s="41">
        <v>0</v>
      </c>
      <c r="BC10" s="38">
        <v>0</v>
      </c>
    </row>
    <row r="11" spans="1:55" x14ac:dyDescent="0.25">
      <c r="A11" s="54"/>
      <c r="B11" s="54"/>
      <c r="C11" s="54"/>
      <c r="D11" s="54"/>
      <c r="E11" s="54"/>
      <c r="F11" s="54"/>
      <c r="G11" s="54"/>
      <c r="H11" s="54"/>
      <c r="I11" s="54"/>
      <c r="J11" s="54"/>
      <c r="K11" s="55"/>
      <c r="L11" s="37">
        <f t="shared" si="8"/>
        <v>8</v>
      </c>
      <c r="M11" s="16">
        <f>'[3]BANKNIFTY-I'!B309</f>
        <v>42465</v>
      </c>
      <c r="N11" s="17">
        <f>'[3]BANKNIFTY-I'!D309</f>
        <v>16143</v>
      </c>
      <c r="O11" s="17">
        <f>'[3]BANKNIFTY-I'!E309</f>
        <v>16261.549800000001</v>
      </c>
      <c r="P11" s="17">
        <f>'[3]BANKNIFTY-I'!F309</f>
        <v>15692.200199999999</v>
      </c>
      <c r="Q11" s="17">
        <f>'[3]BANKNIFTY-I'!G309</f>
        <v>15732.5996</v>
      </c>
      <c r="R11" s="18">
        <f>'[3]BANKNIFTY-I'!I309</f>
        <v>5677440</v>
      </c>
      <c r="S11" s="19">
        <f>'[4]NIFTY-I'!B309</f>
        <v>42465</v>
      </c>
      <c r="T11" s="20">
        <f>'[4]NIFTY-I'!D309</f>
        <v>7735</v>
      </c>
      <c r="U11" s="20">
        <f>'[4]NIFTY-I'!E309</f>
        <v>7759.5</v>
      </c>
      <c r="V11" s="20">
        <f>'[4]NIFTY-I'!F309</f>
        <v>7609.9502000000002</v>
      </c>
      <c r="W11" s="20">
        <f>'[4]NIFTY-I'!G309</f>
        <v>7623.5</v>
      </c>
      <c r="X11" s="21">
        <f>'[4]NIFTY-I'!I309</f>
        <v>19685100</v>
      </c>
      <c r="Y11" s="22"/>
      <c r="Z11" s="42">
        <f t="shared" si="4"/>
        <v>569.34960000000137</v>
      </c>
      <c r="AA11" s="47">
        <v>0</v>
      </c>
      <c r="AB11" s="47">
        <v>0</v>
      </c>
      <c r="AC11" s="47">
        <v>0</v>
      </c>
      <c r="AD11" s="51" t="s">
        <v>19</v>
      </c>
      <c r="AE11" s="48">
        <f t="shared" si="5"/>
        <v>180.79979999999978</v>
      </c>
      <c r="AF11" s="49">
        <v>0</v>
      </c>
      <c r="AG11" s="49">
        <v>0</v>
      </c>
      <c r="AH11" s="49">
        <v>0</v>
      </c>
      <c r="AI11" s="50" t="s">
        <v>19</v>
      </c>
      <c r="AJ11" s="42">
        <f t="shared" si="6"/>
        <v>569.34960000000137</v>
      </c>
      <c r="AK11" s="47">
        <v>0</v>
      </c>
      <c r="AL11" s="47">
        <v>0</v>
      </c>
      <c r="AM11" s="47">
        <v>0</v>
      </c>
      <c r="AN11" s="43">
        <v>0</v>
      </c>
      <c r="AO11" s="44">
        <f t="shared" si="7"/>
        <v>180.79979999999978</v>
      </c>
      <c r="AP11" s="49">
        <v>0</v>
      </c>
      <c r="AQ11" s="49">
        <v>0</v>
      </c>
      <c r="AR11" s="49">
        <v>0</v>
      </c>
      <c r="AS11" s="50" t="s">
        <v>19</v>
      </c>
      <c r="AT11" s="46">
        <f t="shared" si="0"/>
        <v>569.34960000000137</v>
      </c>
      <c r="AU11" s="39">
        <f t="shared" si="1"/>
        <v>3.5269132131574142E-2</v>
      </c>
      <c r="AV11" s="39">
        <f>AVERAGE(AU4:AU11)</f>
        <v>1.8125074833421004E-2</v>
      </c>
      <c r="AW11" s="39">
        <v>0</v>
      </c>
      <c r="AX11" s="40">
        <v>0</v>
      </c>
      <c r="AY11" s="52">
        <f t="shared" si="2"/>
        <v>149.54979999999978</v>
      </c>
      <c r="AZ11" s="41">
        <f t="shared" si="3"/>
        <v>1.9334169360051685E-2</v>
      </c>
      <c r="BA11" s="41">
        <f>AVERAGE(AZ4:AZ11)</f>
        <v>1.1572634505410066E-2</v>
      </c>
      <c r="BB11" s="41">
        <v>0</v>
      </c>
      <c r="BC11" s="38">
        <v>0</v>
      </c>
    </row>
    <row r="12" spans="1:55" x14ac:dyDescent="0.25">
      <c r="A12" s="54"/>
      <c r="B12" s="54"/>
      <c r="C12" s="54"/>
      <c r="D12" s="54"/>
      <c r="E12" s="54"/>
      <c r="F12" s="54"/>
      <c r="G12" s="54"/>
      <c r="H12" s="54"/>
      <c r="I12" s="54"/>
      <c r="J12" s="54"/>
      <c r="K12" s="55"/>
      <c r="L12" s="37">
        <f t="shared" si="8"/>
        <v>9</v>
      </c>
      <c r="M12" s="16">
        <f>'[3]BANKNIFTY-I'!B310</f>
        <v>42466</v>
      </c>
      <c r="N12" s="17">
        <f>'[3]BANKNIFTY-I'!D310</f>
        <v>15750</v>
      </c>
      <c r="O12" s="17">
        <f>'[3]BANKNIFTY-I'!E310</f>
        <v>15819</v>
      </c>
      <c r="P12" s="17">
        <f>'[3]BANKNIFTY-I'!F310</f>
        <v>15621</v>
      </c>
      <c r="Q12" s="17">
        <f>'[3]BANKNIFTY-I'!G310</f>
        <v>15706.049800000001</v>
      </c>
      <c r="R12" s="18">
        <f>'[3]BANKNIFTY-I'!I310</f>
        <v>2950830</v>
      </c>
      <c r="S12" s="19">
        <f>'[4]NIFTY-I'!B310</f>
        <v>42466</v>
      </c>
      <c r="T12" s="20">
        <f>'[4]NIFTY-I'!D310</f>
        <v>7645.2002000000002</v>
      </c>
      <c r="U12" s="20">
        <f>'[4]NIFTY-I'!E310</f>
        <v>7653.7997999999998</v>
      </c>
      <c r="V12" s="20">
        <f>'[4]NIFTY-I'!F310</f>
        <v>7603.4502000000002</v>
      </c>
      <c r="W12" s="20">
        <f>'[4]NIFTY-I'!G310</f>
        <v>7634.7002000000002</v>
      </c>
      <c r="X12" s="21">
        <f>'[4]NIFTY-I'!I310</f>
        <v>10226250</v>
      </c>
      <c r="Y12" s="22"/>
      <c r="Z12" s="42">
        <f t="shared" si="4"/>
        <v>198</v>
      </c>
      <c r="AA12" s="47">
        <f>AVERAGE(Z5:Z12)</f>
        <v>308.01880000000028</v>
      </c>
      <c r="AB12" s="47">
        <f t="shared" ref="AB12:AB63" si="9">AA12*$F$4</f>
        <v>9240.5640000000094</v>
      </c>
      <c r="AC12" s="47">
        <f>AB12*'Base Data'!$D$13</f>
        <v>6930.4230000000071</v>
      </c>
      <c r="AD12" s="51">
        <f>IF(INT(('Base Data'!$D$7)/AC12)=0,0,INT(('Base Data'!$D$7)/AC12))</f>
        <v>3</v>
      </c>
      <c r="AE12" s="48">
        <f t="shared" si="5"/>
        <v>50.349599999999555</v>
      </c>
      <c r="AF12" s="49">
        <f>AVERAGE(AE5:AE12)</f>
        <v>95.543700000000058</v>
      </c>
      <c r="AG12" s="49">
        <f t="shared" ref="AG12:AG63" si="10">AF12*$G$4</f>
        <v>7165.7775000000047</v>
      </c>
      <c r="AH12" s="49">
        <f>AG12*'Base Data'!$D$13</f>
        <v>5374.3331250000037</v>
      </c>
      <c r="AI12" s="50">
        <f>IF(INT(('Base Data'!$D$7)/AH12)=0,0,INT(('Base Data'!$D$7)/AH12))</f>
        <v>4</v>
      </c>
      <c r="AJ12" s="42">
        <f t="shared" si="6"/>
        <v>198</v>
      </c>
      <c r="AK12" s="47">
        <v>0</v>
      </c>
      <c r="AL12" s="47">
        <v>0</v>
      </c>
      <c r="AM12" s="47">
        <v>0</v>
      </c>
      <c r="AN12" s="43">
        <v>0</v>
      </c>
      <c r="AO12" s="44">
        <f t="shared" si="7"/>
        <v>50.349599999999555</v>
      </c>
      <c r="AP12" s="49">
        <v>0</v>
      </c>
      <c r="AQ12" s="49">
        <v>0</v>
      </c>
      <c r="AR12" s="49">
        <v>0</v>
      </c>
      <c r="AS12" s="45">
        <v>0</v>
      </c>
      <c r="AT12" s="46">
        <f t="shared" si="0"/>
        <v>198</v>
      </c>
      <c r="AU12" s="39">
        <f t="shared" si="1"/>
        <v>1.2571428571428572E-2</v>
      </c>
      <c r="AV12" s="39">
        <f t="shared" ref="AV12:AV63" si="11">AVERAGE(AU5:AU12)</f>
        <v>1.8497643057480587E-2</v>
      </c>
      <c r="AW12" s="39">
        <v>0</v>
      </c>
      <c r="AX12" s="40">
        <v>0</v>
      </c>
      <c r="AY12" s="52">
        <f t="shared" si="2"/>
        <v>50.349599999999555</v>
      </c>
      <c r="AZ12" s="41">
        <f t="shared" si="3"/>
        <v>6.5857791402244188E-3</v>
      </c>
      <c r="BA12" s="41">
        <f t="shared" ref="BA12:BA63" si="12">AVERAGE(AZ5:AZ12)</f>
        <v>1.1285802509209854E-2</v>
      </c>
      <c r="BB12" s="41">
        <v>0</v>
      </c>
      <c r="BC12" s="38">
        <v>0</v>
      </c>
    </row>
    <row r="13" spans="1:55" ht="11.25" customHeight="1" x14ac:dyDescent="0.25">
      <c r="A13" s="54"/>
      <c r="B13" s="54"/>
      <c r="C13" s="54"/>
      <c r="D13" s="54"/>
      <c r="E13" s="54"/>
      <c r="F13" s="54"/>
      <c r="G13" s="54"/>
      <c r="H13" s="54"/>
      <c r="I13" s="54"/>
      <c r="J13" s="54"/>
      <c r="K13" s="55"/>
      <c r="L13" s="37">
        <f t="shared" si="8"/>
        <v>10</v>
      </c>
      <c r="M13" s="16">
        <f>'[3]BANKNIFTY-I'!B311</f>
        <v>42467</v>
      </c>
      <c r="N13" s="17">
        <f>'[3]BANKNIFTY-I'!D311</f>
        <v>15755.9004</v>
      </c>
      <c r="O13" s="17">
        <f>'[3]BANKNIFTY-I'!E311</f>
        <v>15795.4004</v>
      </c>
      <c r="P13" s="17">
        <f>'[3]BANKNIFTY-I'!F311</f>
        <v>15509</v>
      </c>
      <c r="Q13" s="17">
        <f>'[3]BANKNIFTY-I'!G311</f>
        <v>15591.4004</v>
      </c>
      <c r="R13" s="18">
        <f>'[3]BANKNIFTY-I'!I311</f>
        <v>3891840</v>
      </c>
      <c r="S13" s="19">
        <f>'[4]NIFTY-I'!B311</f>
        <v>42467</v>
      </c>
      <c r="T13" s="20">
        <f>'[4]NIFTY-I'!D311</f>
        <v>7629</v>
      </c>
      <c r="U13" s="20">
        <f>'[4]NIFTY-I'!E311</f>
        <v>7634.7997999999998</v>
      </c>
      <c r="V13" s="20">
        <f>'[4]NIFTY-I'!F311</f>
        <v>7555</v>
      </c>
      <c r="W13" s="20">
        <f>'[4]NIFTY-I'!G311</f>
        <v>7565.0497999999998</v>
      </c>
      <c r="X13" s="21">
        <f>'[4]NIFTY-I'!I311</f>
        <v>13869675</v>
      </c>
      <c r="Y13" s="22"/>
      <c r="Z13" s="42">
        <f t="shared" si="4"/>
        <v>286.40040000000045</v>
      </c>
      <c r="AA13" s="47">
        <f t="shared" ref="AA13:AA37" si="13">((Z13-AA12)*(2/(1+8)))+AA12</f>
        <v>303.21471111111146</v>
      </c>
      <c r="AB13" s="47">
        <f t="shared" si="9"/>
        <v>9096.4413333333432</v>
      </c>
      <c r="AC13" s="47">
        <f>AB13*'Base Data'!$D$13</f>
        <v>6822.3310000000074</v>
      </c>
      <c r="AD13" s="51">
        <f>IF(INT(('Base Data'!$D$7)/AC13)=0,0,INT(('Base Data'!$D$7)/AC13))</f>
        <v>3</v>
      </c>
      <c r="AE13" s="48">
        <f t="shared" si="5"/>
        <v>79.799799999999777</v>
      </c>
      <c r="AF13" s="49">
        <f t="shared" ref="AF13:AF37" si="14">((AE13-AF12)*(2/(1+8)))+AF12</f>
        <v>92.04505555555555</v>
      </c>
      <c r="AG13" s="49">
        <f t="shared" si="10"/>
        <v>6903.3791666666666</v>
      </c>
      <c r="AH13" s="49">
        <f>AG13*'Base Data'!$D$13</f>
        <v>5177.5343750000002</v>
      </c>
      <c r="AI13" s="50">
        <f>IF(INT(('Base Data'!$D$7)/AH13)=0,0,INT(('Base Data'!$D$7)/AH13))</f>
        <v>4</v>
      </c>
      <c r="AJ13" s="42">
        <f t="shared" si="6"/>
        <v>286.40040000000045</v>
      </c>
      <c r="AK13" s="47">
        <v>0</v>
      </c>
      <c r="AL13" s="47">
        <v>0</v>
      </c>
      <c r="AM13" s="47">
        <v>0</v>
      </c>
      <c r="AN13" s="43">
        <v>0</v>
      </c>
      <c r="AO13" s="44">
        <f t="shared" si="7"/>
        <v>79.799799999999777</v>
      </c>
      <c r="AP13" s="49">
        <v>0</v>
      </c>
      <c r="AQ13" s="49">
        <v>0</v>
      </c>
      <c r="AR13" s="49">
        <v>0</v>
      </c>
      <c r="AS13" s="45">
        <v>0</v>
      </c>
      <c r="AT13" s="46">
        <f t="shared" si="0"/>
        <v>286.40040000000045</v>
      </c>
      <c r="AU13" s="39">
        <f t="shared" si="1"/>
        <v>1.8177342629050918E-2</v>
      </c>
      <c r="AV13" s="39">
        <f t="shared" si="11"/>
        <v>1.8097947520321591E-2</v>
      </c>
      <c r="AW13" s="39">
        <v>0</v>
      </c>
      <c r="AX13" s="40">
        <v>0</v>
      </c>
      <c r="AY13" s="52">
        <f t="shared" si="2"/>
        <v>79.799799999999777</v>
      </c>
      <c r="AZ13" s="41">
        <f t="shared" si="3"/>
        <v>1.046006029623801E-2</v>
      </c>
      <c r="BA13" s="41">
        <f t="shared" si="12"/>
        <v>1.0666117149055455E-2</v>
      </c>
      <c r="BB13" s="41">
        <v>0</v>
      </c>
      <c r="BC13" s="38">
        <v>0</v>
      </c>
    </row>
    <row r="14" spans="1:55" x14ac:dyDescent="0.25">
      <c r="A14" s="54"/>
      <c r="B14" s="54"/>
      <c r="C14" s="54"/>
      <c r="D14" s="54"/>
      <c r="E14" s="54"/>
      <c r="F14" s="54"/>
      <c r="G14" s="54"/>
      <c r="H14" s="54"/>
      <c r="I14" s="54"/>
      <c r="J14" s="54"/>
      <c r="K14" s="55"/>
      <c r="L14" s="37">
        <f t="shared" si="8"/>
        <v>11</v>
      </c>
      <c r="M14" s="16">
        <f>'[3]BANKNIFTY-I'!B312</f>
        <v>42468</v>
      </c>
      <c r="N14" s="17">
        <f>'[3]BANKNIFTY-I'!D312</f>
        <v>15568</v>
      </c>
      <c r="O14" s="17">
        <f>'[3]BANKNIFTY-I'!E312</f>
        <v>15720</v>
      </c>
      <c r="P14" s="17">
        <f>'[3]BANKNIFTY-I'!F312</f>
        <v>15543.5996</v>
      </c>
      <c r="Q14" s="17">
        <f>'[3]BANKNIFTY-I'!G312</f>
        <v>15652.0996</v>
      </c>
      <c r="R14" s="18">
        <f>'[3]BANKNIFTY-I'!I312</f>
        <v>2564220</v>
      </c>
      <c r="S14" s="19">
        <f>'[4]NIFTY-I'!B312</f>
        <v>42468</v>
      </c>
      <c r="T14" s="20">
        <f>'[4]NIFTY-I'!D312</f>
        <v>7540</v>
      </c>
      <c r="U14" s="20">
        <f>'[4]NIFTY-I'!E312</f>
        <v>7595.8500999999997</v>
      </c>
      <c r="V14" s="20">
        <f>'[4]NIFTY-I'!F312</f>
        <v>7540</v>
      </c>
      <c r="W14" s="20">
        <f>'[4]NIFTY-I'!G312</f>
        <v>7578.1000999999997</v>
      </c>
      <c r="X14" s="21">
        <f>'[4]NIFTY-I'!I312</f>
        <v>9017775</v>
      </c>
      <c r="Y14" s="22"/>
      <c r="Z14" s="42">
        <f t="shared" si="4"/>
        <v>176.40040000000045</v>
      </c>
      <c r="AA14" s="47">
        <f t="shared" si="13"/>
        <v>275.03375308642012</v>
      </c>
      <c r="AB14" s="47">
        <f t="shared" si="9"/>
        <v>8251.0125925926041</v>
      </c>
      <c r="AC14" s="47">
        <f>AB14*'Base Data'!$D$13</f>
        <v>6188.259444444453</v>
      </c>
      <c r="AD14" s="51">
        <f>IF(INT(('Base Data'!$D$7)/AC14)=0,0,INT(('Base Data'!$D$7)/AC14))</f>
        <v>4</v>
      </c>
      <c r="AE14" s="48">
        <f t="shared" si="5"/>
        <v>55.850099999999657</v>
      </c>
      <c r="AF14" s="49">
        <f t="shared" si="14"/>
        <v>84.001732098765359</v>
      </c>
      <c r="AG14" s="49">
        <f t="shared" si="10"/>
        <v>6300.1299074074022</v>
      </c>
      <c r="AH14" s="49">
        <f>AG14*'Base Data'!$D$13</f>
        <v>4725.0974305555519</v>
      </c>
      <c r="AI14" s="50">
        <f>IF(INT(('Base Data'!$D$7)/AH14)=0,0,INT(('Base Data'!$D$7)/AH14))</f>
        <v>5</v>
      </c>
      <c r="AJ14" s="42">
        <f t="shared" si="6"/>
        <v>176.40040000000045</v>
      </c>
      <c r="AK14" s="47">
        <v>0</v>
      </c>
      <c r="AL14" s="47">
        <v>0</v>
      </c>
      <c r="AM14" s="47">
        <v>0</v>
      </c>
      <c r="AN14" s="43">
        <v>0</v>
      </c>
      <c r="AO14" s="44">
        <f t="shared" si="7"/>
        <v>55.850099999999657</v>
      </c>
      <c r="AP14" s="49">
        <v>0</v>
      </c>
      <c r="AQ14" s="49">
        <v>0</v>
      </c>
      <c r="AR14" s="49">
        <v>0</v>
      </c>
      <c r="AS14" s="45">
        <v>0</v>
      </c>
      <c r="AT14" s="46">
        <f t="shared" si="0"/>
        <v>176.40040000000045</v>
      </c>
      <c r="AU14" s="39">
        <f t="shared" si="1"/>
        <v>1.1330960945529319E-2</v>
      </c>
      <c r="AV14" s="39">
        <f t="shared" si="11"/>
        <v>1.7883484838001243E-2</v>
      </c>
      <c r="AW14" s="39">
        <v>0</v>
      </c>
      <c r="AX14" s="40">
        <v>0</v>
      </c>
      <c r="AY14" s="52">
        <f t="shared" si="2"/>
        <v>55.850099999999657</v>
      </c>
      <c r="AZ14" s="41">
        <f t="shared" si="3"/>
        <v>7.4071750663129519E-3</v>
      </c>
      <c r="BA14" s="41">
        <f t="shared" si="12"/>
        <v>1.0323828490333821E-2</v>
      </c>
      <c r="BB14" s="41">
        <v>0</v>
      </c>
      <c r="BC14" s="38">
        <v>0</v>
      </c>
    </row>
    <row r="15" spans="1:55" x14ac:dyDescent="0.25">
      <c r="A15" s="54"/>
      <c r="B15" s="54"/>
      <c r="C15" s="54"/>
      <c r="D15" s="54"/>
      <c r="E15" s="54"/>
      <c r="F15" s="54"/>
      <c r="G15" s="54"/>
      <c r="H15" s="54"/>
      <c r="I15" s="54"/>
      <c r="J15" s="54"/>
      <c r="K15" s="55"/>
      <c r="L15" s="37">
        <f t="shared" si="8"/>
        <v>12</v>
      </c>
      <c r="M15" s="16">
        <f>'[3]BANKNIFTY-I'!B313</f>
        <v>42471</v>
      </c>
      <c r="N15" s="17">
        <f>'[3]BANKNIFTY-I'!D313</f>
        <v>15682</v>
      </c>
      <c r="O15" s="17">
        <f>'[3]BANKNIFTY-I'!E313</f>
        <v>15939.8496</v>
      </c>
      <c r="P15" s="17">
        <f>'[3]BANKNIFTY-I'!F313</f>
        <v>15480</v>
      </c>
      <c r="Q15" s="17">
        <f>'[3]BANKNIFTY-I'!G313</f>
        <v>15896.049800000001</v>
      </c>
      <c r="R15" s="18">
        <f>'[3]BANKNIFTY-I'!I313</f>
        <v>4071570</v>
      </c>
      <c r="S15" s="19">
        <f>'[4]NIFTY-I'!B313</f>
        <v>42471</v>
      </c>
      <c r="T15" s="20">
        <f>'[4]NIFTY-I'!D313</f>
        <v>7580.25</v>
      </c>
      <c r="U15" s="20">
        <f>'[4]NIFTY-I'!E313</f>
        <v>7712.8500999999997</v>
      </c>
      <c r="V15" s="20">
        <f>'[4]NIFTY-I'!F313</f>
        <v>7533</v>
      </c>
      <c r="W15" s="20">
        <f>'[4]NIFTY-I'!G313</f>
        <v>7702.1000999999997</v>
      </c>
      <c r="X15" s="21">
        <f>'[4]NIFTY-I'!I313</f>
        <v>15689700</v>
      </c>
      <c r="Y15" s="22"/>
      <c r="Z15" s="42">
        <f t="shared" si="4"/>
        <v>459.84959999999955</v>
      </c>
      <c r="AA15" s="47">
        <f t="shared" si="13"/>
        <v>316.10394128943778</v>
      </c>
      <c r="AB15" s="47">
        <f t="shared" si="9"/>
        <v>9483.1182386831333</v>
      </c>
      <c r="AC15" s="47">
        <f>AB15*'Base Data'!$D$13</f>
        <v>7112.3386790123495</v>
      </c>
      <c r="AD15" s="51">
        <f>IF(INT(('Base Data'!$D$7)/AC15)=0,0,INT(('Base Data'!$D$7)/AC15))</f>
        <v>3</v>
      </c>
      <c r="AE15" s="48">
        <f t="shared" si="5"/>
        <v>179.85009999999966</v>
      </c>
      <c r="AF15" s="49">
        <f t="shared" si="14"/>
        <v>105.30136941015076</v>
      </c>
      <c r="AG15" s="49">
        <f t="shared" si="10"/>
        <v>7897.6027057613064</v>
      </c>
      <c r="AH15" s="49">
        <f>AG15*'Base Data'!$D$13</f>
        <v>5923.2020293209798</v>
      </c>
      <c r="AI15" s="50">
        <f>IF(INT(('Base Data'!$D$7)/AH15)=0,0,INT(('Base Data'!$D$7)/AH15))</f>
        <v>4</v>
      </c>
      <c r="AJ15" s="42">
        <f t="shared" si="6"/>
        <v>459.84959999999955</v>
      </c>
      <c r="AK15" s="47">
        <v>0</v>
      </c>
      <c r="AL15" s="47">
        <v>0</v>
      </c>
      <c r="AM15" s="47">
        <v>0</v>
      </c>
      <c r="AN15" s="43">
        <v>0</v>
      </c>
      <c r="AO15" s="44">
        <f t="shared" si="7"/>
        <v>179.85009999999966</v>
      </c>
      <c r="AP15" s="49">
        <v>0</v>
      </c>
      <c r="AQ15" s="49">
        <v>0</v>
      </c>
      <c r="AR15" s="49">
        <v>0</v>
      </c>
      <c r="AS15" s="45">
        <v>0</v>
      </c>
      <c r="AT15" s="46">
        <f t="shared" si="0"/>
        <v>459.84959999999955</v>
      </c>
      <c r="AU15" s="39">
        <f t="shared" si="1"/>
        <v>2.9323402627215889E-2</v>
      </c>
      <c r="AV15" s="39">
        <f t="shared" si="11"/>
        <v>1.8441425438145781E-2</v>
      </c>
      <c r="AW15" s="39">
        <v>0</v>
      </c>
      <c r="AX15" s="40">
        <v>0</v>
      </c>
      <c r="AY15" s="52">
        <f t="shared" si="2"/>
        <v>179.85009999999966</v>
      </c>
      <c r="AZ15" s="41">
        <f t="shared" si="3"/>
        <v>2.3726143596847025E-2</v>
      </c>
      <c r="BA15" s="41">
        <f t="shared" si="12"/>
        <v>1.1695021300211769E-2</v>
      </c>
      <c r="BB15" s="41">
        <v>0</v>
      </c>
      <c r="BC15" s="38">
        <v>0</v>
      </c>
    </row>
    <row r="16" spans="1:55" x14ac:dyDescent="0.25">
      <c r="A16" s="54"/>
      <c r="B16" s="54"/>
      <c r="C16" s="54"/>
      <c r="D16" s="54"/>
      <c r="E16" s="54"/>
      <c r="F16" s="54"/>
      <c r="G16" s="54"/>
      <c r="H16" s="54"/>
      <c r="I16" s="54"/>
      <c r="J16" s="54"/>
      <c r="K16" s="55"/>
      <c r="L16" s="37">
        <f t="shared" si="8"/>
        <v>13</v>
      </c>
      <c r="M16" s="16">
        <f>'[3]BANKNIFTY-I'!B314</f>
        <v>42472</v>
      </c>
      <c r="N16" s="17">
        <f>'[3]BANKNIFTY-I'!D314</f>
        <v>15821.049800000001</v>
      </c>
      <c r="O16" s="17">
        <f>'[3]BANKNIFTY-I'!E314</f>
        <v>15998</v>
      </c>
      <c r="P16" s="17">
        <f>'[3]BANKNIFTY-I'!F314</f>
        <v>15821.049800000001</v>
      </c>
      <c r="Q16" s="17">
        <f>'[3]BANKNIFTY-I'!G314</f>
        <v>15936.75</v>
      </c>
      <c r="R16" s="18">
        <f>'[3]BANKNIFTY-I'!I314</f>
        <v>2943120</v>
      </c>
      <c r="S16" s="19">
        <f>'[4]NIFTY-I'!B314</f>
        <v>42472</v>
      </c>
      <c r="T16" s="20">
        <f>'[4]NIFTY-I'!D314</f>
        <v>7694</v>
      </c>
      <c r="U16" s="20">
        <f>'[4]NIFTY-I'!E314</f>
        <v>7738</v>
      </c>
      <c r="V16" s="20">
        <f>'[4]NIFTY-I'!F314</f>
        <v>7685.3999000000003</v>
      </c>
      <c r="W16" s="20">
        <f>'[4]NIFTY-I'!G314</f>
        <v>7732.7997999999998</v>
      </c>
      <c r="X16" s="21">
        <f>'[4]NIFTY-I'!I314</f>
        <v>11439975</v>
      </c>
      <c r="Y16" s="22"/>
      <c r="Z16" s="42">
        <f t="shared" si="4"/>
        <v>176.95019999999931</v>
      </c>
      <c r="AA16" s="47">
        <f t="shared" si="13"/>
        <v>285.18088766956259</v>
      </c>
      <c r="AB16" s="47">
        <f t="shared" si="9"/>
        <v>8555.4266300868785</v>
      </c>
      <c r="AC16" s="47">
        <f>AB16*'Base Data'!$D$13</f>
        <v>6416.5699725651593</v>
      </c>
      <c r="AD16" s="51">
        <f>IF(INT(('Base Data'!$D$7)/AC16)=0,0,INT(('Base Data'!$D$7)/AC16))</f>
        <v>3</v>
      </c>
      <c r="AE16" s="48">
        <f t="shared" si="5"/>
        <v>52.600099999999657</v>
      </c>
      <c r="AF16" s="49">
        <f t="shared" si="14"/>
        <v>93.589976207894949</v>
      </c>
      <c r="AG16" s="49">
        <f t="shared" si="10"/>
        <v>7019.2482155921216</v>
      </c>
      <c r="AH16" s="49">
        <f>AG16*'Base Data'!$D$13</f>
        <v>5264.4361616940914</v>
      </c>
      <c r="AI16" s="50">
        <f>IF(INT(('Base Data'!$D$7)/AH16)=0,0,INT(('Base Data'!$D$7)/AH16))</f>
        <v>4</v>
      </c>
      <c r="AJ16" s="42">
        <f t="shared" si="6"/>
        <v>176.95019999999931</v>
      </c>
      <c r="AK16" s="47">
        <v>0</v>
      </c>
      <c r="AL16" s="47">
        <v>0</v>
      </c>
      <c r="AM16" s="47">
        <v>0</v>
      </c>
      <c r="AN16" s="43">
        <v>0</v>
      </c>
      <c r="AO16" s="44">
        <f t="shared" si="7"/>
        <v>52.600099999999657</v>
      </c>
      <c r="AP16" s="49">
        <v>0</v>
      </c>
      <c r="AQ16" s="49">
        <v>0</v>
      </c>
      <c r="AR16" s="49">
        <v>0</v>
      </c>
      <c r="AS16" s="45">
        <v>0</v>
      </c>
      <c r="AT16" s="46">
        <f t="shared" si="0"/>
        <v>176.95019999999931</v>
      </c>
      <c r="AU16" s="39">
        <f t="shared" si="1"/>
        <v>1.1184479047654556E-2</v>
      </c>
      <c r="AV16" s="39">
        <f t="shared" si="11"/>
        <v>1.8175272586183348E-2</v>
      </c>
      <c r="AW16" s="39">
        <f>AVERAGE(AU4:AU16)</f>
        <v>1.7506785576019021E-2</v>
      </c>
      <c r="AX16" s="40">
        <v>0</v>
      </c>
      <c r="AY16" s="52">
        <f t="shared" si="2"/>
        <v>52.600099999999657</v>
      </c>
      <c r="AZ16" s="41">
        <f t="shared" si="3"/>
        <v>6.8365089680269891E-3</v>
      </c>
      <c r="BA16" s="41">
        <f t="shared" si="12"/>
        <v>1.1569449328357665E-2</v>
      </c>
      <c r="BB16" s="41">
        <f>AVERAGE(AZ4:AZ16)</f>
        <v>1.1353595623917688E-2</v>
      </c>
      <c r="BC16" s="38">
        <v>0</v>
      </c>
    </row>
    <row r="17" spans="1:55" x14ac:dyDescent="0.25">
      <c r="A17" s="54"/>
      <c r="B17" s="54"/>
      <c r="C17" s="54"/>
      <c r="D17" s="54"/>
      <c r="E17" s="54"/>
      <c r="F17" s="54"/>
      <c r="G17" s="54"/>
      <c r="H17" s="54"/>
      <c r="I17" s="54"/>
      <c r="J17" s="54"/>
      <c r="K17" s="55"/>
      <c r="L17" s="37">
        <f t="shared" si="8"/>
        <v>14</v>
      </c>
      <c r="M17" s="16">
        <f>'[3]BANKNIFTY-I'!B315</f>
        <v>42473</v>
      </c>
      <c r="N17" s="17">
        <f>'[3]BANKNIFTY-I'!D315</f>
        <v>16131</v>
      </c>
      <c r="O17" s="17">
        <f>'[3]BANKNIFTY-I'!E315</f>
        <v>16416</v>
      </c>
      <c r="P17" s="17">
        <f>'[3]BANKNIFTY-I'!F315</f>
        <v>16085.0996</v>
      </c>
      <c r="Q17" s="17">
        <f>'[3]BANKNIFTY-I'!G315</f>
        <v>16332.75</v>
      </c>
      <c r="R17" s="18">
        <f>'[3]BANKNIFTY-I'!I315</f>
        <v>3469800</v>
      </c>
      <c r="S17" s="19">
        <f>'[4]NIFTY-I'!B315</f>
        <v>42473</v>
      </c>
      <c r="T17" s="20">
        <f>'[4]NIFTY-I'!D315</f>
        <v>7792.5</v>
      </c>
      <c r="U17" s="20">
        <f>'[4]NIFTY-I'!E315</f>
        <v>7893.4502000000002</v>
      </c>
      <c r="V17" s="20">
        <f>'[4]NIFTY-I'!F315</f>
        <v>7791.1000999999997</v>
      </c>
      <c r="W17" s="20">
        <f>'[4]NIFTY-I'!G315</f>
        <v>7867.8500999999997</v>
      </c>
      <c r="X17" s="21">
        <f>'[4]NIFTY-I'!I315</f>
        <v>14597475</v>
      </c>
      <c r="Y17" s="22"/>
      <c r="Z17" s="42">
        <f t="shared" si="4"/>
        <v>479.25</v>
      </c>
      <c r="AA17" s="47">
        <f t="shared" si="13"/>
        <v>328.30735707632647</v>
      </c>
      <c r="AB17" s="47">
        <f t="shared" si="9"/>
        <v>9849.2207122897944</v>
      </c>
      <c r="AC17" s="47">
        <f>AB17*'Base Data'!$D$13</f>
        <v>7386.9155342173453</v>
      </c>
      <c r="AD17" s="51">
        <f>IF(INT(('Base Data'!$D$7)/AC17)=0,0,INT(('Base Data'!$D$7)/AC17))</f>
        <v>3</v>
      </c>
      <c r="AE17" s="48">
        <f t="shared" si="5"/>
        <v>160.65040000000045</v>
      </c>
      <c r="AF17" s="49">
        <f t="shared" si="14"/>
        <v>108.49229260614061</v>
      </c>
      <c r="AG17" s="49">
        <f t="shared" si="10"/>
        <v>8136.9219454605454</v>
      </c>
      <c r="AH17" s="49">
        <f>AG17*'Base Data'!$D$13</f>
        <v>6102.6914590954093</v>
      </c>
      <c r="AI17" s="50">
        <f>IF(INT(('Base Data'!$D$7)/AH17)=0,0,INT(('Base Data'!$D$7)/AH17))</f>
        <v>4</v>
      </c>
      <c r="AJ17" s="42">
        <f t="shared" si="6"/>
        <v>479.25</v>
      </c>
      <c r="AK17" s="47">
        <v>0</v>
      </c>
      <c r="AL17" s="47">
        <v>0</v>
      </c>
      <c r="AM17" s="47">
        <v>0</v>
      </c>
      <c r="AN17" s="43">
        <v>0</v>
      </c>
      <c r="AO17" s="44">
        <f t="shared" si="7"/>
        <v>160.65040000000045</v>
      </c>
      <c r="AP17" s="49">
        <v>0</v>
      </c>
      <c r="AQ17" s="49">
        <v>0</v>
      </c>
      <c r="AR17" s="49">
        <v>0</v>
      </c>
      <c r="AS17" s="45">
        <v>0</v>
      </c>
      <c r="AT17" s="46">
        <f t="shared" si="0"/>
        <v>330.90040000000045</v>
      </c>
      <c r="AU17" s="39">
        <f t="shared" si="1"/>
        <v>2.0513322174694714E-2</v>
      </c>
      <c r="AV17" s="39">
        <f t="shared" si="11"/>
        <v>1.8949314401230065E-2</v>
      </c>
      <c r="AW17" s="39">
        <f t="shared" ref="AW17:AW63" si="15">AVERAGE(AU5:AU17)</f>
        <v>1.8346973221845388E-2</v>
      </c>
      <c r="AX17" s="40">
        <v>0</v>
      </c>
      <c r="AY17" s="52">
        <f t="shared" si="2"/>
        <v>102.35010000000057</v>
      </c>
      <c r="AZ17" s="41">
        <f t="shared" si="3"/>
        <v>1.3134436958614125E-2</v>
      </c>
      <c r="BA17" s="41">
        <f t="shared" si="12"/>
        <v>1.21071062355162E-2</v>
      </c>
      <c r="BB17" s="41">
        <f t="shared" ref="BB17:BB63" si="16">AVERAGE(AZ5:AZ17)</f>
        <v>1.1680826535362919E-2</v>
      </c>
      <c r="BC17" s="38">
        <v>0</v>
      </c>
    </row>
    <row r="18" spans="1:55" x14ac:dyDescent="0.25">
      <c r="A18" s="54"/>
      <c r="B18" s="54"/>
      <c r="C18" s="54"/>
      <c r="D18" s="54"/>
      <c r="E18" s="54"/>
      <c r="F18" s="54"/>
      <c r="G18" s="54"/>
      <c r="H18" s="54"/>
      <c r="I18" s="54"/>
      <c r="J18" s="54"/>
      <c r="K18" s="55"/>
      <c r="L18" s="37">
        <f t="shared" si="8"/>
        <v>15</v>
      </c>
      <c r="M18" s="16">
        <f>'[3]BANKNIFTY-I'!B316</f>
        <v>42478</v>
      </c>
      <c r="N18" s="17">
        <f>'[3]BANKNIFTY-I'!D316</f>
        <v>16360</v>
      </c>
      <c r="O18" s="17">
        <f>'[3]BANKNIFTY-I'!E316</f>
        <v>16400</v>
      </c>
      <c r="P18" s="17">
        <f>'[3]BANKNIFTY-I'!F316</f>
        <v>16000</v>
      </c>
      <c r="Q18" s="17">
        <f>'[3]BANKNIFTY-I'!G316</f>
        <v>16237.3496</v>
      </c>
      <c r="R18" s="18">
        <f>'[3]BANKNIFTY-I'!I316</f>
        <v>2924100</v>
      </c>
      <c r="S18" s="19">
        <f>'[4]NIFTY-I'!B316</f>
        <v>42478</v>
      </c>
      <c r="T18" s="20">
        <f>'[4]NIFTY-I'!D316</f>
        <v>7904.5</v>
      </c>
      <c r="U18" s="20">
        <f>'[4]NIFTY-I'!E316</f>
        <v>7927.7002000000002</v>
      </c>
      <c r="V18" s="20">
        <f>'[4]NIFTY-I'!F316</f>
        <v>7851.6000999999997</v>
      </c>
      <c r="W18" s="20">
        <f>'[4]NIFTY-I'!G316</f>
        <v>7920.2997999999998</v>
      </c>
      <c r="X18" s="21">
        <f>'[4]NIFTY-I'!I316</f>
        <v>11719125</v>
      </c>
      <c r="Y18" s="22"/>
      <c r="Z18" s="42">
        <f t="shared" si="4"/>
        <v>400</v>
      </c>
      <c r="AA18" s="47">
        <f t="shared" si="13"/>
        <v>344.23905550380948</v>
      </c>
      <c r="AB18" s="47">
        <f t="shared" si="9"/>
        <v>10327.171665114285</v>
      </c>
      <c r="AC18" s="47">
        <f>AB18*'Base Data'!$D$13</f>
        <v>7745.3787488357138</v>
      </c>
      <c r="AD18" s="51">
        <f>IF(INT(('Base Data'!$D$7)/AC18)=0,0,INT(('Base Data'!$D$7)/AC18))</f>
        <v>3</v>
      </c>
      <c r="AE18" s="48">
        <f t="shared" si="5"/>
        <v>76.100100000000566</v>
      </c>
      <c r="AF18" s="49">
        <f t="shared" si="14"/>
        <v>101.29402758255394</v>
      </c>
      <c r="AG18" s="49">
        <f t="shared" si="10"/>
        <v>7597.0520686915452</v>
      </c>
      <c r="AH18" s="49">
        <f>AG18*'Base Data'!$D$13</f>
        <v>5697.7890515186591</v>
      </c>
      <c r="AI18" s="50">
        <f>IF(INT(('Base Data'!$D$7)/AH18)=0,0,INT(('Base Data'!$D$7)/AH18))</f>
        <v>4</v>
      </c>
      <c r="AJ18" s="42">
        <f t="shared" si="6"/>
        <v>400</v>
      </c>
      <c r="AK18" s="47">
        <v>0</v>
      </c>
      <c r="AL18" s="47">
        <v>0</v>
      </c>
      <c r="AM18" s="47">
        <v>0</v>
      </c>
      <c r="AN18" s="43">
        <v>0</v>
      </c>
      <c r="AO18" s="44">
        <f t="shared" si="7"/>
        <v>76.100100000000566</v>
      </c>
      <c r="AP18" s="49">
        <v>0</v>
      </c>
      <c r="AQ18" s="49">
        <v>0</v>
      </c>
      <c r="AR18" s="49">
        <v>0</v>
      </c>
      <c r="AS18" s="45">
        <v>0</v>
      </c>
      <c r="AT18" s="46">
        <f t="shared" si="0"/>
        <v>400</v>
      </c>
      <c r="AU18" s="39">
        <f t="shared" si="1"/>
        <v>2.4449877750611249E-2</v>
      </c>
      <c r="AV18" s="39">
        <f t="shared" si="11"/>
        <v>2.035249323471992E-2</v>
      </c>
      <c r="AW18" s="39">
        <f t="shared" si="15"/>
        <v>1.8583509439098343E-2</v>
      </c>
      <c r="AX18" s="40">
        <v>0</v>
      </c>
      <c r="AY18" s="52">
        <f t="shared" si="2"/>
        <v>76.100100000000566</v>
      </c>
      <c r="AZ18" s="41">
        <f t="shared" si="3"/>
        <v>9.6274400657853833E-3</v>
      </c>
      <c r="BA18" s="41">
        <f t="shared" si="12"/>
        <v>1.2138964181512573E-2</v>
      </c>
      <c r="BB18" s="41">
        <f t="shared" si="16"/>
        <v>1.1235433988310008E-2</v>
      </c>
      <c r="BC18" s="38">
        <v>0</v>
      </c>
    </row>
    <row r="19" spans="1:55" x14ac:dyDescent="0.25">
      <c r="A19" s="54"/>
      <c r="B19" s="54"/>
      <c r="C19" s="54"/>
      <c r="D19" s="54"/>
      <c r="E19" s="54"/>
      <c r="F19" s="54"/>
      <c r="G19" s="54"/>
      <c r="H19" s="54"/>
      <c r="I19" s="54"/>
      <c r="J19" s="54"/>
      <c r="K19" s="55"/>
      <c r="L19" s="37">
        <f t="shared" si="8"/>
        <v>16</v>
      </c>
      <c r="M19" s="16">
        <f>'[3]BANKNIFTY-I'!B317</f>
        <v>42480</v>
      </c>
      <c r="N19" s="17">
        <f>'[3]BANKNIFTY-I'!D317</f>
        <v>16315.0996</v>
      </c>
      <c r="O19" s="17">
        <f>'[3]BANKNIFTY-I'!E317</f>
        <v>16415</v>
      </c>
      <c r="P19" s="17">
        <f>'[3]BANKNIFTY-I'!F317</f>
        <v>16169</v>
      </c>
      <c r="Q19" s="17">
        <f>'[3]BANKNIFTY-I'!G317</f>
        <v>16385.650399999999</v>
      </c>
      <c r="R19" s="18">
        <f>'[3]BANKNIFTY-I'!I317</f>
        <v>3365160</v>
      </c>
      <c r="S19" s="19">
        <f>'[4]NIFTY-I'!B317</f>
        <v>42480</v>
      </c>
      <c r="T19" s="20">
        <f>'[4]NIFTY-I'!D317</f>
        <v>7945.1000999999997</v>
      </c>
      <c r="U19" s="20">
        <f>'[4]NIFTY-I'!E317</f>
        <v>7959.75</v>
      </c>
      <c r="V19" s="20">
        <f>'[4]NIFTY-I'!F317</f>
        <v>7891.9502000000002</v>
      </c>
      <c r="W19" s="20">
        <f>'[4]NIFTY-I'!G317</f>
        <v>7929.8500999999997</v>
      </c>
      <c r="X19" s="21">
        <f>'[4]NIFTY-I'!I317</f>
        <v>13574925</v>
      </c>
      <c r="Y19" s="22"/>
      <c r="Z19" s="42">
        <f t="shared" si="4"/>
        <v>246</v>
      </c>
      <c r="AA19" s="47">
        <f t="shared" si="13"/>
        <v>322.40815428074069</v>
      </c>
      <c r="AB19" s="47">
        <f t="shared" si="9"/>
        <v>9672.2446284222206</v>
      </c>
      <c r="AC19" s="47">
        <f>AB19*'Base Data'!$D$13</f>
        <v>7254.1834713166654</v>
      </c>
      <c r="AD19" s="51">
        <f>IF(INT(('Base Data'!$D$7)/AC19)=0,0,INT(('Base Data'!$D$7)/AC19))</f>
        <v>3</v>
      </c>
      <c r="AE19" s="48">
        <f t="shared" si="5"/>
        <v>67.799799999999777</v>
      </c>
      <c r="AF19" s="49">
        <f t="shared" si="14"/>
        <v>93.850865897541908</v>
      </c>
      <c r="AG19" s="49">
        <f t="shared" si="10"/>
        <v>7038.8149423156428</v>
      </c>
      <c r="AH19" s="49">
        <f>AG19*'Base Data'!$D$13</f>
        <v>5279.1112067367321</v>
      </c>
      <c r="AI19" s="50">
        <f>IF(INT(('Base Data'!$D$7)/AH19)=0,0,INT(('Base Data'!$D$7)/AH19))</f>
        <v>4</v>
      </c>
      <c r="AJ19" s="42">
        <f t="shared" si="6"/>
        <v>246</v>
      </c>
      <c r="AK19" s="47">
        <v>0</v>
      </c>
      <c r="AL19" s="47">
        <v>0</v>
      </c>
      <c r="AM19" s="47">
        <v>0</v>
      </c>
      <c r="AN19" s="43">
        <v>0</v>
      </c>
      <c r="AO19" s="44">
        <f t="shared" si="7"/>
        <v>67.799799999999777</v>
      </c>
      <c r="AP19" s="49">
        <v>0</v>
      </c>
      <c r="AQ19" s="49">
        <v>0</v>
      </c>
      <c r="AR19" s="49">
        <v>0</v>
      </c>
      <c r="AS19" s="45">
        <v>0</v>
      </c>
      <c r="AT19" s="46">
        <f t="shared" si="0"/>
        <v>246</v>
      </c>
      <c r="AU19" s="39">
        <f t="shared" si="1"/>
        <v>1.5078056893995303E-2</v>
      </c>
      <c r="AV19" s="39">
        <f t="shared" si="11"/>
        <v>1.7828608830022564E-2</v>
      </c>
      <c r="AW19" s="39">
        <f t="shared" si="15"/>
        <v>1.8739770553706278E-2</v>
      </c>
      <c r="AX19" s="40">
        <v>0</v>
      </c>
      <c r="AY19" s="52">
        <f t="shared" si="2"/>
        <v>67.799799999999777</v>
      </c>
      <c r="AZ19" s="41">
        <f t="shared" si="3"/>
        <v>8.5335362860940889E-3</v>
      </c>
      <c r="BA19" s="41">
        <f t="shared" si="12"/>
        <v>1.0788885047267873E-2</v>
      </c>
      <c r="BB19" s="41">
        <f t="shared" si="16"/>
        <v>1.1111437984464475E-2</v>
      </c>
      <c r="BC19" s="38">
        <v>0</v>
      </c>
    </row>
    <row r="20" spans="1:55" x14ac:dyDescent="0.25">
      <c r="A20" s="54"/>
      <c r="B20" s="54"/>
      <c r="C20" s="54"/>
      <c r="D20" s="54"/>
      <c r="E20" s="54"/>
      <c r="F20" s="54"/>
      <c r="G20" s="54"/>
      <c r="H20" s="54"/>
      <c r="I20" s="54"/>
      <c r="J20" s="54"/>
      <c r="K20" s="55"/>
      <c r="L20" s="37">
        <f t="shared" si="8"/>
        <v>17</v>
      </c>
      <c r="M20" s="16">
        <f>'[3]BANKNIFTY-I'!B318</f>
        <v>42481</v>
      </c>
      <c r="N20" s="17">
        <f>'[3]BANKNIFTY-I'!D318</f>
        <v>16576</v>
      </c>
      <c r="O20" s="17">
        <f>'[3]BANKNIFTY-I'!E318</f>
        <v>16770</v>
      </c>
      <c r="P20" s="17">
        <f>'[3]BANKNIFTY-I'!F318</f>
        <v>16564.900399999999</v>
      </c>
      <c r="Q20" s="17">
        <f>'[3]BANKNIFTY-I'!G318</f>
        <v>16640</v>
      </c>
      <c r="R20" s="18">
        <f>'[3]BANKNIFTY-I'!I318</f>
        <v>4088910</v>
      </c>
      <c r="S20" s="19">
        <f>'[4]NIFTY-I'!B318</f>
        <v>42481</v>
      </c>
      <c r="T20" s="20">
        <f>'[4]NIFTY-I'!D318</f>
        <v>7972.2002000000002</v>
      </c>
      <c r="U20" s="20">
        <f>'[4]NIFTY-I'!E318</f>
        <v>7984.5</v>
      </c>
      <c r="V20" s="20">
        <f>'[4]NIFTY-I'!F318</f>
        <v>7885.1000999999997</v>
      </c>
      <c r="W20" s="20">
        <f>'[4]NIFTY-I'!G318</f>
        <v>7913.3500999999997</v>
      </c>
      <c r="X20" s="21">
        <f>'[4]NIFTY-I'!I318</f>
        <v>12228300</v>
      </c>
      <c r="Y20" s="22"/>
      <c r="Z20" s="42">
        <f t="shared" si="4"/>
        <v>384.34960000000137</v>
      </c>
      <c r="AA20" s="47">
        <f t="shared" si="13"/>
        <v>336.17291999613195</v>
      </c>
      <c r="AB20" s="47">
        <f t="shared" si="9"/>
        <v>10085.187599883959</v>
      </c>
      <c r="AC20" s="47">
        <f>AB20*'Base Data'!$D$13</f>
        <v>7563.8906999129686</v>
      </c>
      <c r="AD20" s="51">
        <f>IF(INT(('Base Data'!$D$7)/AC20)=0,0,INT(('Base Data'!$D$7)/AC20))</f>
        <v>3</v>
      </c>
      <c r="AE20" s="48">
        <f t="shared" si="5"/>
        <v>99.399900000000343</v>
      </c>
      <c r="AF20" s="49">
        <f t="shared" si="14"/>
        <v>95.08398458697711</v>
      </c>
      <c r="AG20" s="49">
        <f t="shared" si="10"/>
        <v>7131.298844023283</v>
      </c>
      <c r="AH20" s="49">
        <f>AG20*'Base Data'!$D$13</f>
        <v>5348.474133017462</v>
      </c>
      <c r="AI20" s="50">
        <f>IF(INT(('Base Data'!$D$7)/AH20)=0,0,INT(('Base Data'!$D$7)/AH20))</f>
        <v>4</v>
      </c>
      <c r="AJ20" s="42">
        <f t="shared" si="6"/>
        <v>384.34960000000137</v>
      </c>
      <c r="AK20" s="47">
        <v>0</v>
      </c>
      <c r="AL20" s="47">
        <v>0</v>
      </c>
      <c r="AM20" s="47">
        <v>0</v>
      </c>
      <c r="AN20" s="43">
        <v>0</v>
      </c>
      <c r="AO20" s="44">
        <f t="shared" si="7"/>
        <v>99.399900000000343</v>
      </c>
      <c r="AP20" s="49">
        <v>0</v>
      </c>
      <c r="AQ20" s="49">
        <v>0</v>
      </c>
      <c r="AR20" s="49">
        <v>0</v>
      </c>
      <c r="AS20" s="45">
        <v>0</v>
      </c>
      <c r="AT20" s="46">
        <f t="shared" si="0"/>
        <v>205.09960000000137</v>
      </c>
      <c r="AU20" s="39">
        <f t="shared" si="1"/>
        <v>1.2373286679536763E-2</v>
      </c>
      <c r="AV20" s="39">
        <f t="shared" si="11"/>
        <v>1.7803841093536089E-2</v>
      </c>
      <c r="AW20" s="39">
        <f t="shared" si="15"/>
        <v>1.7779263542435295E-2</v>
      </c>
      <c r="AX20" s="40">
        <v>0</v>
      </c>
      <c r="AY20" s="52">
        <f t="shared" si="2"/>
        <v>99.399900000000343</v>
      </c>
      <c r="AZ20" s="41">
        <f t="shared" si="3"/>
        <v>1.2468314581462761E-2</v>
      </c>
      <c r="BA20" s="41">
        <f t="shared" si="12"/>
        <v>1.1524201977422667E-2</v>
      </c>
      <c r="BB20" s="41">
        <f t="shared" si="16"/>
        <v>1.1089262097052115E-2</v>
      </c>
      <c r="BC20" s="38">
        <v>0</v>
      </c>
    </row>
    <row r="21" spans="1:55" x14ac:dyDescent="0.25">
      <c r="A21" s="54"/>
      <c r="B21" s="54"/>
      <c r="C21" s="54"/>
      <c r="D21" s="54"/>
      <c r="E21" s="54"/>
      <c r="F21" s="54"/>
      <c r="G21" s="54"/>
      <c r="H21" s="54"/>
      <c r="I21" s="54"/>
      <c r="J21" s="54"/>
      <c r="K21" s="55"/>
      <c r="L21" s="37">
        <f t="shared" si="8"/>
        <v>18</v>
      </c>
      <c r="M21" s="16">
        <f>'[3]BANKNIFTY-I'!B319</f>
        <v>42482</v>
      </c>
      <c r="N21" s="17">
        <f>'[3]BANKNIFTY-I'!D319</f>
        <v>16513</v>
      </c>
      <c r="O21" s="17">
        <f>'[3]BANKNIFTY-I'!E319</f>
        <v>16758</v>
      </c>
      <c r="P21" s="17">
        <f>'[3]BANKNIFTY-I'!F319</f>
        <v>16466.650399999999</v>
      </c>
      <c r="Q21" s="17">
        <f>'[3]BANKNIFTY-I'!G319</f>
        <v>16727.849600000001</v>
      </c>
      <c r="R21" s="18">
        <f>'[3]BANKNIFTY-I'!I319</f>
        <v>3250200</v>
      </c>
      <c r="S21" s="19">
        <f>'[4]NIFTY-I'!B319</f>
        <v>42482</v>
      </c>
      <c r="T21" s="20">
        <f>'[4]NIFTY-I'!D319</f>
        <v>7895</v>
      </c>
      <c r="U21" s="20">
        <f>'[4]NIFTY-I'!E319</f>
        <v>7941.8999000000003</v>
      </c>
      <c r="V21" s="20">
        <f>'[4]NIFTY-I'!F319</f>
        <v>7881.4502000000002</v>
      </c>
      <c r="W21" s="20">
        <f>'[4]NIFTY-I'!G319</f>
        <v>7911.1499000000003</v>
      </c>
      <c r="X21" s="21">
        <f>'[4]NIFTY-I'!I319</f>
        <v>9797325</v>
      </c>
      <c r="Y21" s="22"/>
      <c r="Z21" s="42">
        <f t="shared" si="4"/>
        <v>291.34960000000137</v>
      </c>
      <c r="AA21" s="47">
        <f t="shared" si="13"/>
        <v>326.21218221921407</v>
      </c>
      <c r="AB21" s="47">
        <f t="shared" si="9"/>
        <v>9786.3654665764225</v>
      </c>
      <c r="AC21" s="47">
        <f>AB21*'Base Data'!$D$13</f>
        <v>7339.7740999323169</v>
      </c>
      <c r="AD21" s="51">
        <f>IF(INT(('Base Data'!$D$7)/AC21)=0,0,INT(('Base Data'!$D$7)/AC21))</f>
        <v>3</v>
      </c>
      <c r="AE21" s="48">
        <f t="shared" si="5"/>
        <v>60.449700000000121</v>
      </c>
      <c r="AF21" s="49">
        <f t="shared" si="14"/>
        <v>87.387476900982222</v>
      </c>
      <c r="AG21" s="49">
        <f t="shared" si="10"/>
        <v>6554.0607675736665</v>
      </c>
      <c r="AH21" s="49">
        <f>AG21*'Base Data'!$D$13</f>
        <v>4915.5455756802494</v>
      </c>
      <c r="AI21" s="50">
        <f>IF(INT(('Base Data'!$D$7)/AH21)=0,0,INT(('Base Data'!$D$7)/AH21))</f>
        <v>5</v>
      </c>
      <c r="AJ21" s="42">
        <f t="shared" si="6"/>
        <v>291.34960000000137</v>
      </c>
      <c r="AK21" s="47">
        <v>0</v>
      </c>
      <c r="AL21" s="47">
        <v>0</v>
      </c>
      <c r="AM21" s="47">
        <v>0</v>
      </c>
      <c r="AN21" s="43">
        <v>0</v>
      </c>
      <c r="AO21" s="44">
        <f t="shared" si="7"/>
        <v>60.449700000000121</v>
      </c>
      <c r="AP21" s="49">
        <v>0</v>
      </c>
      <c r="AQ21" s="49">
        <v>0</v>
      </c>
      <c r="AR21" s="49">
        <v>0</v>
      </c>
      <c r="AS21" s="45">
        <v>0</v>
      </c>
      <c r="AT21" s="46">
        <f t="shared" si="0"/>
        <v>291.34960000000137</v>
      </c>
      <c r="AU21" s="39">
        <f t="shared" si="1"/>
        <v>1.7643650457215609E-2</v>
      </c>
      <c r="AV21" s="39">
        <f t="shared" si="11"/>
        <v>1.7737129572056677E-2</v>
      </c>
      <c r="AW21" s="39">
        <f t="shared" si="15"/>
        <v>1.8112336511193879E-2</v>
      </c>
      <c r="AX21" s="40">
        <v>0</v>
      </c>
      <c r="AY21" s="52">
        <f t="shared" si="2"/>
        <v>60.449700000000121</v>
      </c>
      <c r="AZ21" s="41">
        <f t="shared" si="3"/>
        <v>7.6567067764408006E-3</v>
      </c>
      <c r="BA21" s="41">
        <f t="shared" si="12"/>
        <v>1.1173782787448017E-2</v>
      </c>
      <c r="BB21" s="41">
        <f t="shared" si="16"/>
        <v>1.1075079176558346E-2</v>
      </c>
      <c r="BC21" s="38">
        <v>0</v>
      </c>
    </row>
    <row r="22" spans="1:55" x14ac:dyDescent="0.25">
      <c r="A22" s="54"/>
      <c r="B22" s="54"/>
      <c r="C22" s="54"/>
      <c r="D22" s="54"/>
      <c r="E22" s="54"/>
      <c r="F22" s="54"/>
      <c r="G22" s="54"/>
      <c r="H22" s="54"/>
      <c r="I22" s="54"/>
      <c r="J22" s="54"/>
      <c r="K22" s="55"/>
      <c r="L22" s="37">
        <f t="shared" si="8"/>
        <v>19</v>
      </c>
      <c r="M22" s="16">
        <f>'[3]BANKNIFTY-I'!B320</f>
        <v>42485</v>
      </c>
      <c r="N22" s="17">
        <f>'[3]BANKNIFTY-I'!D320</f>
        <v>16767</v>
      </c>
      <c r="O22" s="17">
        <f>'[3]BANKNIFTY-I'!E320</f>
        <v>16782</v>
      </c>
      <c r="P22" s="17">
        <f>'[3]BANKNIFTY-I'!F320</f>
        <v>16591.300800000001</v>
      </c>
      <c r="Q22" s="17">
        <f>'[3]BANKNIFTY-I'!G320</f>
        <v>16689.449199999999</v>
      </c>
      <c r="R22" s="18">
        <f>'[3]BANKNIFTY-I'!I320</f>
        <v>2483940</v>
      </c>
      <c r="S22" s="19">
        <f>'[4]NIFTY-I'!B320</f>
        <v>42485</v>
      </c>
      <c r="T22" s="20">
        <f>'[4]NIFTY-I'!D320</f>
        <v>7905</v>
      </c>
      <c r="U22" s="20">
        <f>'[4]NIFTY-I'!E320</f>
        <v>7908.7997999999998</v>
      </c>
      <c r="V22" s="20">
        <f>'[4]NIFTY-I'!F320</f>
        <v>7831.1000999999997</v>
      </c>
      <c r="W22" s="20">
        <f>'[4]NIFTY-I'!G320</f>
        <v>7865</v>
      </c>
      <c r="X22" s="21">
        <f>'[4]NIFTY-I'!I320</f>
        <v>11187675</v>
      </c>
      <c r="Y22" s="22"/>
      <c r="Z22" s="42">
        <f t="shared" si="4"/>
        <v>190.69919999999911</v>
      </c>
      <c r="AA22" s="47">
        <f t="shared" si="13"/>
        <v>296.09818617049962</v>
      </c>
      <c r="AB22" s="47">
        <f t="shared" si="9"/>
        <v>8882.9455851149887</v>
      </c>
      <c r="AC22" s="47">
        <f>AB22*'Base Data'!$D$13</f>
        <v>6662.2091888362411</v>
      </c>
      <c r="AD22" s="51">
        <f>IF(INT(('Base Data'!$D$7)/AC22)=0,0,INT(('Base Data'!$D$7)/AC22))</f>
        <v>3</v>
      </c>
      <c r="AE22" s="48">
        <f t="shared" si="5"/>
        <v>80.049800000000687</v>
      </c>
      <c r="AF22" s="49">
        <f t="shared" si="14"/>
        <v>85.75688203409743</v>
      </c>
      <c r="AG22" s="49">
        <f t="shared" si="10"/>
        <v>6431.7661525573076</v>
      </c>
      <c r="AH22" s="49">
        <f>AG22*'Base Data'!$D$13</f>
        <v>4823.8246144179811</v>
      </c>
      <c r="AI22" s="50">
        <f>IF(INT(('Base Data'!$D$7)/AH22)=0,0,INT(('Base Data'!$D$7)/AH22))</f>
        <v>5</v>
      </c>
      <c r="AJ22" s="42">
        <f t="shared" si="6"/>
        <v>190.69919999999911</v>
      </c>
      <c r="AK22" s="47">
        <v>0</v>
      </c>
      <c r="AL22" s="47">
        <v>0</v>
      </c>
      <c r="AM22" s="47">
        <v>0</v>
      </c>
      <c r="AN22" s="43">
        <v>0</v>
      </c>
      <c r="AO22" s="44">
        <f t="shared" si="7"/>
        <v>80.049800000000687</v>
      </c>
      <c r="AP22" s="49">
        <v>0</v>
      </c>
      <c r="AQ22" s="49">
        <v>0</v>
      </c>
      <c r="AR22" s="49">
        <v>0</v>
      </c>
      <c r="AS22" s="45">
        <v>0</v>
      </c>
      <c r="AT22" s="46">
        <f t="shared" si="0"/>
        <v>190.69919999999911</v>
      </c>
      <c r="AU22" s="39">
        <f t="shared" si="1"/>
        <v>1.1373483628556039E-2</v>
      </c>
      <c r="AV22" s="39">
        <f t="shared" si="11"/>
        <v>1.7742444907435016E-2</v>
      </c>
      <c r="AW22" s="39">
        <f t="shared" si="15"/>
        <v>1.7885605432288884E-2</v>
      </c>
      <c r="AX22" s="40">
        <v>0</v>
      </c>
      <c r="AY22" s="52">
        <f t="shared" si="2"/>
        <v>77.699700000000121</v>
      </c>
      <c r="AZ22" s="41">
        <f t="shared" si="3"/>
        <v>9.8291840607210787E-3</v>
      </c>
      <c r="BA22" s="41">
        <f t="shared" si="12"/>
        <v>1.1476533911749031E-2</v>
      </c>
      <c r="BB22" s="41">
        <f t="shared" si="16"/>
        <v>1.1151694742664134E-2</v>
      </c>
      <c r="BC22" s="38">
        <v>0</v>
      </c>
    </row>
    <row r="23" spans="1:55" x14ac:dyDescent="0.25">
      <c r="A23" s="54"/>
      <c r="B23" s="54"/>
      <c r="C23" s="54"/>
      <c r="D23" s="54"/>
      <c r="E23" s="54"/>
      <c r="F23" s="54"/>
      <c r="G23" s="54"/>
      <c r="H23" s="54"/>
      <c r="I23" s="54"/>
      <c r="J23" s="54"/>
      <c r="K23" s="55"/>
      <c r="L23" s="37">
        <f t="shared" si="8"/>
        <v>20</v>
      </c>
      <c r="M23" s="16">
        <f>'[3]BANKNIFTY-I'!B321</f>
        <v>42486</v>
      </c>
      <c r="N23" s="17">
        <f>'[3]BANKNIFTY-I'!D321</f>
        <v>16650</v>
      </c>
      <c r="O23" s="17">
        <f>'[3]BANKNIFTY-I'!E321</f>
        <v>17069</v>
      </c>
      <c r="P23" s="17">
        <f>'[3]BANKNIFTY-I'!F321</f>
        <v>16575.050800000001</v>
      </c>
      <c r="Q23" s="17">
        <f>'[3]BANKNIFTY-I'!G321</f>
        <v>17028</v>
      </c>
      <c r="R23" s="18">
        <f>'[3]BANKNIFTY-I'!I321</f>
        <v>4119930</v>
      </c>
      <c r="S23" s="19">
        <f>'[4]NIFTY-I'!B321</f>
        <v>42486</v>
      </c>
      <c r="T23" s="20">
        <f>'[4]NIFTY-I'!D321</f>
        <v>7834.5</v>
      </c>
      <c r="U23" s="20">
        <f>'[4]NIFTY-I'!E321</f>
        <v>7992.4502000000002</v>
      </c>
      <c r="V23" s="20">
        <f>'[4]NIFTY-I'!F321</f>
        <v>7832.7002000000002</v>
      </c>
      <c r="W23" s="20">
        <f>'[4]NIFTY-I'!G321</f>
        <v>7979.1499000000003</v>
      </c>
      <c r="X23" s="21">
        <f>'[4]NIFTY-I'!I321</f>
        <v>17689876</v>
      </c>
      <c r="Y23" s="22"/>
      <c r="Z23" s="42">
        <f t="shared" si="4"/>
        <v>493.94919999999911</v>
      </c>
      <c r="AA23" s="47">
        <f t="shared" si="13"/>
        <v>340.06507813261061</v>
      </c>
      <c r="AB23" s="47">
        <f t="shared" si="9"/>
        <v>10201.952343978319</v>
      </c>
      <c r="AC23" s="47">
        <f>AB23*'Base Data'!$D$13</f>
        <v>7651.4642579837391</v>
      </c>
      <c r="AD23" s="51">
        <f>IF(INT(('Base Data'!$D$7)/AC23)=0,0,INT(('Base Data'!$D$7)/AC23))</f>
        <v>3</v>
      </c>
      <c r="AE23" s="48">
        <f t="shared" si="5"/>
        <v>159.75</v>
      </c>
      <c r="AF23" s="49">
        <f t="shared" si="14"/>
        <v>102.19979713763134</v>
      </c>
      <c r="AG23" s="49">
        <f t="shared" si="10"/>
        <v>7664.98478532235</v>
      </c>
      <c r="AH23" s="49">
        <f>AG23*'Base Data'!$D$13</f>
        <v>5748.7385889917623</v>
      </c>
      <c r="AI23" s="50">
        <f>IF(INT(('Base Data'!$D$7)/AH23)=0,0,INT(('Base Data'!$D$7)/AH23))</f>
        <v>4</v>
      </c>
      <c r="AJ23" s="42">
        <f t="shared" si="6"/>
        <v>493.94919999999911</v>
      </c>
      <c r="AK23" s="47">
        <v>0</v>
      </c>
      <c r="AL23" s="47">
        <v>0</v>
      </c>
      <c r="AM23" s="47">
        <v>0</v>
      </c>
      <c r="AN23" s="43">
        <v>0</v>
      </c>
      <c r="AO23" s="44">
        <f t="shared" si="7"/>
        <v>159.75</v>
      </c>
      <c r="AP23" s="49">
        <v>0</v>
      </c>
      <c r="AQ23" s="49">
        <v>0</v>
      </c>
      <c r="AR23" s="49">
        <v>0</v>
      </c>
      <c r="AS23" s="45">
        <v>0</v>
      </c>
      <c r="AT23" s="46">
        <f t="shared" si="0"/>
        <v>493.94919999999911</v>
      </c>
      <c r="AU23" s="39">
        <f t="shared" si="1"/>
        <v>2.9666618618618565E-2</v>
      </c>
      <c r="AV23" s="39">
        <f t="shared" si="11"/>
        <v>1.7785346906360348E-2</v>
      </c>
      <c r="AW23" s="39">
        <f t="shared" si="15"/>
        <v>1.9150387858129357E-2</v>
      </c>
      <c r="AX23" s="40">
        <v>0</v>
      </c>
      <c r="AY23" s="52">
        <f t="shared" si="2"/>
        <v>159.75</v>
      </c>
      <c r="AZ23" s="41">
        <f t="shared" si="3"/>
        <v>2.0390580126364157E-2</v>
      </c>
      <c r="BA23" s="41">
        <f t="shared" si="12"/>
        <v>1.1059588477938673E-2</v>
      </c>
      <c r="BB23" s="41">
        <f t="shared" si="16"/>
        <v>1.1999233483321806E-2</v>
      </c>
      <c r="BC23" s="38">
        <v>0</v>
      </c>
    </row>
    <row r="24" spans="1:55" x14ac:dyDescent="0.25">
      <c r="A24" s="54"/>
      <c r="B24" s="54"/>
      <c r="C24" s="54"/>
      <c r="D24" s="54"/>
      <c r="E24" s="54"/>
      <c r="F24" s="54"/>
      <c r="G24" s="54"/>
      <c r="H24" s="54"/>
      <c r="I24" s="54"/>
      <c r="J24" s="54"/>
      <c r="K24" s="55"/>
      <c r="L24" s="37">
        <f t="shared" si="8"/>
        <v>21</v>
      </c>
      <c r="M24" s="16">
        <f>'[3]BANKNIFTY-I'!B322</f>
        <v>42487</v>
      </c>
      <c r="N24" s="17">
        <f>'[3]BANKNIFTY-I'!D322</f>
        <v>16910</v>
      </c>
      <c r="O24" s="17">
        <f>'[3]BANKNIFTY-I'!E322</f>
        <v>17005.099600000001</v>
      </c>
      <c r="P24" s="17">
        <f>'[3]BANKNIFTY-I'!F322</f>
        <v>16850</v>
      </c>
      <c r="Q24" s="17">
        <f>'[3]BANKNIFTY-I'!G322</f>
        <v>16897.75</v>
      </c>
      <c r="R24" s="18">
        <f>'[3]BANKNIFTY-I'!I322</f>
        <v>2736870</v>
      </c>
      <c r="S24" s="19">
        <f>'[4]NIFTY-I'!B322</f>
        <v>42487</v>
      </c>
      <c r="T24" s="20">
        <f>'[4]NIFTY-I'!D322</f>
        <v>7952.2997999999998</v>
      </c>
      <c r="U24" s="20">
        <f>'[4]NIFTY-I'!E322</f>
        <v>7997.9502000000002</v>
      </c>
      <c r="V24" s="20">
        <f>'[4]NIFTY-I'!F322</f>
        <v>7949.5</v>
      </c>
      <c r="W24" s="20">
        <f>'[4]NIFTY-I'!G322</f>
        <v>7990.3500999999997</v>
      </c>
      <c r="X24" s="21">
        <f>'[4]NIFTY-I'!I322</f>
        <v>10119000</v>
      </c>
      <c r="Y24" s="22"/>
      <c r="Z24" s="42">
        <f t="shared" si="4"/>
        <v>178</v>
      </c>
      <c r="AA24" s="47">
        <f t="shared" si="13"/>
        <v>304.05061632536382</v>
      </c>
      <c r="AB24" s="47">
        <f t="shared" si="9"/>
        <v>9121.5184897609142</v>
      </c>
      <c r="AC24" s="47">
        <f>AB24*'Base Data'!$D$13</f>
        <v>6841.1388673206857</v>
      </c>
      <c r="AD24" s="51">
        <f>IF(INT(('Base Data'!$D$7)/AC24)=0,0,INT(('Base Data'!$D$7)/AC24))</f>
        <v>3</v>
      </c>
      <c r="AE24" s="48">
        <f t="shared" si="5"/>
        <v>48.450200000000223</v>
      </c>
      <c r="AF24" s="49">
        <f t="shared" si="14"/>
        <v>90.255442218157754</v>
      </c>
      <c r="AG24" s="49">
        <f t="shared" si="10"/>
        <v>6769.1581663618317</v>
      </c>
      <c r="AH24" s="49">
        <f>AG24*'Base Data'!$D$13</f>
        <v>5076.868624771374</v>
      </c>
      <c r="AI24" s="50">
        <f>IF(INT(('Base Data'!$D$7)/AH24)=0,0,INT(('Base Data'!$D$7)/AH24))</f>
        <v>4</v>
      </c>
      <c r="AJ24" s="42">
        <f t="shared" si="6"/>
        <v>178</v>
      </c>
      <c r="AK24" s="47">
        <v>0</v>
      </c>
      <c r="AL24" s="47">
        <v>0</v>
      </c>
      <c r="AM24" s="47">
        <v>0</v>
      </c>
      <c r="AN24" s="43">
        <v>0</v>
      </c>
      <c r="AO24" s="44">
        <f t="shared" si="7"/>
        <v>48.450200000000223</v>
      </c>
      <c r="AP24" s="49">
        <v>0</v>
      </c>
      <c r="AQ24" s="49">
        <v>0</v>
      </c>
      <c r="AR24" s="49">
        <v>0</v>
      </c>
      <c r="AS24" s="45">
        <v>0</v>
      </c>
      <c r="AT24" s="46">
        <f t="shared" si="0"/>
        <v>155.09960000000137</v>
      </c>
      <c r="AU24" s="39">
        <f t="shared" si="1"/>
        <v>9.1720638675340856E-3</v>
      </c>
      <c r="AV24" s="39">
        <f t="shared" si="11"/>
        <v>1.753379500884529E-2</v>
      </c>
      <c r="AW24" s="39">
        <f t="shared" si="15"/>
        <v>1.7142921068587811E-2</v>
      </c>
      <c r="AX24" s="40">
        <f>AVERAGE(AU4:AU24)</f>
        <v>1.7517074883762362E-2</v>
      </c>
      <c r="AY24" s="52">
        <f t="shared" si="2"/>
        <v>48.450200000000223</v>
      </c>
      <c r="AZ24" s="41">
        <f t="shared" si="3"/>
        <v>6.0926022934900195E-3</v>
      </c>
      <c r="BA24" s="41">
        <f t="shared" si="12"/>
        <v>1.0966600143621552E-2</v>
      </c>
      <c r="BB24" s="41">
        <f t="shared" si="16"/>
        <v>1.09806514012786E-2</v>
      </c>
      <c r="BC24" s="38">
        <f>AVERAGE(AZ4:AZ24)</f>
        <v>1.1206168774281067E-2</v>
      </c>
    </row>
    <row r="25" spans="1:55" x14ac:dyDescent="0.25">
      <c r="A25" s="54"/>
      <c r="B25" s="54"/>
      <c r="C25" s="54"/>
      <c r="D25" s="54"/>
      <c r="E25" s="54"/>
      <c r="F25" s="54"/>
      <c r="G25" s="54"/>
      <c r="H25" s="54"/>
      <c r="I25" s="54"/>
      <c r="J25" s="54"/>
      <c r="K25" s="55"/>
      <c r="L25" s="37">
        <f t="shared" si="8"/>
        <v>22</v>
      </c>
      <c r="M25" s="16">
        <f>'[3]BANKNIFTY-I'!B323</f>
        <v>42488</v>
      </c>
      <c r="N25" s="17">
        <f>'[3]BANKNIFTY-I'!D323</f>
        <v>16860</v>
      </c>
      <c r="O25" s="17">
        <f>'[3]BANKNIFTY-I'!E323</f>
        <v>17036.449199999999</v>
      </c>
      <c r="P25" s="17">
        <f>'[3]BANKNIFTY-I'!F323</f>
        <v>16706</v>
      </c>
      <c r="Q25" s="17">
        <f>'[3]BANKNIFTY-I'!G323</f>
        <v>16726.099600000001</v>
      </c>
      <c r="R25" s="18">
        <f>'[3]BANKNIFTY-I'!I323</f>
        <v>3682410</v>
      </c>
      <c r="S25" s="19">
        <f>'[4]NIFTY-I'!B323</f>
        <v>42488</v>
      </c>
      <c r="T25" s="20">
        <f>'[4]NIFTY-I'!D323</f>
        <v>7970.5</v>
      </c>
      <c r="U25" s="20">
        <f>'[4]NIFTY-I'!E323</f>
        <v>8000</v>
      </c>
      <c r="V25" s="20">
        <f>'[4]NIFTY-I'!F323</f>
        <v>7843</v>
      </c>
      <c r="W25" s="20">
        <f>'[4]NIFTY-I'!G323</f>
        <v>7853.4502000000002</v>
      </c>
      <c r="X25" s="21">
        <f>'[4]NIFTY-I'!I323</f>
        <v>18173624</v>
      </c>
      <c r="Y25" s="22"/>
      <c r="Z25" s="42">
        <f t="shared" si="4"/>
        <v>330.44919999999911</v>
      </c>
      <c r="AA25" s="47">
        <f t="shared" si="13"/>
        <v>309.91696825306053</v>
      </c>
      <c r="AB25" s="47">
        <f t="shared" si="9"/>
        <v>9297.509047591815</v>
      </c>
      <c r="AC25" s="47">
        <f>AB25*'Base Data'!$D$13</f>
        <v>6973.1317856938613</v>
      </c>
      <c r="AD25" s="51">
        <f>IF(INT(('Base Data'!$D$7)/AC25)=0,0,INT(('Base Data'!$D$7)/AC25))</f>
        <v>3</v>
      </c>
      <c r="AE25" s="48">
        <f t="shared" si="5"/>
        <v>157</v>
      </c>
      <c r="AF25" s="49">
        <f t="shared" si="14"/>
        <v>105.08756616967825</v>
      </c>
      <c r="AG25" s="49">
        <f t="shared" si="10"/>
        <v>7881.5674627258695</v>
      </c>
      <c r="AH25" s="49">
        <f>AG25*'Base Data'!$D$13</f>
        <v>5911.1755970444019</v>
      </c>
      <c r="AI25" s="50">
        <f>IF(INT(('Base Data'!$D$7)/AH25)=0,0,INT(('Base Data'!$D$7)/AH25))</f>
        <v>4</v>
      </c>
      <c r="AJ25" s="42">
        <f t="shared" si="6"/>
        <v>330.44919999999911</v>
      </c>
      <c r="AK25" s="47">
        <f>AVERAGE(AJ5:AJ25)</f>
        <v>312.27608571428584</v>
      </c>
      <c r="AL25" s="47">
        <f t="shared" ref="AL25:AL63" si="17">AK25*$F$4</f>
        <v>9368.2825714285755</v>
      </c>
      <c r="AM25" s="47">
        <f>AL25*'Base Data'!$D$10</f>
        <v>18736.565142857151</v>
      </c>
      <c r="AN25" s="51">
        <f>IF(INT(('Base Data'!$D$7)/AM25)=0,0,INT(('Base Data'!$D$7)/AM25))</f>
        <v>1</v>
      </c>
      <c r="AO25" s="44">
        <f t="shared" si="7"/>
        <v>157</v>
      </c>
      <c r="AP25" s="49">
        <f>AVERAGE(AO5:AO25)</f>
        <v>97.242838095238156</v>
      </c>
      <c r="AQ25" s="49">
        <f t="shared" ref="AQ25:AQ63" si="18">AP25*$G$4</f>
        <v>7293.212857142862</v>
      </c>
      <c r="AR25" s="49">
        <f>AQ25*'Base Data'!$D$10</f>
        <v>14586.425714285724</v>
      </c>
      <c r="AS25" s="50">
        <f>IF(INT(('Base Data'!$D$7)/AR25)=0,0,INT(('Base Data'!$D$7)/AR25))</f>
        <v>1</v>
      </c>
      <c r="AT25" s="46">
        <f t="shared" si="0"/>
        <v>330.44919999999911</v>
      </c>
      <c r="AU25" s="39">
        <f t="shared" si="1"/>
        <v>1.9599596678529011E-2</v>
      </c>
      <c r="AV25" s="39">
        <f t="shared" si="11"/>
        <v>1.7419579321824578E-2</v>
      </c>
      <c r="AW25" s="39">
        <f t="shared" si="15"/>
        <v>1.7683549384518615E-2</v>
      </c>
      <c r="AX25" s="40">
        <f t="shared" ref="AX25:AX63" si="19">AVERAGE(AU5:AU25)</f>
        <v>1.7993680307551749E-2</v>
      </c>
      <c r="AY25" s="52">
        <f t="shared" si="2"/>
        <v>157</v>
      </c>
      <c r="AZ25" s="41">
        <f t="shared" si="3"/>
        <v>1.9697635029170064E-2</v>
      </c>
      <c r="BA25" s="41">
        <f t="shared" si="12"/>
        <v>1.1786999902441043E-2</v>
      </c>
      <c r="BB25" s="41">
        <f t="shared" si="16"/>
        <v>1.1989255700428266E-2</v>
      </c>
      <c r="BC25" s="38">
        <f t="shared" ref="BC25:BC63" si="20">AVERAGE(AZ5:AZ25)</f>
        <v>1.1721273532345065E-2</v>
      </c>
    </row>
    <row r="26" spans="1:55" x14ac:dyDescent="0.25">
      <c r="A26" s="54"/>
      <c r="B26" s="54"/>
      <c r="C26" s="54"/>
      <c r="D26" s="54"/>
      <c r="E26" s="54"/>
      <c r="F26" s="54"/>
      <c r="G26" s="54"/>
      <c r="H26" s="54"/>
      <c r="I26" s="54"/>
      <c r="J26" s="54"/>
      <c r="K26" s="55"/>
      <c r="L26" s="37">
        <f t="shared" si="8"/>
        <v>23</v>
      </c>
      <c r="M26" s="16">
        <f>'[3]BANKNIFTY-I'!B324</f>
        <v>42489</v>
      </c>
      <c r="N26" s="17">
        <f>'[3]BANKNIFTY-I'!D324</f>
        <v>16774.900399999999</v>
      </c>
      <c r="O26" s="17">
        <f>'[3]BANKNIFTY-I'!E324</f>
        <v>16946.25</v>
      </c>
      <c r="P26" s="17">
        <f>'[3]BANKNIFTY-I'!F324</f>
        <v>16560.900399999999</v>
      </c>
      <c r="Q26" s="17">
        <f>'[3]BANKNIFTY-I'!G324</f>
        <v>16888.349600000001</v>
      </c>
      <c r="R26" s="18">
        <f>'[3]BANKNIFTY-I'!I324</f>
        <v>4934850</v>
      </c>
      <c r="S26" s="19">
        <f>'[4]NIFTY-I'!B324</f>
        <v>42489</v>
      </c>
      <c r="T26" s="20">
        <f>'[4]NIFTY-I'!D324</f>
        <v>7887</v>
      </c>
      <c r="U26" s="20">
        <f>'[4]NIFTY-I'!E324</f>
        <v>7950</v>
      </c>
      <c r="V26" s="20">
        <f>'[4]NIFTY-I'!F324</f>
        <v>7831.1000999999997</v>
      </c>
      <c r="W26" s="20">
        <f>'[4]NIFTY-I'!G324</f>
        <v>7894.7997999999998</v>
      </c>
      <c r="X26" s="21">
        <f>'[4]NIFTY-I'!I324</f>
        <v>15608250</v>
      </c>
      <c r="Y26" s="22"/>
      <c r="Z26" s="42">
        <f t="shared" si="4"/>
        <v>385.34960000000137</v>
      </c>
      <c r="AA26" s="47">
        <f t="shared" si="13"/>
        <v>326.67977530793627</v>
      </c>
      <c r="AB26" s="47">
        <f t="shared" si="9"/>
        <v>9800.3932592380879</v>
      </c>
      <c r="AC26" s="47">
        <f>AB26*'Base Data'!$D$13</f>
        <v>7350.2949444285659</v>
      </c>
      <c r="AD26" s="51">
        <f>IF(INT(('Base Data'!$D$7)/AC26)=0,0,INT(('Base Data'!$D$7)/AC26))</f>
        <v>3</v>
      </c>
      <c r="AE26" s="48">
        <f t="shared" si="5"/>
        <v>118.89990000000034</v>
      </c>
      <c r="AF26" s="49">
        <f t="shared" si="14"/>
        <v>108.15697368752761</v>
      </c>
      <c r="AG26" s="49">
        <f t="shared" si="10"/>
        <v>8111.7730265645705</v>
      </c>
      <c r="AH26" s="49">
        <f>AG26*'Base Data'!$D$13</f>
        <v>6083.8297699234281</v>
      </c>
      <c r="AI26" s="50">
        <f>IF(INT(('Base Data'!$D$7)/AH26)=0,0,INT(('Base Data'!$D$7)/AH26))</f>
        <v>4</v>
      </c>
      <c r="AJ26" s="42">
        <f t="shared" si="6"/>
        <v>385.34960000000137</v>
      </c>
      <c r="AK26" s="47">
        <f>((AJ26-AK25)*(2/(1+21)))+AK25</f>
        <v>318.91913246753273</v>
      </c>
      <c r="AL26" s="47">
        <f t="shared" si="17"/>
        <v>9567.5739740259814</v>
      </c>
      <c r="AM26" s="47">
        <f>AL26*'Base Data'!$D$10</f>
        <v>19135.147948051963</v>
      </c>
      <c r="AN26" s="51">
        <f>IF(INT(('Base Data'!$D$7)/AM26)=0,0,INT(('Base Data'!$D$7)/AM26))</f>
        <v>1</v>
      </c>
      <c r="AO26" s="44">
        <f t="shared" si="7"/>
        <v>118.89990000000034</v>
      </c>
      <c r="AP26" s="49">
        <f>((AO26-AP25)*(2/(1+21)))+AP25</f>
        <v>99.211661904761996</v>
      </c>
      <c r="AQ26" s="49">
        <f t="shared" si="18"/>
        <v>7440.8746428571494</v>
      </c>
      <c r="AR26" s="49">
        <f>AQ26*'Base Data'!$D$10</f>
        <v>14881.749285714299</v>
      </c>
      <c r="AS26" s="50">
        <f>IF(INT(('Base Data'!$D$7)/AR26)=0,0,INT(('Base Data'!$D$7)/AR26))</f>
        <v>1</v>
      </c>
      <c r="AT26" s="46">
        <f t="shared" si="0"/>
        <v>385.34960000000137</v>
      </c>
      <c r="AU26" s="39">
        <f t="shared" si="1"/>
        <v>2.2971796601546524E-2</v>
      </c>
      <c r="AV26" s="39">
        <f t="shared" si="11"/>
        <v>1.7234819178191488E-2</v>
      </c>
      <c r="AW26" s="39">
        <f t="shared" si="15"/>
        <v>1.8052353536249045E-2</v>
      </c>
      <c r="AX26" s="40">
        <f t="shared" si="19"/>
        <v>1.806972267303859E-2</v>
      </c>
      <c r="AY26" s="52">
        <f t="shared" si="2"/>
        <v>118.89990000000034</v>
      </c>
      <c r="AZ26" s="41">
        <f t="shared" si="3"/>
        <v>1.5075427919361017E-2</v>
      </c>
      <c r="BA26" s="41">
        <f t="shared" si="12"/>
        <v>1.2467998384137997E-2</v>
      </c>
      <c r="BB26" s="41">
        <f t="shared" si="16"/>
        <v>1.2344283979130037E-2</v>
      </c>
      <c r="BC26" s="38">
        <f t="shared" si="20"/>
        <v>1.1704982329577816E-2</v>
      </c>
    </row>
    <row r="27" spans="1:55" x14ac:dyDescent="0.25">
      <c r="A27" s="54"/>
      <c r="B27" s="54"/>
      <c r="C27" s="54"/>
      <c r="D27" s="54"/>
      <c r="E27" s="54"/>
      <c r="F27" s="54"/>
      <c r="G27" s="54"/>
      <c r="H27" s="54"/>
      <c r="I27" s="54"/>
      <c r="J27" s="54"/>
      <c r="K27" s="55"/>
      <c r="L27" s="37">
        <f t="shared" si="8"/>
        <v>24</v>
      </c>
      <c r="M27" s="16">
        <f>'[3]BANKNIFTY-I'!B325</f>
        <v>42492</v>
      </c>
      <c r="N27" s="17">
        <f>'[3]BANKNIFTY-I'!D325</f>
        <v>16720.449199999999</v>
      </c>
      <c r="O27" s="17">
        <f>'[3]BANKNIFTY-I'!E325</f>
        <v>16756.25</v>
      </c>
      <c r="P27" s="17">
        <f>'[3]BANKNIFTY-I'!F325</f>
        <v>16590.599600000001</v>
      </c>
      <c r="Q27" s="17">
        <f>'[3]BANKNIFTY-I'!G325</f>
        <v>16620.800800000001</v>
      </c>
      <c r="R27" s="18">
        <f>'[3]BANKNIFTY-I'!I325</f>
        <v>3177060</v>
      </c>
      <c r="S27" s="19">
        <f>'[4]NIFTY-I'!B325</f>
        <v>42492</v>
      </c>
      <c r="T27" s="20">
        <f>'[4]NIFTY-I'!D325</f>
        <v>7858.2002000000002</v>
      </c>
      <c r="U27" s="20">
        <f>'[4]NIFTY-I'!E325</f>
        <v>7874.4502000000002</v>
      </c>
      <c r="V27" s="20">
        <f>'[4]NIFTY-I'!F325</f>
        <v>7805.1000999999997</v>
      </c>
      <c r="W27" s="20">
        <f>'[4]NIFTY-I'!G325</f>
        <v>7840.1000999999997</v>
      </c>
      <c r="X27" s="21">
        <f>'[4]NIFTY-I'!I325</f>
        <v>11138550</v>
      </c>
      <c r="Y27" s="22"/>
      <c r="Z27" s="42">
        <f t="shared" si="4"/>
        <v>297.75</v>
      </c>
      <c r="AA27" s="47">
        <f t="shared" si="13"/>
        <v>320.25093635061711</v>
      </c>
      <c r="AB27" s="47">
        <f t="shared" si="9"/>
        <v>9607.5280905185136</v>
      </c>
      <c r="AC27" s="47">
        <f>AB27*'Base Data'!$D$13</f>
        <v>7205.6460678888852</v>
      </c>
      <c r="AD27" s="51">
        <f>IF(INT(('Base Data'!$D$7)/AC27)=0,0,INT(('Base Data'!$D$7)/AC27))</f>
        <v>3</v>
      </c>
      <c r="AE27" s="48">
        <f t="shared" si="5"/>
        <v>89.699700000000121</v>
      </c>
      <c r="AF27" s="49">
        <f t="shared" si="14"/>
        <v>104.05535731252151</v>
      </c>
      <c r="AG27" s="49">
        <f t="shared" si="10"/>
        <v>7804.151798439113</v>
      </c>
      <c r="AH27" s="49">
        <f>AG27*'Base Data'!$D$13</f>
        <v>5853.1138488293345</v>
      </c>
      <c r="AI27" s="50">
        <f>IF(INT(('Base Data'!$D$7)/AH27)=0,0,INT(('Base Data'!$D$7)/AH27))</f>
        <v>4</v>
      </c>
      <c r="AJ27" s="42">
        <f t="shared" si="6"/>
        <v>297.75</v>
      </c>
      <c r="AK27" s="47">
        <f t="shared" ref="AK27:AK63" si="21">((AJ27-AK26)*(2/(1+21)))+AK26</f>
        <v>316.99466587957522</v>
      </c>
      <c r="AL27" s="47">
        <f t="shared" si="17"/>
        <v>9509.8399763872567</v>
      </c>
      <c r="AM27" s="47">
        <f>AL27*'Base Data'!$D$10</f>
        <v>19019.679952774513</v>
      </c>
      <c r="AN27" s="51">
        <f>IF(INT(('Base Data'!$D$7)/AM27)=0,0,INT(('Base Data'!$D$7)/AM27))</f>
        <v>1</v>
      </c>
      <c r="AO27" s="44">
        <f t="shared" si="7"/>
        <v>89.699700000000121</v>
      </c>
      <c r="AP27" s="49">
        <f t="shared" ref="AP27:AP63" si="22">((AO27-AP26)*(2/(1+21)))+AP26</f>
        <v>98.346938095238187</v>
      </c>
      <c r="AQ27" s="49">
        <f t="shared" si="18"/>
        <v>7376.0203571428638</v>
      </c>
      <c r="AR27" s="49">
        <f>AQ27*'Base Data'!$D$10</f>
        <v>14752.040714285728</v>
      </c>
      <c r="AS27" s="50">
        <f>IF(INT(('Base Data'!$D$7)/AR27)=0,0,INT(('Base Data'!$D$7)/AR27))</f>
        <v>1</v>
      </c>
      <c r="AT27" s="46">
        <f t="shared" si="0"/>
        <v>165.65039999999863</v>
      </c>
      <c r="AU27" s="39">
        <f t="shared" si="1"/>
        <v>9.9070544109543801E-3</v>
      </c>
      <c r="AV27" s="39">
        <f t="shared" si="11"/>
        <v>1.6588443867811373E-2</v>
      </c>
      <c r="AW27" s="39">
        <f t="shared" si="15"/>
        <v>1.7942822264358668E-2</v>
      </c>
      <c r="AX27" s="40">
        <f t="shared" si="19"/>
        <v>1.7920217530508219E-2</v>
      </c>
      <c r="AY27" s="52">
        <f t="shared" si="2"/>
        <v>69.350100000000566</v>
      </c>
      <c r="AZ27" s="41">
        <f t="shared" si="3"/>
        <v>8.8251887499634536E-3</v>
      </c>
      <c r="BA27" s="41">
        <f t="shared" si="12"/>
        <v>1.2504454942121669E-2</v>
      </c>
      <c r="BB27" s="41">
        <f t="shared" si="16"/>
        <v>1.2453361954795459E-2</v>
      </c>
      <c r="BC27" s="38">
        <f t="shared" si="20"/>
        <v>1.1642111111191027E-2</v>
      </c>
    </row>
    <row r="28" spans="1:55" x14ac:dyDescent="0.25">
      <c r="A28" s="54"/>
      <c r="B28" s="54"/>
      <c r="C28" s="54"/>
      <c r="D28" s="54"/>
      <c r="E28" s="54"/>
      <c r="F28" s="54"/>
      <c r="G28" s="54"/>
      <c r="H28" s="54"/>
      <c r="I28" s="54"/>
      <c r="J28" s="54"/>
      <c r="K28" s="55"/>
      <c r="L28" s="37">
        <f t="shared" si="8"/>
        <v>25</v>
      </c>
      <c r="M28" s="16">
        <f>'[3]BANKNIFTY-I'!B326</f>
        <v>42493</v>
      </c>
      <c r="N28" s="17">
        <f>'[3]BANKNIFTY-I'!D326</f>
        <v>16657</v>
      </c>
      <c r="O28" s="17">
        <f>'[3]BANKNIFTY-I'!E326</f>
        <v>16820</v>
      </c>
      <c r="P28" s="17">
        <f>'[3]BANKNIFTY-I'!F326</f>
        <v>16428.199199999999</v>
      </c>
      <c r="Q28" s="17">
        <f>'[3]BANKNIFTY-I'!G326</f>
        <v>16466.25</v>
      </c>
      <c r="R28" s="18">
        <f>'[3]BANKNIFTY-I'!I326</f>
        <v>3893100</v>
      </c>
      <c r="S28" s="19">
        <f>'[4]NIFTY-I'!B326</f>
        <v>42493</v>
      </c>
      <c r="T28" s="20">
        <f>'[4]NIFTY-I'!D326</f>
        <v>7848.75</v>
      </c>
      <c r="U28" s="20">
        <f>'[4]NIFTY-I'!E326</f>
        <v>7949.9502000000002</v>
      </c>
      <c r="V28" s="20">
        <f>'[4]NIFTY-I'!F326</f>
        <v>7770.1000999999997</v>
      </c>
      <c r="W28" s="20">
        <f>'[4]NIFTY-I'!G326</f>
        <v>7783.7997999999998</v>
      </c>
      <c r="X28" s="21">
        <f>'[4]NIFTY-I'!I326</f>
        <v>18409124</v>
      </c>
      <c r="Y28" s="22"/>
      <c r="Z28" s="42">
        <f t="shared" si="4"/>
        <v>391.80080000000089</v>
      </c>
      <c r="AA28" s="47">
        <f t="shared" si="13"/>
        <v>336.15090605048016</v>
      </c>
      <c r="AB28" s="47">
        <f t="shared" si="9"/>
        <v>10084.527181514404</v>
      </c>
      <c r="AC28" s="47">
        <f>AB28*'Base Data'!$D$13</f>
        <v>7563.3953861358032</v>
      </c>
      <c r="AD28" s="51">
        <f>IF(INT(('Base Data'!$D$7)/AC28)=0,0,INT(('Base Data'!$D$7)/AC28))</f>
        <v>3</v>
      </c>
      <c r="AE28" s="48">
        <f t="shared" si="5"/>
        <v>179.85010000000057</v>
      </c>
      <c r="AF28" s="49">
        <f t="shared" si="14"/>
        <v>120.89863346529464</v>
      </c>
      <c r="AG28" s="49">
        <f t="shared" si="10"/>
        <v>9067.3975098970986</v>
      </c>
      <c r="AH28" s="49">
        <f>AG28*'Base Data'!$D$13</f>
        <v>6800.548132422824</v>
      </c>
      <c r="AI28" s="50">
        <f>IF(INT(('Base Data'!$D$7)/AH28)=0,0,INT(('Base Data'!$D$7)/AH28))</f>
        <v>3</v>
      </c>
      <c r="AJ28" s="42">
        <f t="shared" si="6"/>
        <v>391.80080000000089</v>
      </c>
      <c r="AK28" s="47">
        <f t="shared" si="21"/>
        <v>323.79522352688667</v>
      </c>
      <c r="AL28" s="47">
        <f t="shared" si="17"/>
        <v>9713.8567058066001</v>
      </c>
      <c r="AM28" s="47">
        <f>AL28*'Base Data'!$D$10</f>
        <v>19427.7134116132</v>
      </c>
      <c r="AN28" s="51">
        <f>IF(INT(('Base Data'!$D$7)/AM28)=0,0,INT(('Base Data'!$D$7)/AM28))</f>
        <v>1</v>
      </c>
      <c r="AO28" s="44">
        <f t="shared" si="7"/>
        <v>179.85010000000057</v>
      </c>
      <c r="AP28" s="49">
        <f t="shared" si="22"/>
        <v>105.75631645021659</v>
      </c>
      <c r="AQ28" s="49">
        <f t="shared" si="18"/>
        <v>7931.7237337662436</v>
      </c>
      <c r="AR28" s="49">
        <f>AQ28*'Base Data'!$D$10</f>
        <v>15863.447467532487</v>
      </c>
      <c r="AS28" s="50">
        <f>IF(INT(('Base Data'!$D$7)/AR28)=0,0,INT(('Base Data'!$D$7)/AR28))</f>
        <v>1</v>
      </c>
      <c r="AT28" s="46">
        <f t="shared" si="0"/>
        <v>391.80080000000089</v>
      </c>
      <c r="AU28" s="39">
        <f t="shared" si="1"/>
        <v>2.3521690580536766E-2</v>
      </c>
      <c r="AV28" s="39">
        <f t="shared" si="11"/>
        <v>1.7981994355436372E-2</v>
      </c>
      <c r="AW28" s="39">
        <f t="shared" si="15"/>
        <v>1.7496536722306427E-2</v>
      </c>
      <c r="AX28" s="40">
        <f t="shared" si="19"/>
        <v>1.7856494328340466E-2</v>
      </c>
      <c r="AY28" s="52">
        <f t="shared" si="2"/>
        <v>179.85010000000057</v>
      </c>
      <c r="AZ28" s="41">
        <f t="shared" si="3"/>
        <v>2.2914489568402686E-2</v>
      </c>
      <c r="BA28" s="41">
        <f t="shared" si="12"/>
        <v>1.3810226815489159E-2</v>
      </c>
      <c r="BB28" s="41">
        <f t="shared" si="16"/>
        <v>1.2390927029530511E-2</v>
      </c>
      <c r="BC28" s="38">
        <f t="shared" si="20"/>
        <v>1.2125820085028135E-2</v>
      </c>
    </row>
    <row r="29" spans="1:55" x14ac:dyDescent="0.25">
      <c r="A29" s="54"/>
      <c r="B29" s="54"/>
      <c r="C29" s="54"/>
      <c r="D29" s="54"/>
      <c r="E29" s="54"/>
      <c r="F29" s="54"/>
      <c r="G29" s="54"/>
      <c r="H29" s="54"/>
      <c r="I29" s="54"/>
      <c r="J29" s="54"/>
      <c r="K29" s="55"/>
      <c r="L29" s="37">
        <f t="shared" si="8"/>
        <v>26</v>
      </c>
      <c r="M29" s="16">
        <f>'[3]BANKNIFTY-I'!B327</f>
        <v>42494</v>
      </c>
      <c r="N29" s="17">
        <f>'[3]BANKNIFTY-I'!D327</f>
        <v>16410</v>
      </c>
      <c r="O29" s="17">
        <f>'[3]BANKNIFTY-I'!E327</f>
        <v>16550</v>
      </c>
      <c r="P29" s="17">
        <f>'[3]BANKNIFTY-I'!F327</f>
        <v>16333.0996</v>
      </c>
      <c r="Q29" s="17">
        <f>'[3]BANKNIFTY-I'!G327</f>
        <v>16360.700199999999</v>
      </c>
      <c r="R29" s="18">
        <f>'[3]BANKNIFTY-I'!I327</f>
        <v>3055260</v>
      </c>
      <c r="S29" s="19">
        <f>'[4]NIFTY-I'!B327</f>
        <v>42494</v>
      </c>
      <c r="T29" s="20">
        <f>'[4]NIFTY-I'!D327</f>
        <v>7755</v>
      </c>
      <c r="U29" s="20">
        <f>'[4]NIFTY-I'!E327</f>
        <v>7789</v>
      </c>
      <c r="V29" s="20">
        <f>'[4]NIFTY-I'!F327</f>
        <v>7725</v>
      </c>
      <c r="W29" s="20">
        <f>'[4]NIFTY-I'!G327</f>
        <v>7732.75</v>
      </c>
      <c r="X29" s="21">
        <f>'[4]NIFTY-I'!I327</f>
        <v>12242850</v>
      </c>
      <c r="Y29" s="22"/>
      <c r="Z29" s="42">
        <f t="shared" si="4"/>
        <v>216.90040000000045</v>
      </c>
      <c r="AA29" s="47">
        <f t="shared" si="13"/>
        <v>309.65079359481803</v>
      </c>
      <c r="AB29" s="47">
        <f t="shared" si="9"/>
        <v>9289.52380784454</v>
      </c>
      <c r="AC29" s="47">
        <f>AB29*'Base Data'!$D$13</f>
        <v>6967.142855883405</v>
      </c>
      <c r="AD29" s="51">
        <f>IF(INT(('Base Data'!$D$7)/AC29)=0,0,INT(('Base Data'!$D$7)/AC29))</f>
        <v>3</v>
      </c>
      <c r="AE29" s="48">
        <f t="shared" si="5"/>
        <v>64</v>
      </c>
      <c r="AF29" s="49">
        <f t="shared" si="14"/>
        <v>108.25449269522916</v>
      </c>
      <c r="AG29" s="49">
        <f t="shared" si="10"/>
        <v>8119.0869521421873</v>
      </c>
      <c r="AH29" s="49">
        <f>AG29*'Base Data'!$D$13</f>
        <v>6089.3152141066403</v>
      </c>
      <c r="AI29" s="50">
        <f>IF(INT(('Base Data'!$D$7)/AH29)=0,0,INT(('Base Data'!$D$7)/AH29))</f>
        <v>4</v>
      </c>
      <c r="AJ29" s="42">
        <f t="shared" si="6"/>
        <v>216.90040000000045</v>
      </c>
      <c r="AK29" s="47">
        <f t="shared" si="21"/>
        <v>314.07751229716973</v>
      </c>
      <c r="AL29" s="47">
        <f t="shared" si="17"/>
        <v>9422.3253689150915</v>
      </c>
      <c r="AM29" s="47">
        <f>AL29*'Base Data'!$D$10</f>
        <v>18844.650737830183</v>
      </c>
      <c r="AN29" s="51">
        <f>IF(INT(('Base Data'!$D$7)/AM29)=0,0,INT(('Base Data'!$D$7)/AM29))</f>
        <v>1</v>
      </c>
      <c r="AO29" s="44">
        <f t="shared" si="7"/>
        <v>64</v>
      </c>
      <c r="AP29" s="49">
        <f t="shared" si="22"/>
        <v>101.96028768201508</v>
      </c>
      <c r="AQ29" s="49">
        <f t="shared" si="18"/>
        <v>7647.0215761511308</v>
      </c>
      <c r="AR29" s="49">
        <f>AQ29*'Base Data'!$D$10</f>
        <v>15294.043152302262</v>
      </c>
      <c r="AS29" s="50">
        <f>IF(INT(('Base Data'!$D$7)/AR29)=0,0,INT(('Base Data'!$D$7)/AR29))</f>
        <v>1</v>
      </c>
      <c r="AT29" s="46">
        <f t="shared" si="0"/>
        <v>216.90040000000045</v>
      </c>
      <c r="AU29" s="39">
        <f t="shared" si="1"/>
        <v>1.3217574649603927E-2</v>
      </c>
      <c r="AV29" s="39">
        <f t="shared" si="11"/>
        <v>1.7428734879484913E-2</v>
      </c>
      <c r="AW29" s="39">
        <f t="shared" si="15"/>
        <v>1.765292869168715E-2</v>
      </c>
      <c r="AX29" s="40">
        <f t="shared" si="19"/>
        <v>1.7851916841971415E-2</v>
      </c>
      <c r="AY29" s="52">
        <f t="shared" si="2"/>
        <v>64</v>
      </c>
      <c r="AZ29" s="41">
        <f t="shared" si="3"/>
        <v>8.2527401676337851E-3</v>
      </c>
      <c r="BA29" s="41">
        <f t="shared" si="12"/>
        <v>1.3884730989388283E-2</v>
      </c>
      <c r="BB29" s="41">
        <f t="shared" si="16"/>
        <v>1.2499867891038725E-2</v>
      </c>
      <c r="BC29" s="38">
        <f t="shared" si="20"/>
        <v>1.2145422724303084E-2</v>
      </c>
    </row>
    <row r="30" spans="1:55" x14ac:dyDescent="0.25">
      <c r="A30" s="54"/>
      <c r="B30" s="54"/>
      <c r="C30" s="54"/>
      <c r="D30" s="54"/>
      <c r="E30" s="54"/>
      <c r="F30" s="54"/>
      <c r="G30" s="54"/>
      <c r="H30" s="54"/>
      <c r="I30" s="54"/>
      <c r="J30" s="54"/>
      <c r="K30" s="55"/>
      <c r="L30" s="37">
        <f t="shared" si="8"/>
        <v>27</v>
      </c>
      <c r="M30" s="16">
        <f>'[3]BANKNIFTY-I'!B328</f>
        <v>42495</v>
      </c>
      <c r="N30" s="17">
        <f>'[3]BANKNIFTY-I'!D328</f>
        <v>16350.3496</v>
      </c>
      <c r="O30" s="17">
        <f>'[3]BANKNIFTY-I'!E328</f>
        <v>16495</v>
      </c>
      <c r="P30" s="17">
        <f>'[3]BANKNIFTY-I'!F328</f>
        <v>16280</v>
      </c>
      <c r="Q30" s="17">
        <f>'[3]BANKNIFTY-I'!G328</f>
        <v>16384.449199999999</v>
      </c>
      <c r="R30" s="18">
        <f>'[3]BANKNIFTY-I'!I328</f>
        <v>3124980</v>
      </c>
      <c r="S30" s="19">
        <f>'[4]NIFTY-I'!B328</f>
        <v>42495</v>
      </c>
      <c r="T30" s="20">
        <f>'[4]NIFTY-I'!D328</f>
        <v>7741</v>
      </c>
      <c r="U30" s="20">
        <f>'[4]NIFTY-I'!E328</f>
        <v>7817.5</v>
      </c>
      <c r="V30" s="20">
        <f>'[4]NIFTY-I'!F328</f>
        <v>7733</v>
      </c>
      <c r="W30" s="20">
        <f>'[4]NIFTY-I'!G328</f>
        <v>7773.1000999999997</v>
      </c>
      <c r="X30" s="21">
        <f>'[4]NIFTY-I'!I328</f>
        <v>13965150</v>
      </c>
      <c r="Y30" s="22"/>
      <c r="Z30" s="42">
        <f t="shared" si="4"/>
        <v>215</v>
      </c>
      <c r="AA30" s="47">
        <f t="shared" si="13"/>
        <v>288.61728390708066</v>
      </c>
      <c r="AB30" s="47">
        <f t="shared" si="9"/>
        <v>8658.5185172124202</v>
      </c>
      <c r="AC30" s="47">
        <f>AB30*'Base Data'!$D$13</f>
        <v>6493.8888879093156</v>
      </c>
      <c r="AD30" s="51">
        <f>IF(INT(('Base Data'!$D$7)/AC30)=0,0,INT(('Base Data'!$D$7)/AC30))</f>
        <v>3</v>
      </c>
      <c r="AE30" s="48">
        <f t="shared" si="5"/>
        <v>84.75</v>
      </c>
      <c r="AF30" s="49">
        <f t="shared" si="14"/>
        <v>103.03127209628934</v>
      </c>
      <c r="AG30" s="49">
        <f t="shared" si="10"/>
        <v>7727.345407221701</v>
      </c>
      <c r="AH30" s="49">
        <f>AG30*'Base Data'!$D$13</f>
        <v>5795.5090554162762</v>
      </c>
      <c r="AI30" s="50">
        <f>IF(INT(('Base Data'!$D$7)/AH30)=0,0,INT(('Base Data'!$D$7)/AH30))</f>
        <v>4</v>
      </c>
      <c r="AJ30" s="42">
        <f t="shared" si="6"/>
        <v>215</v>
      </c>
      <c r="AK30" s="47">
        <f t="shared" si="21"/>
        <v>305.07046572469977</v>
      </c>
      <c r="AL30" s="47">
        <f t="shared" si="17"/>
        <v>9152.1139717409933</v>
      </c>
      <c r="AM30" s="47">
        <f>AL30*'Base Data'!$D$10</f>
        <v>18304.227943481987</v>
      </c>
      <c r="AN30" s="51">
        <f>IF(INT(('Base Data'!$D$7)/AM30)=0,0,INT(('Base Data'!$D$7)/AM30))</f>
        <v>1</v>
      </c>
      <c r="AO30" s="44">
        <f t="shared" si="7"/>
        <v>84.75</v>
      </c>
      <c r="AP30" s="49">
        <f t="shared" si="22"/>
        <v>100.39571607455916</v>
      </c>
      <c r="AQ30" s="49">
        <f t="shared" si="18"/>
        <v>7529.6787055919367</v>
      </c>
      <c r="AR30" s="49">
        <f>AQ30*'Base Data'!$D$10</f>
        <v>15059.357411183873</v>
      </c>
      <c r="AS30" s="50">
        <f>IF(INT(('Base Data'!$D$7)/AR30)=0,0,INT(('Base Data'!$D$7)/AR30))</f>
        <v>1</v>
      </c>
      <c r="AT30" s="46">
        <f t="shared" si="0"/>
        <v>215</v>
      </c>
      <c r="AU30" s="39">
        <f t="shared" si="1"/>
        <v>1.314956592732427E-2</v>
      </c>
      <c r="AV30" s="39">
        <f t="shared" si="11"/>
        <v>1.7650745166830944E-2</v>
      </c>
      <c r="AW30" s="39">
        <f t="shared" si="15"/>
        <v>1.7086485903427887E-2</v>
      </c>
      <c r="AX30" s="40">
        <f t="shared" si="19"/>
        <v>1.7796134854971571E-2</v>
      </c>
      <c r="AY30" s="52">
        <f t="shared" si="2"/>
        <v>84.5</v>
      </c>
      <c r="AZ30" s="41">
        <f t="shared" si="3"/>
        <v>1.0915902338199199E-2</v>
      </c>
      <c r="BA30" s="41">
        <f t="shared" si="12"/>
        <v>1.4020570774073047E-2</v>
      </c>
      <c r="BB30" s="41">
        <f t="shared" si="16"/>
        <v>1.2329211381776036E-2</v>
      </c>
      <c r="BC30" s="38">
        <f t="shared" si="20"/>
        <v>1.2244599897486578E-2</v>
      </c>
    </row>
    <row r="31" spans="1:55" x14ac:dyDescent="0.25">
      <c r="A31" s="54"/>
      <c r="B31" s="54"/>
      <c r="C31" s="54"/>
      <c r="D31" s="54"/>
      <c r="E31" s="54"/>
      <c r="F31" s="54"/>
      <c r="G31" s="54"/>
      <c r="H31" s="54"/>
      <c r="I31" s="54"/>
      <c r="J31" s="54"/>
      <c r="K31" s="55"/>
      <c r="L31" s="37">
        <f t="shared" si="8"/>
        <v>28</v>
      </c>
      <c r="M31" s="16">
        <f>'[3]BANKNIFTY-I'!B329</f>
        <v>42496</v>
      </c>
      <c r="N31" s="17">
        <f>'[3]BANKNIFTY-I'!D329</f>
        <v>16343</v>
      </c>
      <c r="O31" s="17">
        <f>'[3]BANKNIFTY-I'!E329</f>
        <v>16423</v>
      </c>
      <c r="P31" s="17">
        <f>'[3]BANKNIFTY-I'!F329</f>
        <v>16261</v>
      </c>
      <c r="Q31" s="17">
        <f>'[3]BANKNIFTY-I'!G329</f>
        <v>16378.700199999999</v>
      </c>
      <c r="R31" s="18">
        <f>'[3]BANKNIFTY-I'!I329</f>
        <v>2259030</v>
      </c>
      <c r="S31" s="19">
        <f>'[4]NIFTY-I'!B329</f>
        <v>42496</v>
      </c>
      <c r="T31" s="20">
        <f>'[4]NIFTY-I'!D329</f>
        <v>7733.7002000000002</v>
      </c>
      <c r="U31" s="20">
        <f>'[4]NIFTY-I'!E329</f>
        <v>7770.6000999999997</v>
      </c>
      <c r="V31" s="20">
        <f>'[4]NIFTY-I'!F329</f>
        <v>7700.9502000000002</v>
      </c>
      <c r="W31" s="20">
        <f>'[4]NIFTY-I'!G329</f>
        <v>7760.25</v>
      </c>
      <c r="X31" s="21">
        <f>'[4]NIFTY-I'!I329</f>
        <v>10939275</v>
      </c>
      <c r="Y31" s="22"/>
      <c r="Z31" s="42">
        <f t="shared" si="4"/>
        <v>162</v>
      </c>
      <c r="AA31" s="47">
        <f t="shared" si="13"/>
        <v>260.48010970550718</v>
      </c>
      <c r="AB31" s="47">
        <f t="shared" si="9"/>
        <v>7814.4032911652157</v>
      </c>
      <c r="AC31" s="47">
        <f>AB31*'Base Data'!$D$13</f>
        <v>5860.8024683739113</v>
      </c>
      <c r="AD31" s="51">
        <f>IF(INT(('Base Data'!$D$7)/AC31)=0,0,INT(('Base Data'!$D$7)/AC31))</f>
        <v>4</v>
      </c>
      <c r="AE31" s="48">
        <f t="shared" si="5"/>
        <v>72.149899999999434</v>
      </c>
      <c r="AF31" s="49">
        <f t="shared" si="14"/>
        <v>96.168744963780469</v>
      </c>
      <c r="AG31" s="49">
        <f t="shared" si="10"/>
        <v>7212.6558722835352</v>
      </c>
      <c r="AH31" s="49">
        <f>AG31*'Base Data'!$D$13</f>
        <v>5409.4919042126512</v>
      </c>
      <c r="AI31" s="50">
        <f>IF(INT(('Base Data'!$D$7)/AH31)=0,0,INT(('Base Data'!$D$7)/AH31))</f>
        <v>4</v>
      </c>
      <c r="AJ31" s="42">
        <f t="shared" si="6"/>
        <v>162</v>
      </c>
      <c r="AK31" s="47">
        <f t="shared" si="21"/>
        <v>292.06405974972705</v>
      </c>
      <c r="AL31" s="47">
        <f t="shared" si="17"/>
        <v>8761.9217924918121</v>
      </c>
      <c r="AM31" s="47">
        <f>AL31*'Base Data'!$D$10</f>
        <v>17523.843584983624</v>
      </c>
      <c r="AN31" s="51">
        <f>IF(INT(('Base Data'!$D$7)/AM31)=0,0,INT(('Base Data'!$D$7)/AM31))</f>
        <v>1</v>
      </c>
      <c r="AO31" s="44">
        <f t="shared" si="7"/>
        <v>72.149899999999434</v>
      </c>
      <c r="AP31" s="49">
        <f t="shared" si="22"/>
        <v>97.827914613235549</v>
      </c>
      <c r="AQ31" s="49">
        <f t="shared" si="18"/>
        <v>7337.0935959926665</v>
      </c>
      <c r="AR31" s="49">
        <f>AQ31*'Base Data'!$D$10</f>
        <v>14674.187191985333</v>
      </c>
      <c r="AS31" s="50">
        <f>IF(INT(('Base Data'!$D$7)/AR31)=0,0,INT(('Base Data'!$D$7)/AR31))</f>
        <v>1</v>
      </c>
      <c r="AT31" s="46">
        <f t="shared" si="0"/>
        <v>162</v>
      </c>
      <c r="AU31" s="39">
        <f t="shared" si="1"/>
        <v>9.9125007648534543E-3</v>
      </c>
      <c r="AV31" s="39">
        <f t="shared" si="11"/>
        <v>1.5181480435110301E-2</v>
      </c>
      <c r="AW31" s="39">
        <f t="shared" si="15"/>
        <v>1.5968226135292671E-2</v>
      </c>
      <c r="AX31" s="40">
        <f t="shared" si="19"/>
        <v>1.7638423125550671E-2</v>
      </c>
      <c r="AY31" s="52">
        <f t="shared" si="2"/>
        <v>69.649899999999434</v>
      </c>
      <c r="AZ31" s="41">
        <f t="shared" si="3"/>
        <v>9.0060253434700553E-3</v>
      </c>
      <c r="BA31" s="41">
        <f t="shared" si="12"/>
        <v>1.2597501426211286E-2</v>
      </c>
      <c r="BB31" s="41">
        <f t="shared" si="16"/>
        <v>1.2281410249290241E-2</v>
      </c>
      <c r="BC31" s="38">
        <f t="shared" si="20"/>
        <v>1.2227145080613035E-2</v>
      </c>
    </row>
    <row r="32" spans="1:55" ht="12" customHeight="1" x14ac:dyDescent="0.25">
      <c r="A32" s="54"/>
      <c r="B32" s="54"/>
      <c r="C32" s="54"/>
      <c r="D32" s="54"/>
      <c r="E32" s="54"/>
      <c r="F32" s="54"/>
      <c r="G32" s="54"/>
      <c r="H32" s="54"/>
      <c r="I32" s="54"/>
      <c r="J32" s="54"/>
      <c r="K32" s="55"/>
      <c r="L32" s="37">
        <f t="shared" si="8"/>
        <v>29</v>
      </c>
      <c r="M32" s="16">
        <f>'[3]BANKNIFTY-I'!B330</f>
        <v>42499</v>
      </c>
      <c r="N32" s="17">
        <f>'[3]BANKNIFTY-I'!D330</f>
        <v>16407.650399999999</v>
      </c>
      <c r="O32" s="17">
        <f>'[3]BANKNIFTY-I'!E330</f>
        <v>16794.949199999999</v>
      </c>
      <c r="P32" s="17">
        <f>'[3]BANKNIFTY-I'!F330</f>
        <v>16407.650399999999</v>
      </c>
      <c r="Q32" s="17">
        <f>'[3]BANKNIFTY-I'!G330</f>
        <v>16772</v>
      </c>
      <c r="R32" s="18">
        <f>'[3]BANKNIFTY-I'!I330</f>
        <v>2953290</v>
      </c>
      <c r="S32" s="19">
        <f>'[4]NIFTY-I'!B330</f>
        <v>42499</v>
      </c>
      <c r="T32" s="20">
        <f>'[4]NIFTY-I'!D330</f>
        <v>7794.8999000000003</v>
      </c>
      <c r="U32" s="20">
        <f>'[4]NIFTY-I'!E330</f>
        <v>7912.2002000000002</v>
      </c>
      <c r="V32" s="20">
        <f>'[4]NIFTY-I'!F330</f>
        <v>7775</v>
      </c>
      <c r="W32" s="20">
        <f>'[4]NIFTY-I'!G330</f>
        <v>7904.2997999999998</v>
      </c>
      <c r="X32" s="21">
        <f>'[4]NIFTY-I'!I330</f>
        <v>15184725</v>
      </c>
      <c r="Y32" s="22"/>
      <c r="Z32" s="42">
        <f t="shared" si="4"/>
        <v>416.2489999999998</v>
      </c>
      <c r="AA32" s="47">
        <f t="shared" si="13"/>
        <v>295.09541865983886</v>
      </c>
      <c r="AB32" s="47">
        <f t="shared" si="9"/>
        <v>8852.862559795165</v>
      </c>
      <c r="AC32" s="47">
        <f>AB32*'Base Data'!$D$13</f>
        <v>6639.6469198463737</v>
      </c>
      <c r="AD32" s="51">
        <f>IF(INT(('Base Data'!$D$7)/AC32)=0,0,INT(('Base Data'!$D$7)/AC32))</f>
        <v>3</v>
      </c>
      <c r="AE32" s="48">
        <f t="shared" si="5"/>
        <v>151.95020000000022</v>
      </c>
      <c r="AF32" s="49">
        <f t="shared" si="14"/>
        <v>108.56462386071819</v>
      </c>
      <c r="AG32" s="49">
        <f t="shared" si="10"/>
        <v>8142.3467895538643</v>
      </c>
      <c r="AH32" s="49">
        <f>AG32*'Base Data'!$D$13</f>
        <v>6106.7600921653984</v>
      </c>
      <c r="AI32" s="50">
        <f>IF(INT(('Base Data'!$D$7)/AH32)=0,0,INT(('Base Data'!$D$7)/AH32))</f>
        <v>4</v>
      </c>
      <c r="AJ32" s="42">
        <f t="shared" si="6"/>
        <v>416.2489999999998</v>
      </c>
      <c r="AK32" s="47">
        <f t="shared" si="21"/>
        <v>303.35359977247913</v>
      </c>
      <c r="AL32" s="47">
        <f t="shared" si="17"/>
        <v>9100.6079931743734</v>
      </c>
      <c r="AM32" s="47">
        <f>AL32*'Base Data'!$D$10</f>
        <v>18201.215986348747</v>
      </c>
      <c r="AN32" s="51">
        <f>IF(INT(('Base Data'!$D$7)/AM32)=0,0,INT(('Base Data'!$D$7)/AM32))</f>
        <v>1</v>
      </c>
      <c r="AO32" s="44">
        <f t="shared" si="7"/>
        <v>151.95020000000022</v>
      </c>
      <c r="AP32" s="49">
        <f t="shared" si="22"/>
        <v>102.7481223756687</v>
      </c>
      <c r="AQ32" s="49">
        <f t="shared" si="18"/>
        <v>7706.1091781751529</v>
      </c>
      <c r="AR32" s="49">
        <f>AQ32*'Base Data'!$D$10</f>
        <v>15412.218356350306</v>
      </c>
      <c r="AS32" s="50">
        <f>IF(INT(('Base Data'!$D$7)/AR32)=0,0,INT(('Base Data'!$D$7)/AR32))</f>
        <v>1</v>
      </c>
      <c r="AT32" s="46">
        <f t="shared" si="0"/>
        <v>387.29880000000048</v>
      </c>
      <c r="AU32" s="39">
        <f t="shared" si="1"/>
        <v>2.3604769150859073E-2</v>
      </c>
      <c r="AV32" s="39">
        <f t="shared" si="11"/>
        <v>1.6985568595525927E-2</v>
      </c>
      <c r="AW32" s="39">
        <f t="shared" si="15"/>
        <v>1.6624127078128347E-2</v>
      </c>
      <c r="AX32" s="40">
        <f t="shared" si="19"/>
        <v>1.708297726932614E-2</v>
      </c>
      <c r="AY32" s="52">
        <f t="shared" si="2"/>
        <v>137.20020000000022</v>
      </c>
      <c r="AZ32" s="41">
        <f t="shared" si="3"/>
        <v>1.7601277984339504E-2</v>
      </c>
      <c r="BA32" s="41">
        <f t="shared" si="12"/>
        <v>1.4036085887567471E-2</v>
      </c>
      <c r="BB32" s="41">
        <f t="shared" si="16"/>
        <v>1.2978928841462966E-2</v>
      </c>
      <c r="BC32" s="38">
        <f t="shared" si="20"/>
        <v>1.2144626443674362E-2</v>
      </c>
    </row>
    <row r="33" spans="1:55" x14ac:dyDescent="0.25">
      <c r="A33" s="54"/>
      <c r="B33" s="54"/>
      <c r="C33" s="54"/>
      <c r="D33" s="54"/>
      <c r="E33" s="54"/>
      <c r="F33" s="54"/>
      <c r="G33" s="54"/>
      <c r="H33" s="54"/>
      <c r="I33" s="54"/>
      <c r="J33" s="54"/>
      <c r="K33" s="55"/>
      <c r="L33" s="37">
        <f t="shared" si="8"/>
        <v>30</v>
      </c>
      <c r="M33" s="16">
        <f>'[3]BANKNIFTY-I'!B331</f>
        <v>42500</v>
      </c>
      <c r="N33" s="17">
        <f>'[3]BANKNIFTY-I'!D331</f>
        <v>16772.349600000001</v>
      </c>
      <c r="O33" s="17">
        <f>'[3]BANKNIFTY-I'!E331</f>
        <v>16885</v>
      </c>
      <c r="P33" s="17">
        <f>'[3]BANKNIFTY-I'!F331</f>
        <v>16685.75</v>
      </c>
      <c r="Q33" s="17">
        <f>'[3]BANKNIFTY-I'!G331</f>
        <v>16853.800800000001</v>
      </c>
      <c r="R33" s="18">
        <f>'[3]BANKNIFTY-I'!I331</f>
        <v>2592240</v>
      </c>
      <c r="S33" s="19">
        <f>'[4]NIFTY-I'!B331</f>
        <v>42500</v>
      </c>
      <c r="T33" s="20">
        <f>'[4]NIFTY-I'!D331</f>
        <v>7894</v>
      </c>
      <c r="U33" s="20">
        <f>'[4]NIFTY-I'!E331</f>
        <v>7933.5497999999998</v>
      </c>
      <c r="V33" s="20">
        <f>'[4]NIFTY-I'!F331</f>
        <v>7867.1499000000003</v>
      </c>
      <c r="W33" s="20">
        <f>'[4]NIFTY-I'!G331</f>
        <v>7919.75</v>
      </c>
      <c r="X33" s="21">
        <f>'[4]NIFTY-I'!I331</f>
        <v>10748025</v>
      </c>
      <c r="Y33" s="22"/>
      <c r="Z33" s="42">
        <f t="shared" si="4"/>
        <v>199.25</v>
      </c>
      <c r="AA33" s="47">
        <f t="shared" si="13"/>
        <v>273.79643673543023</v>
      </c>
      <c r="AB33" s="47">
        <f t="shared" si="9"/>
        <v>8213.8931020629061</v>
      </c>
      <c r="AC33" s="47">
        <f>AB33*'Base Data'!$D$13</f>
        <v>6160.4198265471796</v>
      </c>
      <c r="AD33" s="51">
        <f>IF(INT(('Base Data'!$D$7)/AC33)=0,0,INT(('Base Data'!$D$7)/AC33))</f>
        <v>4</v>
      </c>
      <c r="AE33" s="48">
        <f t="shared" si="5"/>
        <v>66.399899999999434</v>
      </c>
      <c r="AF33" s="49">
        <f t="shared" si="14"/>
        <v>99.194685225002914</v>
      </c>
      <c r="AG33" s="49">
        <f t="shared" si="10"/>
        <v>7439.6013918752187</v>
      </c>
      <c r="AH33" s="49">
        <f>AG33*'Base Data'!$D$13</f>
        <v>5579.7010439064143</v>
      </c>
      <c r="AI33" s="50">
        <f>IF(INT(('Base Data'!$D$7)/AH33)=0,0,INT(('Base Data'!$D$7)/AH33))</f>
        <v>4</v>
      </c>
      <c r="AJ33" s="42">
        <f t="shared" si="6"/>
        <v>199.25</v>
      </c>
      <c r="AK33" s="47">
        <f t="shared" si="21"/>
        <v>293.88963615679921</v>
      </c>
      <c r="AL33" s="47">
        <f t="shared" si="17"/>
        <v>8816.6890847039758</v>
      </c>
      <c r="AM33" s="47">
        <f>AL33*'Base Data'!$D$10</f>
        <v>17633.378169407952</v>
      </c>
      <c r="AN33" s="51">
        <f>IF(INT(('Base Data'!$D$7)/AM33)=0,0,INT(('Base Data'!$D$7)/AM33))</f>
        <v>1</v>
      </c>
      <c r="AO33" s="44">
        <f t="shared" si="7"/>
        <v>66.399899999999434</v>
      </c>
      <c r="AP33" s="49">
        <f t="shared" si="22"/>
        <v>99.443738523335128</v>
      </c>
      <c r="AQ33" s="49">
        <f t="shared" si="18"/>
        <v>7458.2803892501342</v>
      </c>
      <c r="AR33" s="49">
        <f>AQ33*'Base Data'!$D$10</f>
        <v>14916.560778500268</v>
      </c>
      <c r="AS33" s="50">
        <f>IF(INT(('Base Data'!$D$7)/AR33)=0,0,INT(('Base Data'!$D$7)/AR33))</f>
        <v>1</v>
      </c>
      <c r="AT33" s="46">
        <f t="shared" si="0"/>
        <v>199.25</v>
      </c>
      <c r="AU33" s="39">
        <f t="shared" si="1"/>
        <v>1.1879671289465609E-2</v>
      </c>
      <c r="AV33" s="39">
        <f t="shared" si="11"/>
        <v>1.6020577921893001E-2</v>
      </c>
      <c r="AW33" s="39">
        <f t="shared" si="15"/>
        <v>1.6586156663507486E-2</v>
      </c>
      <c r="AX33" s="40">
        <f t="shared" si="19"/>
        <v>1.7050036446375521E-2</v>
      </c>
      <c r="AY33" s="52">
        <f t="shared" si="2"/>
        <v>66.399899999999434</v>
      </c>
      <c r="AZ33" s="41">
        <f t="shared" si="3"/>
        <v>8.4114390676462425E-3</v>
      </c>
      <c r="BA33" s="41">
        <f t="shared" si="12"/>
        <v>1.2625311392376992E-2</v>
      </c>
      <c r="BB33" s="41">
        <f t="shared" si="16"/>
        <v>1.2666861494246312E-2</v>
      </c>
      <c r="BC33" s="38">
        <f t="shared" si="20"/>
        <v>1.2231562630694449E-2</v>
      </c>
    </row>
    <row r="34" spans="1:55" x14ac:dyDescent="0.25">
      <c r="A34" s="54"/>
      <c r="B34" s="54"/>
      <c r="C34" s="54"/>
      <c r="D34" s="54"/>
      <c r="E34" s="54"/>
      <c r="F34" s="54"/>
      <c r="G34" s="54"/>
      <c r="H34" s="54"/>
      <c r="I34" s="54"/>
      <c r="J34" s="54"/>
      <c r="K34" s="55"/>
      <c r="L34" s="37">
        <f t="shared" si="8"/>
        <v>31</v>
      </c>
      <c r="M34" s="16">
        <f>'[3]BANKNIFTY-I'!B332</f>
        <v>42501</v>
      </c>
      <c r="N34" s="17">
        <f>'[3]BANKNIFTY-I'!D332</f>
        <v>16573.199199999999</v>
      </c>
      <c r="O34" s="17">
        <f>'[3]BANKNIFTY-I'!E332</f>
        <v>16928</v>
      </c>
      <c r="P34" s="17">
        <f>'[3]BANKNIFTY-I'!F332</f>
        <v>16544.5</v>
      </c>
      <c r="Q34" s="17">
        <f>'[3]BANKNIFTY-I'!G332</f>
        <v>16785.25</v>
      </c>
      <c r="R34" s="18">
        <f>'[3]BANKNIFTY-I'!I332</f>
        <v>4146630</v>
      </c>
      <c r="S34" s="19">
        <f>'[4]NIFTY-I'!B332</f>
        <v>42501</v>
      </c>
      <c r="T34" s="20">
        <f>'[4]NIFTY-I'!D332</f>
        <v>7810.3500999999997</v>
      </c>
      <c r="U34" s="20">
        <f>'[4]NIFTY-I'!E332</f>
        <v>7909.8999000000003</v>
      </c>
      <c r="V34" s="20">
        <f>'[4]NIFTY-I'!F332</f>
        <v>7798.2002000000002</v>
      </c>
      <c r="W34" s="20">
        <f>'[4]NIFTY-I'!G332</f>
        <v>7865.8500999999997</v>
      </c>
      <c r="X34" s="21">
        <f>'[4]NIFTY-I'!I332</f>
        <v>18360224</v>
      </c>
      <c r="Y34" s="22"/>
      <c r="Z34" s="42">
        <f t="shared" si="4"/>
        <v>383.5</v>
      </c>
      <c r="AA34" s="47">
        <f t="shared" si="13"/>
        <v>298.1750063497791</v>
      </c>
      <c r="AB34" s="47">
        <f t="shared" si="9"/>
        <v>8945.2501904933724</v>
      </c>
      <c r="AC34" s="47">
        <f>AB34*'Base Data'!$D$13</f>
        <v>6708.9376428700289</v>
      </c>
      <c r="AD34" s="51">
        <f>IF(INT(('Base Data'!$D$7)/AC34)=0,0,INT(('Base Data'!$D$7)/AC34))</f>
        <v>3</v>
      </c>
      <c r="AE34" s="48">
        <f t="shared" si="5"/>
        <v>121.54979999999978</v>
      </c>
      <c r="AF34" s="49">
        <f t="shared" si="14"/>
        <v>104.16248850833556</v>
      </c>
      <c r="AG34" s="49">
        <f t="shared" si="10"/>
        <v>7812.1866381251666</v>
      </c>
      <c r="AH34" s="49">
        <f>AG34*'Base Data'!$D$13</f>
        <v>5859.1399785938747</v>
      </c>
      <c r="AI34" s="50">
        <f>IF(INT(('Base Data'!$D$7)/AH34)=0,0,INT(('Base Data'!$D$7)/AH34))</f>
        <v>4</v>
      </c>
      <c r="AJ34" s="42">
        <f t="shared" si="6"/>
        <v>383.5</v>
      </c>
      <c r="AK34" s="47">
        <f t="shared" si="21"/>
        <v>302.03603286981746</v>
      </c>
      <c r="AL34" s="47">
        <f t="shared" si="17"/>
        <v>9061.0809860945246</v>
      </c>
      <c r="AM34" s="47">
        <f>AL34*'Base Data'!$D$10</f>
        <v>18122.161972189049</v>
      </c>
      <c r="AN34" s="51">
        <f>IF(INT(('Base Data'!$D$7)/AM34)=0,0,INT(('Base Data'!$D$7)/AM34))</f>
        <v>1</v>
      </c>
      <c r="AO34" s="44">
        <f t="shared" si="7"/>
        <v>121.54979999999978</v>
      </c>
      <c r="AP34" s="49">
        <f t="shared" si="22"/>
        <v>101.45338047575919</v>
      </c>
      <c r="AQ34" s="49">
        <f t="shared" si="18"/>
        <v>7609.003535681939</v>
      </c>
      <c r="AR34" s="49">
        <f>AQ34*'Base Data'!$D$10</f>
        <v>15218.007071363878</v>
      </c>
      <c r="AS34" s="50">
        <f>IF(INT(('Base Data'!$D$7)/AR34)=0,0,INT(('Base Data'!$D$7)/AR34))</f>
        <v>1</v>
      </c>
      <c r="AT34" s="46">
        <f t="shared" si="0"/>
        <v>383.5</v>
      </c>
      <c r="AU34" s="39">
        <f t="shared" si="1"/>
        <v>2.3139768934895805E-2</v>
      </c>
      <c r="AV34" s="39">
        <f t="shared" si="11"/>
        <v>1.6041574463561661E-2</v>
      </c>
      <c r="AW34" s="39">
        <f t="shared" si="15"/>
        <v>1.7008935007944422E-2</v>
      </c>
      <c r="AX34" s="40">
        <f t="shared" si="19"/>
        <v>1.7286342460939567E-2</v>
      </c>
      <c r="AY34" s="52">
        <f t="shared" si="2"/>
        <v>111.69970000000012</v>
      </c>
      <c r="AZ34" s="41">
        <f t="shared" si="3"/>
        <v>1.4301497188967257E-2</v>
      </c>
      <c r="BA34" s="41">
        <f t="shared" si="12"/>
        <v>1.2528570051077773E-2</v>
      </c>
      <c r="BB34" s="41">
        <f t="shared" si="16"/>
        <v>1.3177999218286808E-2</v>
      </c>
      <c r="BC34" s="38">
        <f t="shared" si="20"/>
        <v>1.241448819701489E-2</v>
      </c>
    </row>
    <row r="35" spans="1:55" x14ac:dyDescent="0.25">
      <c r="A35" s="54"/>
      <c r="B35" s="54"/>
      <c r="C35" s="54"/>
      <c r="D35" s="54"/>
      <c r="E35" s="54"/>
      <c r="F35" s="54"/>
      <c r="G35" s="54"/>
      <c r="H35" s="54"/>
      <c r="I35" s="54"/>
      <c r="J35" s="54"/>
      <c r="K35" s="55"/>
      <c r="L35" s="37">
        <f t="shared" si="8"/>
        <v>32</v>
      </c>
      <c r="M35" s="16">
        <f>'[3]BANKNIFTY-I'!B333</f>
        <v>42502</v>
      </c>
      <c r="N35" s="17">
        <f>'[3]BANKNIFTY-I'!D333</f>
        <v>16890.5</v>
      </c>
      <c r="O35" s="17">
        <f>'[3]BANKNIFTY-I'!E333</f>
        <v>17019</v>
      </c>
      <c r="P35" s="17">
        <f>'[3]BANKNIFTY-I'!F333</f>
        <v>16820.25</v>
      </c>
      <c r="Q35" s="17">
        <f>'[3]BANKNIFTY-I'!G333</f>
        <v>16986.400399999999</v>
      </c>
      <c r="R35" s="18">
        <f>'[3]BANKNIFTY-I'!I333</f>
        <v>3533340</v>
      </c>
      <c r="S35" s="19">
        <f>'[4]NIFTY-I'!B333</f>
        <v>42502</v>
      </c>
      <c r="T35" s="20">
        <f>'[4]NIFTY-I'!D333</f>
        <v>7886</v>
      </c>
      <c r="U35" s="20">
        <f>'[4]NIFTY-I'!E333</f>
        <v>7939.3999000000003</v>
      </c>
      <c r="V35" s="20">
        <f>'[4]NIFTY-I'!F333</f>
        <v>7860.3999000000003</v>
      </c>
      <c r="W35" s="20">
        <f>'[4]NIFTY-I'!G333</f>
        <v>7928.2002000000002</v>
      </c>
      <c r="X35" s="21">
        <f>'[4]NIFTY-I'!I333</f>
        <v>12939750</v>
      </c>
      <c r="Y35" s="22"/>
      <c r="Z35" s="42">
        <f t="shared" si="4"/>
        <v>233.75</v>
      </c>
      <c r="AA35" s="47">
        <f t="shared" si="13"/>
        <v>283.85833827205039</v>
      </c>
      <c r="AB35" s="47">
        <f t="shared" si="9"/>
        <v>8515.7501481615109</v>
      </c>
      <c r="AC35" s="47">
        <f>AB35*'Base Data'!$D$13</f>
        <v>6386.8126111211332</v>
      </c>
      <c r="AD35" s="51">
        <f>IF(INT(('Base Data'!$D$7)/AC35)=0,0,INT(('Base Data'!$D$7)/AC35))</f>
        <v>3</v>
      </c>
      <c r="AE35" s="48">
        <f t="shared" si="5"/>
        <v>79</v>
      </c>
      <c r="AF35" s="49">
        <f t="shared" si="14"/>
        <v>98.5708243953721</v>
      </c>
      <c r="AG35" s="49">
        <f t="shared" si="10"/>
        <v>7392.8118296529074</v>
      </c>
      <c r="AH35" s="49">
        <f>AG35*'Base Data'!$D$13</f>
        <v>5544.6088722396807</v>
      </c>
      <c r="AI35" s="50">
        <f>IF(INT(('Base Data'!$D$7)/AH35)=0,0,INT(('Base Data'!$D$7)/AH35))</f>
        <v>4</v>
      </c>
      <c r="AJ35" s="42">
        <f t="shared" si="6"/>
        <v>233.75</v>
      </c>
      <c r="AK35" s="47">
        <f t="shared" si="21"/>
        <v>295.82821169983407</v>
      </c>
      <c r="AL35" s="47">
        <f t="shared" si="17"/>
        <v>8874.8463509950216</v>
      </c>
      <c r="AM35" s="47">
        <f>AL35*'Base Data'!$D$10</f>
        <v>17749.692701990043</v>
      </c>
      <c r="AN35" s="51">
        <f>IF(INT(('Base Data'!$D$7)/AM35)=0,0,INT(('Base Data'!$D$7)/AM35))</f>
        <v>1</v>
      </c>
      <c r="AO35" s="44">
        <f t="shared" si="7"/>
        <v>79</v>
      </c>
      <c r="AP35" s="49">
        <f t="shared" si="22"/>
        <v>99.412164068871988</v>
      </c>
      <c r="AQ35" s="49">
        <f t="shared" si="18"/>
        <v>7455.9123051653987</v>
      </c>
      <c r="AR35" s="49">
        <f>AQ35*'Base Data'!$D$10</f>
        <v>14911.824610330797</v>
      </c>
      <c r="AS35" s="50">
        <f>IF(INT(('Base Data'!$D$7)/AR35)=0,0,INT(('Base Data'!$D$7)/AR35))</f>
        <v>1</v>
      </c>
      <c r="AT35" s="46">
        <f t="shared" si="0"/>
        <v>198.75</v>
      </c>
      <c r="AU35" s="39">
        <f t="shared" si="1"/>
        <v>1.17669695982949E-2</v>
      </c>
      <c r="AV35" s="39">
        <f t="shared" si="11"/>
        <v>1.6274063861979226E-2</v>
      </c>
      <c r="AW35" s="39">
        <f t="shared" si="15"/>
        <v>1.70392031594628E-2</v>
      </c>
      <c r="AX35" s="40">
        <f t="shared" si="19"/>
        <v>1.7307104777737926E-2</v>
      </c>
      <c r="AY35" s="52">
        <f t="shared" si="2"/>
        <v>79</v>
      </c>
      <c r="AZ35" s="41">
        <f t="shared" si="3"/>
        <v>1.0017752979964495E-2</v>
      </c>
      <c r="BA35" s="41">
        <f t="shared" si="12"/>
        <v>1.2677640579827901E-2</v>
      </c>
      <c r="BB35" s="41">
        <f t="shared" si="16"/>
        <v>1.3192504519767072E-2</v>
      </c>
      <c r="BC35" s="38">
        <f t="shared" si="20"/>
        <v>1.2538801430998295E-2</v>
      </c>
    </row>
    <row r="36" spans="1:55" x14ac:dyDescent="0.25">
      <c r="A36" s="54"/>
      <c r="B36" s="54"/>
      <c r="C36" s="54"/>
      <c r="D36" s="54"/>
      <c r="E36" s="54"/>
      <c r="F36" s="54"/>
      <c r="G36" s="54"/>
      <c r="H36" s="54"/>
      <c r="I36" s="54"/>
      <c r="J36" s="54"/>
      <c r="K36" s="55"/>
      <c r="L36" s="37">
        <f t="shared" si="8"/>
        <v>33</v>
      </c>
      <c r="M36" s="16">
        <f>'[3]BANKNIFTY-I'!B334</f>
        <v>42503</v>
      </c>
      <c r="N36" s="17">
        <f>'[3]BANKNIFTY-I'!D334</f>
        <v>16923</v>
      </c>
      <c r="O36" s="17">
        <f>'[3]BANKNIFTY-I'!E334</f>
        <v>16959.949199999999</v>
      </c>
      <c r="P36" s="17">
        <f>'[3]BANKNIFTY-I'!F334</f>
        <v>16600.5</v>
      </c>
      <c r="Q36" s="17">
        <f>'[3]BANKNIFTY-I'!G334</f>
        <v>16738.099600000001</v>
      </c>
      <c r="R36" s="18">
        <f>'[3]BANKNIFTY-I'!I334</f>
        <v>3232890</v>
      </c>
      <c r="S36" s="19">
        <f>'[4]NIFTY-I'!B334</f>
        <v>42503</v>
      </c>
      <c r="T36" s="20">
        <f>'[4]NIFTY-I'!D334</f>
        <v>7891.2002000000002</v>
      </c>
      <c r="U36" s="20">
        <f>'[4]NIFTY-I'!E334</f>
        <v>7891.7997999999998</v>
      </c>
      <c r="V36" s="20">
        <f>'[4]NIFTY-I'!F334</f>
        <v>7787.2997999999998</v>
      </c>
      <c r="W36" s="20">
        <f>'[4]NIFTY-I'!G334</f>
        <v>7830.5497999999998</v>
      </c>
      <c r="X36" s="21">
        <f>'[4]NIFTY-I'!I334</f>
        <v>15889200</v>
      </c>
      <c r="Y36" s="22"/>
      <c r="Z36" s="42">
        <f t="shared" si="4"/>
        <v>385.90039999999863</v>
      </c>
      <c r="AA36" s="47">
        <f t="shared" si="13"/>
        <v>306.53435198937223</v>
      </c>
      <c r="AB36" s="47">
        <f t="shared" si="9"/>
        <v>9196.0305596811668</v>
      </c>
      <c r="AC36" s="47">
        <f>AB36*'Base Data'!$D$13</f>
        <v>6897.0229197608751</v>
      </c>
      <c r="AD36" s="51">
        <f>IF(INT(('Base Data'!$D$7)/AC36)=0,0,INT(('Base Data'!$D$7)/AC36))</f>
        <v>3</v>
      </c>
      <c r="AE36" s="48">
        <f t="shared" si="5"/>
        <v>140.90040000000045</v>
      </c>
      <c r="AF36" s="49">
        <f t="shared" si="14"/>
        <v>107.97739675195618</v>
      </c>
      <c r="AG36" s="49">
        <f t="shared" si="10"/>
        <v>8098.3047563967129</v>
      </c>
      <c r="AH36" s="49">
        <f>AG36*'Base Data'!$D$13</f>
        <v>6073.7285672975349</v>
      </c>
      <c r="AI36" s="50">
        <f>IF(INT(('Base Data'!$D$7)/AH36)=0,0,INT(('Base Data'!$D$7)/AH36))</f>
        <v>4</v>
      </c>
      <c r="AJ36" s="42">
        <f t="shared" si="6"/>
        <v>385.90039999999863</v>
      </c>
      <c r="AK36" s="47">
        <f t="shared" si="21"/>
        <v>304.01659245439447</v>
      </c>
      <c r="AL36" s="47">
        <f t="shared" si="17"/>
        <v>9120.4977736318342</v>
      </c>
      <c r="AM36" s="47">
        <f>AL36*'Base Data'!$D$10</f>
        <v>18240.995547263668</v>
      </c>
      <c r="AN36" s="51">
        <f>IF(INT(('Base Data'!$D$7)/AM36)=0,0,INT(('Base Data'!$D$7)/AM36))</f>
        <v>1</v>
      </c>
      <c r="AO36" s="44">
        <f t="shared" si="7"/>
        <v>140.90040000000045</v>
      </c>
      <c r="AP36" s="49">
        <f t="shared" si="22"/>
        <v>103.18382188079276</v>
      </c>
      <c r="AQ36" s="49">
        <f t="shared" si="18"/>
        <v>7738.786641059457</v>
      </c>
      <c r="AR36" s="49">
        <f>AQ36*'Base Data'!$D$10</f>
        <v>15477.573282118914</v>
      </c>
      <c r="AS36" s="50">
        <f>IF(INT(('Base Data'!$D$7)/AR36)=0,0,INT(('Base Data'!$D$7)/AR36))</f>
        <v>1</v>
      </c>
      <c r="AT36" s="46">
        <f t="shared" ref="AT36:AT63" si="23">(O36-P36)</f>
        <v>359.44919999999911</v>
      </c>
      <c r="AU36" s="39">
        <f t="shared" ref="AU36:AU63" si="24">AT36/N36</f>
        <v>2.1240276546711522E-2</v>
      </c>
      <c r="AV36" s="39">
        <f t="shared" si="11"/>
        <v>1.5988887107751069E-2</v>
      </c>
      <c r="AW36" s="39">
        <f t="shared" si="15"/>
        <v>1.6391023000085329E-2</v>
      </c>
      <c r="AX36" s="40">
        <f t="shared" si="19"/>
        <v>1.6922194011999622E-2</v>
      </c>
      <c r="AY36" s="52">
        <f t="shared" ref="AY36:AY63" si="25">(U36-V36)</f>
        <v>104.5</v>
      </c>
      <c r="AZ36" s="41">
        <f t="shared" ref="AZ36:AZ63" si="26">AY36/T36</f>
        <v>1.3242599015546455E-2</v>
      </c>
      <c r="BA36" s="41">
        <f t="shared" si="12"/>
        <v>1.1468654260720874E-2</v>
      </c>
      <c r="BB36" s="41">
        <f t="shared" si="16"/>
        <v>1.2642659818934939E-2</v>
      </c>
      <c r="BC36" s="38">
        <f t="shared" si="20"/>
        <v>1.2039585022364933E-2</v>
      </c>
    </row>
    <row r="37" spans="1:55" ht="11.25" customHeight="1" x14ac:dyDescent="0.25">
      <c r="A37" s="54"/>
      <c r="B37" s="54"/>
      <c r="C37" s="54"/>
      <c r="D37" s="54"/>
      <c r="E37" s="54"/>
      <c r="F37" s="54"/>
      <c r="G37" s="54"/>
      <c r="H37" s="54"/>
      <c r="I37" s="54"/>
      <c r="J37" s="54"/>
      <c r="K37" s="55"/>
      <c r="L37" s="37">
        <f t="shared" si="8"/>
        <v>34</v>
      </c>
      <c r="M37" s="16">
        <f>'[3]BANKNIFTY-I'!B335</f>
        <v>42506</v>
      </c>
      <c r="N37" s="17">
        <f>'[3]BANKNIFTY-I'!D335</f>
        <v>16753.349600000001</v>
      </c>
      <c r="O37" s="17">
        <f>'[3]BANKNIFTY-I'!E335</f>
        <v>16833</v>
      </c>
      <c r="P37" s="17">
        <f>'[3]BANKNIFTY-I'!F335</f>
        <v>16450.050800000001</v>
      </c>
      <c r="Q37" s="17">
        <f>'[3]BANKNIFTY-I'!G335</f>
        <v>16788.650399999999</v>
      </c>
      <c r="R37" s="18">
        <f>'[3]BANKNIFTY-I'!I335</f>
        <v>4433880</v>
      </c>
      <c r="S37" s="19">
        <f>'[4]NIFTY-I'!B335</f>
        <v>42506</v>
      </c>
      <c r="T37" s="20">
        <f>'[4]NIFTY-I'!D335</f>
        <v>7840</v>
      </c>
      <c r="U37" s="20">
        <f>'[4]NIFTY-I'!E335</f>
        <v>7898.1000999999997</v>
      </c>
      <c r="V37" s="20">
        <f>'[4]NIFTY-I'!F335</f>
        <v>7780.1000999999997</v>
      </c>
      <c r="W37" s="20">
        <f>'[4]NIFTY-I'!G335</f>
        <v>7887.2002000000002</v>
      </c>
      <c r="X37" s="21">
        <f>'[4]NIFTY-I'!I335</f>
        <v>14011275</v>
      </c>
      <c r="Y37" s="22"/>
      <c r="Z37" s="42">
        <f t="shared" ref="Z37:Z63" si="27">MAX(O37-P37,ABS(O37-Q36),ABS(Q36-P37))</f>
        <v>382.94919999999911</v>
      </c>
      <c r="AA37" s="47">
        <f t="shared" si="13"/>
        <v>323.51542932506709</v>
      </c>
      <c r="AB37" s="47">
        <f t="shared" si="9"/>
        <v>9705.4628797520127</v>
      </c>
      <c r="AC37" s="47">
        <f>AB37*'Base Data'!$D$13</f>
        <v>7279.0971598140095</v>
      </c>
      <c r="AD37" s="51">
        <f>IF(INT(('Base Data'!$D$7)/AC37)=0,0,INT(('Base Data'!$D$7)/AC37))</f>
        <v>3</v>
      </c>
      <c r="AE37" s="48">
        <f t="shared" ref="AE37:AE63" si="28">MAX(U37-V37,ABS(U37-W36),ABS(W36-V37))</f>
        <v>118</v>
      </c>
      <c r="AF37" s="49">
        <f t="shared" si="14"/>
        <v>110.20464191818814</v>
      </c>
      <c r="AG37" s="49">
        <f t="shared" si="10"/>
        <v>8265.3481438641102</v>
      </c>
      <c r="AH37" s="49">
        <f>AG37*'Base Data'!$D$13</f>
        <v>6199.0111078980826</v>
      </c>
      <c r="AI37" s="50">
        <f>IF(INT(('Base Data'!$D$7)/AH37)=0,0,INT(('Base Data'!$D$7)/AH37))</f>
        <v>4</v>
      </c>
      <c r="AJ37" s="42">
        <f t="shared" ref="AJ37:AJ63" si="29">MAX(O37-P37,ABS(O37-Q36),ABS(Q36-P37))</f>
        <v>382.94919999999911</v>
      </c>
      <c r="AK37" s="47">
        <f t="shared" si="21"/>
        <v>311.19228404944943</v>
      </c>
      <c r="AL37" s="47">
        <f t="shared" si="17"/>
        <v>9335.7685214834819</v>
      </c>
      <c r="AM37" s="47">
        <f>AL37*'Base Data'!$D$10</f>
        <v>18671.537042966964</v>
      </c>
      <c r="AN37" s="51">
        <f>IF(INT(('Base Data'!$D$7)/AM37)=0,0,INT(('Base Data'!$D$7)/AM37))</f>
        <v>1</v>
      </c>
      <c r="AO37" s="44">
        <f t="shared" ref="AO37:AO63" si="30">MAX(U37-V37,ABS(U37-W36),ABS(W36-V37))</f>
        <v>118</v>
      </c>
      <c r="AP37" s="49">
        <f t="shared" si="22"/>
        <v>104.53074716435705</v>
      </c>
      <c r="AQ37" s="49">
        <f t="shared" si="18"/>
        <v>7839.806037326779</v>
      </c>
      <c r="AR37" s="49">
        <f>AQ37*'Base Data'!$D$10</f>
        <v>15679.612074653558</v>
      </c>
      <c r="AS37" s="50">
        <f>IF(INT(('Base Data'!$D$7)/AR37)=0,0,INT(('Base Data'!$D$7)/AR37))</f>
        <v>1</v>
      </c>
      <c r="AT37" s="46">
        <f t="shared" si="23"/>
        <v>382.94919999999911</v>
      </c>
      <c r="AU37" s="39">
        <f t="shared" si="24"/>
        <v>2.285806773828674E-2</v>
      </c>
      <c r="AV37" s="39">
        <f t="shared" si="11"/>
        <v>1.7193948743836424E-2</v>
      </c>
      <c r="AW37" s="39">
        <f t="shared" si="15"/>
        <v>1.7443792528604767E-2</v>
      </c>
      <c r="AX37" s="40">
        <f t="shared" si="19"/>
        <v>1.7478079187744015E-2</v>
      </c>
      <c r="AY37" s="52">
        <f t="shared" si="25"/>
        <v>118</v>
      </c>
      <c r="AZ37" s="41">
        <f t="shared" si="26"/>
        <v>1.5051020408163265E-2</v>
      </c>
      <c r="BA37" s="41">
        <f t="shared" si="12"/>
        <v>1.231843929078706E-2</v>
      </c>
      <c r="BB37" s="41">
        <f t="shared" si="16"/>
        <v>1.3331768904679037E-2</v>
      </c>
      <c r="BC37" s="38">
        <f t="shared" si="20"/>
        <v>1.2430752233799995E-2</v>
      </c>
    </row>
    <row r="38" spans="1:55" x14ac:dyDescent="0.25">
      <c r="A38" s="54"/>
      <c r="B38" s="54"/>
      <c r="C38" s="54"/>
      <c r="D38" s="54"/>
      <c r="E38" s="54"/>
      <c r="F38" s="54"/>
      <c r="G38" s="54"/>
      <c r="H38" s="54"/>
      <c r="I38" s="54"/>
      <c r="J38" s="54"/>
      <c r="K38" s="55"/>
      <c r="L38" s="37">
        <f>L37+1</f>
        <v>35</v>
      </c>
      <c r="M38" s="16">
        <f>'[3]BANKNIFTY-I'!B336</f>
        <v>42507</v>
      </c>
      <c r="N38" s="17">
        <f>'[3]BANKNIFTY-I'!D336</f>
        <v>16869</v>
      </c>
      <c r="O38" s="17">
        <f>'[3]BANKNIFTY-I'!E336</f>
        <v>16942</v>
      </c>
      <c r="P38" s="17">
        <f>'[3]BANKNIFTY-I'!F336</f>
        <v>16766.699199999999</v>
      </c>
      <c r="Q38" s="17">
        <f>'[3]BANKNIFTY-I'!G336</f>
        <v>16812</v>
      </c>
      <c r="R38" s="18">
        <f>'[3]BANKNIFTY-I'!I336</f>
        <v>3124080</v>
      </c>
      <c r="S38" s="19">
        <f>'[4]NIFTY-I'!B336</f>
        <v>42507</v>
      </c>
      <c r="T38" s="20">
        <f>'[4]NIFTY-I'!D336</f>
        <v>7920</v>
      </c>
      <c r="U38" s="20">
        <f>'[4]NIFTY-I'!E336</f>
        <v>7957.7997999999998</v>
      </c>
      <c r="V38" s="20">
        <f>'[4]NIFTY-I'!F336</f>
        <v>7896</v>
      </c>
      <c r="W38" s="20">
        <f>'[4]NIFTY-I'!G336</f>
        <v>7907.6000999999997</v>
      </c>
      <c r="X38" s="21">
        <f>'[4]NIFTY-I'!I336</f>
        <v>11509575</v>
      </c>
      <c r="Y38" s="22"/>
      <c r="Z38" s="42">
        <f t="shared" si="27"/>
        <v>175.30080000000089</v>
      </c>
      <c r="AA38" s="47">
        <f>((Z38-AA37)*(2/(1+8)))+AA37</f>
        <v>290.57884503060791</v>
      </c>
      <c r="AB38" s="47">
        <f t="shared" si="9"/>
        <v>8717.3653509182368</v>
      </c>
      <c r="AC38" s="47">
        <f>AB38*'Base Data'!$D$13</f>
        <v>6538.0240131886776</v>
      </c>
      <c r="AD38" s="51">
        <f>IF(INT(('Base Data'!$D$7)/AC38)=0,0,INT(('Base Data'!$D$7)/AC38))</f>
        <v>3</v>
      </c>
      <c r="AE38" s="48">
        <f t="shared" si="28"/>
        <v>70.599599999999555</v>
      </c>
      <c r="AF38" s="49">
        <f>((AE38-AF37)*(2/(1+8)))+AF37</f>
        <v>101.40352149192401</v>
      </c>
      <c r="AG38" s="49">
        <f t="shared" si="10"/>
        <v>7605.2641118943011</v>
      </c>
      <c r="AH38" s="49">
        <f>AG38*'Base Data'!$D$13</f>
        <v>5703.9480839207263</v>
      </c>
      <c r="AI38" s="50">
        <f>IF(INT(('Base Data'!$D$7)/AH38)=0,0,INT(('Base Data'!$D$7)/AH38))</f>
        <v>4</v>
      </c>
      <c r="AJ38" s="42">
        <f t="shared" si="29"/>
        <v>175.30080000000089</v>
      </c>
      <c r="AK38" s="47">
        <f t="shared" si="21"/>
        <v>298.83851277222681</v>
      </c>
      <c r="AL38" s="47">
        <f t="shared" si="17"/>
        <v>8965.1553831668043</v>
      </c>
      <c r="AM38" s="47">
        <f>AL38*'Base Data'!$D$10</f>
        <v>17930.310766333609</v>
      </c>
      <c r="AN38" s="51">
        <f>IF(INT(('Base Data'!$D$7)/AM38)=0,0,INT(('Base Data'!$D$7)/AM38))</f>
        <v>1</v>
      </c>
      <c r="AO38" s="44">
        <f t="shared" si="30"/>
        <v>70.599599999999555</v>
      </c>
      <c r="AP38" s="49">
        <f t="shared" si="22"/>
        <v>101.44609742214273</v>
      </c>
      <c r="AQ38" s="49">
        <f t="shared" si="18"/>
        <v>7608.4573066607045</v>
      </c>
      <c r="AR38" s="49">
        <f>AQ38*'Base Data'!$D$10</f>
        <v>15216.914613321409</v>
      </c>
      <c r="AS38" s="50">
        <f>IF(INT(('Base Data'!$D$7)/AR38)=0,0,INT(('Base Data'!$D$7)/AR38))</f>
        <v>1</v>
      </c>
      <c r="AT38" s="46">
        <f t="shared" si="23"/>
        <v>175.30080000000089</v>
      </c>
      <c r="AU38" s="39">
        <f t="shared" si="24"/>
        <v>1.0391890449937808E-2</v>
      </c>
      <c r="AV38" s="39">
        <f t="shared" si="11"/>
        <v>1.6849239309163114E-2</v>
      </c>
      <c r="AW38" s="39">
        <f t="shared" si="15"/>
        <v>1.6735507434097751E-2</v>
      </c>
      <c r="AX38" s="40">
        <f t="shared" si="19"/>
        <v>1.6996106248469877E-2</v>
      </c>
      <c r="AY38" s="52">
        <f t="shared" si="25"/>
        <v>61.799799999999777</v>
      </c>
      <c r="AZ38" s="41">
        <f t="shared" si="26"/>
        <v>7.803005050505022E-3</v>
      </c>
      <c r="BA38" s="41">
        <f t="shared" si="12"/>
        <v>1.1929327129825286E-2</v>
      </c>
      <c r="BB38" s="41">
        <f t="shared" si="16"/>
        <v>1.2416797367858647E-2</v>
      </c>
      <c r="BC38" s="38">
        <f t="shared" si="20"/>
        <v>1.2176874523890036E-2</v>
      </c>
    </row>
    <row r="39" spans="1:55" x14ac:dyDescent="0.25">
      <c r="A39" s="54"/>
      <c r="B39" s="54"/>
      <c r="C39" s="54"/>
      <c r="D39" s="54"/>
      <c r="E39" s="54"/>
      <c r="F39" s="54"/>
      <c r="G39" s="54"/>
      <c r="H39" s="54"/>
      <c r="I39" s="54"/>
      <c r="J39" s="54"/>
      <c r="K39" s="55"/>
      <c r="L39" s="37">
        <f t="shared" si="8"/>
        <v>36</v>
      </c>
      <c r="M39" s="16">
        <f>'[3]BANKNIFTY-I'!B337</f>
        <v>42508</v>
      </c>
      <c r="N39" s="17">
        <f>'[3]BANKNIFTY-I'!D337</f>
        <v>16675</v>
      </c>
      <c r="O39" s="17">
        <f>'[3]BANKNIFTY-I'!E337</f>
        <v>16798</v>
      </c>
      <c r="P39" s="17">
        <f>'[3]BANKNIFTY-I'!F337</f>
        <v>16575</v>
      </c>
      <c r="Q39" s="17">
        <f>'[3]BANKNIFTY-I'!G337</f>
        <v>16761.449199999999</v>
      </c>
      <c r="R39" s="18">
        <f>'[3]BANKNIFTY-I'!I337</f>
        <v>3098340</v>
      </c>
      <c r="S39" s="19">
        <f>'[4]NIFTY-I'!B337</f>
        <v>42508</v>
      </c>
      <c r="T39" s="20">
        <f>'[4]NIFTY-I'!D337</f>
        <v>7856.75</v>
      </c>
      <c r="U39" s="20">
        <f>'[4]NIFTY-I'!E337</f>
        <v>7927</v>
      </c>
      <c r="V39" s="20">
        <f>'[4]NIFTY-I'!F337</f>
        <v>7811.3999000000003</v>
      </c>
      <c r="W39" s="20">
        <f>'[4]NIFTY-I'!G337</f>
        <v>7879.2997999999998</v>
      </c>
      <c r="X39" s="21">
        <f>'[4]NIFTY-I'!I337</f>
        <v>14711550</v>
      </c>
      <c r="Y39" s="22"/>
      <c r="Z39" s="42">
        <f t="shared" si="27"/>
        <v>237</v>
      </c>
      <c r="AA39" s="47">
        <f t="shared" ref="AA39:AA55" si="31">((Z39-AA38)*(2/(1+8)))+AA38</f>
        <v>278.67243502380614</v>
      </c>
      <c r="AB39" s="47">
        <f t="shared" si="9"/>
        <v>8360.1730507141838</v>
      </c>
      <c r="AC39" s="47">
        <f>AB39*'Base Data'!$D$13</f>
        <v>6270.1297880356378</v>
      </c>
      <c r="AD39" s="51">
        <f>IF(INT(('Base Data'!$D$7)/AC39)=0,0,INT(('Base Data'!$D$7)/AC39))</f>
        <v>3</v>
      </c>
      <c r="AE39" s="48">
        <f t="shared" si="28"/>
        <v>115.60009999999966</v>
      </c>
      <c r="AF39" s="49">
        <f t="shared" ref="AF39:AF55" si="32">((AE39-AF38)*(2/(1+8)))+AF38</f>
        <v>104.55831671594082</v>
      </c>
      <c r="AG39" s="49">
        <f t="shared" si="10"/>
        <v>7841.8737536955614</v>
      </c>
      <c r="AH39" s="49">
        <f>AG39*'Base Data'!$D$13</f>
        <v>5881.4053152716715</v>
      </c>
      <c r="AI39" s="50">
        <f>IF(INT(('Base Data'!$D$7)/AH39)=0,0,INT(('Base Data'!$D$7)/AH39))</f>
        <v>4</v>
      </c>
      <c r="AJ39" s="42">
        <f t="shared" si="29"/>
        <v>237</v>
      </c>
      <c r="AK39" s="47">
        <f t="shared" si="21"/>
        <v>293.21682979293348</v>
      </c>
      <c r="AL39" s="47">
        <f t="shared" si="17"/>
        <v>8796.5048937880038</v>
      </c>
      <c r="AM39" s="47">
        <f>AL39*'Base Data'!$D$10</f>
        <v>17593.009787576008</v>
      </c>
      <c r="AN39" s="51">
        <f>IF(INT(('Base Data'!$D$7)/AM39)=0,0,INT(('Base Data'!$D$7)/AM39))</f>
        <v>1</v>
      </c>
      <c r="AO39" s="44">
        <f t="shared" si="30"/>
        <v>115.60009999999966</v>
      </c>
      <c r="AP39" s="49">
        <f t="shared" si="22"/>
        <v>102.73282492922063</v>
      </c>
      <c r="AQ39" s="49">
        <f t="shared" si="18"/>
        <v>7704.9618696915468</v>
      </c>
      <c r="AR39" s="49">
        <f>AQ39*'Base Data'!$D$10</f>
        <v>15409.923739383094</v>
      </c>
      <c r="AS39" s="50">
        <f>IF(INT(('Base Data'!$D$7)/AR39)=0,0,INT(('Base Data'!$D$7)/AR39))</f>
        <v>1</v>
      </c>
      <c r="AT39" s="46">
        <f t="shared" si="23"/>
        <v>223</v>
      </c>
      <c r="AU39" s="39">
        <f t="shared" si="24"/>
        <v>1.3373313343328336E-2</v>
      </c>
      <c r="AV39" s="39">
        <f t="shared" si="11"/>
        <v>1.7281840881472478E-2</v>
      </c>
      <c r="AW39" s="39">
        <f t="shared" si="15"/>
        <v>1.5997162568080966E-2</v>
      </c>
      <c r="AX39" s="40">
        <f t="shared" si="19"/>
        <v>1.6468650800504022E-2</v>
      </c>
      <c r="AY39" s="52">
        <f t="shared" si="25"/>
        <v>115.60009999999966</v>
      </c>
      <c r="AZ39" s="41">
        <f t="shared" si="26"/>
        <v>1.4713475673783645E-2</v>
      </c>
      <c r="BA39" s="41">
        <f t="shared" si="12"/>
        <v>1.2642758421114486E-2</v>
      </c>
      <c r="BB39" s="41">
        <f t="shared" si="16"/>
        <v>1.238895488742962E-2</v>
      </c>
      <c r="BC39" s="38">
        <f t="shared" si="20"/>
        <v>1.2419066695699477E-2</v>
      </c>
    </row>
    <row r="40" spans="1:55" x14ac:dyDescent="0.25">
      <c r="A40" s="54"/>
      <c r="B40" s="54"/>
      <c r="C40" s="54"/>
      <c r="D40" s="54"/>
      <c r="E40" s="54"/>
      <c r="F40" s="54"/>
      <c r="G40" s="54"/>
      <c r="H40" s="54"/>
      <c r="I40" s="54"/>
      <c r="J40" s="54"/>
      <c r="K40" s="55"/>
      <c r="L40" s="37">
        <f t="shared" si="8"/>
        <v>37</v>
      </c>
      <c r="M40" s="16">
        <f>'[3]BANKNIFTY-I'!B338</f>
        <v>42509</v>
      </c>
      <c r="N40" s="17">
        <f>'[3]BANKNIFTY-I'!D338</f>
        <v>17282.349600000001</v>
      </c>
      <c r="O40" s="17">
        <f>'[3]BANKNIFTY-I'!E338</f>
        <v>17282.349600000001</v>
      </c>
      <c r="P40" s="17">
        <f>'[3]BANKNIFTY-I'!F338</f>
        <v>16538</v>
      </c>
      <c r="Q40" s="17">
        <f>'[3]BANKNIFTY-I'!G338</f>
        <v>16563.650399999999</v>
      </c>
      <c r="R40" s="18">
        <f>'[3]BANKNIFTY-I'!I338</f>
        <v>2744220</v>
      </c>
      <c r="S40" s="19">
        <f>'[4]NIFTY-I'!B338</f>
        <v>42509</v>
      </c>
      <c r="T40" s="20">
        <f>'[4]NIFTY-I'!D338</f>
        <v>7864.9502000000002</v>
      </c>
      <c r="U40" s="20">
        <f>'[4]NIFTY-I'!E338</f>
        <v>7872.5497999999998</v>
      </c>
      <c r="V40" s="20">
        <f>'[4]NIFTY-I'!F338</f>
        <v>7775.25</v>
      </c>
      <c r="W40" s="20">
        <f>'[4]NIFTY-I'!G338</f>
        <v>7785.1000999999997</v>
      </c>
      <c r="X40" s="21">
        <f>'[4]NIFTY-I'!I338</f>
        <v>14506500</v>
      </c>
      <c r="Y40" s="22"/>
      <c r="Z40" s="42">
        <f t="shared" si="27"/>
        <v>744.34960000000137</v>
      </c>
      <c r="AA40" s="47">
        <f t="shared" si="31"/>
        <v>382.15624946296066</v>
      </c>
      <c r="AB40" s="47">
        <f t="shared" si="9"/>
        <v>11464.68748388882</v>
      </c>
      <c r="AC40" s="47">
        <f>AB40*'Base Data'!$D$13</f>
        <v>8598.5156129166153</v>
      </c>
      <c r="AD40" s="51">
        <f>IF(INT(('Base Data'!$D$7)/AC40)=0,0,INT(('Base Data'!$D$7)/AC40))</f>
        <v>2</v>
      </c>
      <c r="AE40" s="48">
        <f t="shared" si="28"/>
        <v>104.04979999999978</v>
      </c>
      <c r="AF40" s="49">
        <f t="shared" si="32"/>
        <v>104.44531300128726</v>
      </c>
      <c r="AG40" s="49">
        <f t="shared" si="10"/>
        <v>7833.3984750965446</v>
      </c>
      <c r="AH40" s="49">
        <f>AG40*'Base Data'!$D$13</f>
        <v>5875.048856322408</v>
      </c>
      <c r="AI40" s="50">
        <f>IF(INT(('Base Data'!$D$7)/AH40)=0,0,INT(('Base Data'!$D$7)/AH40))</f>
        <v>4</v>
      </c>
      <c r="AJ40" s="42">
        <f t="shared" si="29"/>
        <v>744.34960000000137</v>
      </c>
      <c r="AK40" s="47">
        <f t="shared" si="21"/>
        <v>334.22889981175786</v>
      </c>
      <c r="AL40" s="47">
        <f t="shared" si="17"/>
        <v>10026.866994352735</v>
      </c>
      <c r="AM40" s="47">
        <f>AL40*'Base Data'!$D$10</f>
        <v>20053.73398870547</v>
      </c>
      <c r="AN40" s="51">
        <f>IF(INT(('Base Data'!$D$7)/AM40)=0,0,INT(('Base Data'!$D$7)/AM40))</f>
        <v>1</v>
      </c>
      <c r="AO40" s="44">
        <f t="shared" si="30"/>
        <v>104.04979999999978</v>
      </c>
      <c r="AP40" s="49">
        <f t="shared" si="22"/>
        <v>102.85254993565509</v>
      </c>
      <c r="AQ40" s="49">
        <f t="shared" si="18"/>
        <v>7713.9412451741318</v>
      </c>
      <c r="AR40" s="49">
        <f>AQ40*'Base Data'!$D$10</f>
        <v>15427.882490348264</v>
      </c>
      <c r="AS40" s="50">
        <f>IF(INT(('Base Data'!$D$7)/AR40)=0,0,INT(('Base Data'!$D$7)/AR40))</f>
        <v>1</v>
      </c>
      <c r="AT40" s="46">
        <f t="shared" si="23"/>
        <v>744.34960000000137</v>
      </c>
      <c r="AU40" s="39">
        <f t="shared" si="24"/>
        <v>4.3069930722845769E-2</v>
      </c>
      <c r="AV40" s="39">
        <f t="shared" si="11"/>
        <v>1.9714986077970814E-2</v>
      </c>
      <c r="AW40" s="39">
        <f t="shared" si="15"/>
        <v>1.8548153053611075E-2</v>
      </c>
      <c r="AX40" s="40">
        <f t="shared" si="19"/>
        <v>1.7801597173306424E-2</v>
      </c>
      <c r="AY40" s="52">
        <f t="shared" si="25"/>
        <v>97.299799999999777</v>
      </c>
      <c r="AZ40" s="41">
        <f t="shared" si="26"/>
        <v>1.2371318002750962E-2</v>
      </c>
      <c r="BA40" s="41">
        <f t="shared" si="12"/>
        <v>1.1989013423415917E-2</v>
      </c>
      <c r="BB40" s="41">
        <f t="shared" si="16"/>
        <v>1.2661734060720966E-2</v>
      </c>
      <c r="BC40" s="38">
        <f t="shared" si="20"/>
        <v>1.2601818206016474E-2</v>
      </c>
    </row>
    <row r="41" spans="1:55" x14ac:dyDescent="0.25">
      <c r="A41" s="54"/>
      <c r="B41" s="54"/>
      <c r="C41" s="54"/>
      <c r="D41" s="54"/>
      <c r="E41" s="54"/>
      <c r="F41" s="54"/>
      <c r="G41" s="54"/>
      <c r="H41" s="54"/>
      <c r="I41" s="54"/>
      <c r="J41" s="54"/>
      <c r="K41" s="55"/>
      <c r="L41" s="37">
        <f t="shared" si="8"/>
        <v>38</v>
      </c>
      <c r="M41" s="16">
        <f>'[3]BANKNIFTY-I'!B339</f>
        <v>42510</v>
      </c>
      <c r="N41" s="17">
        <f>'[3]BANKNIFTY-I'!D339</f>
        <v>16598</v>
      </c>
      <c r="O41" s="17">
        <f>'[3]BANKNIFTY-I'!E339</f>
        <v>16668.800800000001</v>
      </c>
      <c r="P41" s="17">
        <f>'[3]BANKNIFTY-I'!F339</f>
        <v>16475.050800000001</v>
      </c>
      <c r="Q41" s="17">
        <f>'[3]BANKNIFTY-I'!G339</f>
        <v>16505.849600000001</v>
      </c>
      <c r="R41" s="18">
        <f>'[3]BANKNIFTY-I'!I339</f>
        <v>2714790</v>
      </c>
      <c r="S41" s="19">
        <f>'[4]NIFTY-I'!B339</f>
        <v>42510</v>
      </c>
      <c r="T41" s="20">
        <f>'[4]NIFTY-I'!D339</f>
        <v>7790.2997999999998</v>
      </c>
      <c r="U41" s="20">
        <f>'[4]NIFTY-I'!E339</f>
        <v>7828</v>
      </c>
      <c r="V41" s="20">
        <f>'[4]NIFTY-I'!F339</f>
        <v>7753.3500999999997</v>
      </c>
      <c r="W41" s="20">
        <f>'[4]NIFTY-I'!G339</f>
        <v>7763.3500999999997</v>
      </c>
      <c r="X41" s="21">
        <f>'[4]NIFTY-I'!I339</f>
        <v>12173925</v>
      </c>
      <c r="Y41" s="22"/>
      <c r="Z41" s="42">
        <f t="shared" si="27"/>
        <v>193.75</v>
      </c>
      <c r="AA41" s="47">
        <f t="shared" si="31"/>
        <v>340.28819402674719</v>
      </c>
      <c r="AB41" s="47">
        <f t="shared" si="9"/>
        <v>10208.645820802416</v>
      </c>
      <c r="AC41" s="47">
        <f>AB41*'Base Data'!$D$13</f>
        <v>7656.484365601812</v>
      </c>
      <c r="AD41" s="51">
        <f>IF(INT(('Base Data'!$D$7)/AC41)=0,0,INT(('Base Data'!$D$7)/AC41))</f>
        <v>3</v>
      </c>
      <c r="AE41" s="48">
        <f t="shared" si="28"/>
        <v>74.649900000000343</v>
      </c>
      <c r="AF41" s="49">
        <f t="shared" si="32"/>
        <v>97.824110112112393</v>
      </c>
      <c r="AG41" s="49">
        <f t="shared" si="10"/>
        <v>7336.8082584084295</v>
      </c>
      <c r="AH41" s="49">
        <f>AG41*'Base Data'!$D$13</f>
        <v>5502.6061938063222</v>
      </c>
      <c r="AI41" s="50">
        <f>IF(INT(('Base Data'!$D$7)/AH41)=0,0,INT(('Base Data'!$D$7)/AH41))</f>
        <v>4</v>
      </c>
      <c r="AJ41" s="42">
        <f t="shared" si="29"/>
        <v>193.75</v>
      </c>
      <c r="AK41" s="47">
        <f t="shared" si="21"/>
        <v>321.4580907379617</v>
      </c>
      <c r="AL41" s="47">
        <f t="shared" si="17"/>
        <v>9643.7427221388516</v>
      </c>
      <c r="AM41" s="47">
        <f>AL41*'Base Data'!$D$10</f>
        <v>19287.485444277703</v>
      </c>
      <c r="AN41" s="51">
        <f>IF(INT(('Base Data'!$D$7)/AM41)=0,0,INT(('Base Data'!$D$7)/AM41))</f>
        <v>1</v>
      </c>
      <c r="AO41" s="44">
        <f t="shared" si="30"/>
        <v>74.649900000000343</v>
      </c>
      <c r="AP41" s="49">
        <f t="shared" si="22"/>
        <v>100.28867266877738</v>
      </c>
      <c r="AQ41" s="49">
        <f t="shared" si="18"/>
        <v>7521.6504501583031</v>
      </c>
      <c r="AR41" s="49">
        <f>AQ41*'Base Data'!$D$10</f>
        <v>15043.300900316606</v>
      </c>
      <c r="AS41" s="50">
        <f>IF(INT(('Base Data'!$D$7)/AR41)=0,0,INT(('Base Data'!$D$7)/AR41))</f>
        <v>1</v>
      </c>
      <c r="AT41" s="46">
        <f t="shared" si="23"/>
        <v>193.75</v>
      </c>
      <c r="AU41" s="39">
        <f t="shared" si="24"/>
        <v>1.1673093143752259E-2</v>
      </c>
      <c r="AV41" s="39">
        <f t="shared" si="11"/>
        <v>1.9689163809756643E-2</v>
      </c>
      <c r="AW41" s="39">
        <f t="shared" si="15"/>
        <v>1.7636722481550727E-2</v>
      </c>
      <c r="AX41" s="40">
        <f t="shared" si="19"/>
        <v>1.7768254623983355E-2</v>
      </c>
      <c r="AY41" s="52">
        <f t="shared" si="25"/>
        <v>74.649900000000343</v>
      </c>
      <c r="AZ41" s="41">
        <f t="shared" si="26"/>
        <v>9.5824168410053156E-3</v>
      </c>
      <c r="BA41" s="41">
        <f t="shared" si="12"/>
        <v>1.2135385645085801E-2</v>
      </c>
      <c r="BB41" s="41">
        <f t="shared" si="16"/>
        <v>1.1636190004767323E-2</v>
      </c>
      <c r="BC41" s="38">
        <f t="shared" si="20"/>
        <v>1.2464394504089926E-2</v>
      </c>
    </row>
    <row r="42" spans="1:55" x14ac:dyDescent="0.25">
      <c r="A42" s="54"/>
      <c r="B42" s="54"/>
      <c r="C42" s="54"/>
      <c r="D42" s="54"/>
      <c r="E42" s="54"/>
      <c r="F42" s="54"/>
      <c r="G42" s="54"/>
      <c r="H42" s="54"/>
      <c r="I42" s="54"/>
      <c r="J42" s="54"/>
      <c r="K42" s="55"/>
      <c r="L42" s="37">
        <f t="shared" si="8"/>
        <v>39</v>
      </c>
      <c r="M42" s="16">
        <f>'[3]BANKNIFTY-I'!B340</f>
        <v>42513</v>
      </c>
      <c r="N42" s="17">
        <f>'[3]BANKNIFTY-I'!D340</f>
        <v>16625</v>
      </c>
      <c r="O42" s="17">
        <f>'[3]BANKNIFTY-I'!E340</f>
        <v>16638</v>
      </c>
      <c r="P42" s="17">
        <f>'[3]BANKNIFTY-I'!F340</f>
        <v>16390</v>
      </c>
      <c r="Q42" s="17">
        <f>'[3]BANKNIFTY-I'!G340</f>
        <v>16429.400399999999</v>
      </c>
      <c r="R42" s="18">
        <f>'[3]BANKNIFTY-I'!I340</f>
        <v>3024450</v>
      </c>
      <c r="S42" s="19">
        <f>'[4]NIFTY-I'!B340</f>
        <v>42513</v>
      </c>
      <c r="T42" s="20">
        <f>'[4]NIFTY-I'!D340</f>
        <v>7782.5497999999998</v>
      </c>
      <c r="U42" s="20">
        <f>'[4]NIFTY-I'!E340</f>
        <v>7816</v>
      </c>
      <c r="V42" s="20">
        <f>'[4]NIFTY-I'!F340</f>
        <v>7736.6499000000003</v>
      </c>
      <c r="W42" s="20">
        <f>'[4]NIFTY-I'!G340</f>
        <v>7744.8500999999997</v>
      </c>
      <c r="X42" s="21">
        <f>'[4]NIFTY-I'!I340</f>
        <v>14444775</v>
      </c>
      <c r="Y42" s="22"/>
      <c r="Z42" s="42">
        <f t="shared" si="27"/>
        <v>248</v>
      </c>
      <c r="AA42" s="47">
        <f t="shared" si="31"/>
        <v>319.77970646524784</v>
      </c>
      <c r="AB42" s="47">
        <f t="shared" si="9"/>
        <v>9593.3911939574355</v>
      </c>
      <c r="AC42" s="47">
        <f>AB42*'Base Data'!$D$13</f>
        <v>7195.0433954680766</v>
      </c>
      <c r="AD42" s="51">
        <f>IF(INT(('Base Data'!$D$7)/AC42)=0,0,INT(('Base Data'!$D$7)/AC42))</f>
        <v>3</v>
      </c>
      <c r="AE42" s="48">
        <f t="shared" si="28"/>
        <v>79.350099999999657</v>
      </c>
      <c r="AF42" s="49">
        <f t="shared" si="32"/>
        <v>93.718774531642893</v>
      </c>
      <c r="AG42" s="49">
        <f t="shared" si="10"/>
        <v>7028.9080898732172</v>
      </c>
      <c r="AH42" s="49">
        <f>AG42*'Base Data'!$D$13</f>
        <v>5271.6810674049129</v>
      </c>
      <c r="AI42" s="50">
        <f>IF(INT(('Base Data'!$D$7)/AH42)=0,0,INT(('Base Data'!$D$7)/AH42))</f>
        <v>4</v>
      </c>
      <c r="AJ42" s="42">
        <f t="shared" si="29"/>
        <v>248</v>
      </c>
      <c r="AK42" s="47">
        <f t="shared" si="21"/>
        <v>314.7800824890561</v>
      </c>
      <c r="AL42" s="47">
        <f t="shared" si="17"/>
        <v>9443.4024746716823</v>
      </c>
      <c r="AM42" s="47">
        <f>AL42*'Base Data'!$D$10</f>
        <v>18886.804949343365</v>
      </c>
      <c r="AN42" s="51">
        <f>IF(INT(('Base Data'!$D$7)/AM42)=0,0,INT(('Base Data'!$D$7)/AM42))</f>
        <v>1</v>
      </c>
      <c r="AO42" s="44">
        <f t="shared" si="30"/>
        <v>79.350099999999657</v>
      </c>
      <c r="AP42" s="49">
        <f t="shared" si="22"/>
        <v>98.38516606252486</v>
      </c>
      <c r="AQ42" s="49">
        <f t="shared" si="18"/>
        <v>7378.8874546893649</v>
      </c>
      <c r="AR42" s="49">
        <f>AQ42*'Base Data'!$D$10</f>
        <v>14757.77490937873</v>
      </c>
      <c r="AS42" s="50">
        <f>IF(INT(('Base Data'!$D$7)/AR42)=0,0,INT(('Base Data'!$D$7)/AR42))</f>
        <v>1</v>
      </c>
      <c r="AT42" s="46">
        <f t="shared" si="23"/>
        <v>248</v>
      </c>
      <c r="AU42" s="39">
        <f t="shared" si="24"/>
        <v>1.4917293233082708E-2</v>
      </c>
      <c r="AV42" s="39">
        <f t="shared" si="11"/>
        <v>1.8661354347030007E-2</v>
      </c>
      <c r="AW42" s="39">
        <f t="shared" si="15"/>
        <v>1.7767470064895249E-2</v>
      </c>
      <c r="AX42" s="40">
        <f t="shared" si="19"/>
        <v>1.7638428089500835E-2</v>
      </c>
      <c r="AY42" s="52">
        <f t="shared" si="25"/>
        <v>79.350099999999657</v>
      </c>
      <c r="AZ42" s="41">
        <f t="shared" si="26"/>
        <v>1.0195900063498426E-2</v>
      </c>
      <c r="BA42" s="41">
        <f t="shared" si="12"/>
        <v>1.1622186004402197E-2</v>
      </c>
      <c r="BB42" s="41">
        <f t="shared" si="16"/>
        <v>1.1785663842910759E-2</v>
      </c>
      <c r="BC42" s="38">
        <f t="shared" si="20"/>
        <v>1.2585308470140288E-2</v>
      </c>
    </row>
    <row r="43" spans="1:55" x14ac:dyDescent="0.25">
      <c r="A43" s="54"/>
      <c r="B43" s="54"/>
      <c r="C43" s="54"/>
      <c r="D43" s="54"/>
      <c r="E43" s="54"/>
      <c r="F43" s="54"/>
      <c r="G43" s="54"/>
      <c r="H43" s="54"/>
      <c r="I43" s="54"/>
      <c r="J43" s="54"/>
      <c r="K43" s="55"/>
      <c r="L43" s="37">
        <f t="shared" si="8"/>
        <v>40</v>
      </c>
      <c r="M43" s="16">
        <f>'[3]BANKNIFTY-I'!B341</f>
        <v>42514</v>
      </c>
      <c r="N43" s="17">
        <f>'[3]BANKNIFTY-I'!D341</f>
        <v>16424.699199999999</v>
      </c>
      <c r="O43" s="17">
        <f>'[3]BANKNIFTY-I'!E341</f>
        <v>16523.949199999999</v>
      </c>
      <c r="P43" s="17">
        <f>'[3]BANKNIFTY-I'!F341</f>
        <v>16379</v>
      </c>
      <c r="Q43" s="17">
        <f>'[3]BANKNIFTY-I'!G341</f>
        <v>16488.099600000001</v>
      </c>
      <c r="R43" s="18">
        <f>'[3]BANKNIFTY-I'!I341</f>
        <v>2399040</v>
      </c>
      <c r="S43" s="19">
        <f>'[4]NIFTY-I'!B341</f>
        <v>42514</v>
      </c>
      <c r="T43" s="20">
        <f>'[4]NIFTY-I'!D341</f>
        <v>7736</v>
      </c>
      <c r="U43" s="20">
        <f>'[4]NIFTY-I'!E341</f>
        <v>7769.5</v>
      </c>
      <c r="V43" s="20">
        <f>'[4]NIFTY-I'!F341</f>
        <v>7722.7997999999998</v>
      </c>
      <c r="W43" s="20">
        <f>'[4]NIFTY-I'!G341</f>
        <v>7759.2997999999998</v>
      </c>
      <c r="X43" s="21">
        <f>'[4]NIFTY-I'!I341</f>
        <v>11329950</v>
      </c>
      <c r="Y43" s="22"/>
      <c r="Z43" s="42">
        <f t="shared" si="27"/>
        <v>144.94919999999911</v>
      </c>
      <c r="AA43" s="47">
        <f t="shared" si="31"/>
        <v>280.92848280630369</v>
      </c>
      <c r="AB43" s="47">
        <f t="shared" si="9"/>
        <v>8427.8544841891107</v>
      </c>
      <c r="AC43" s="47">
        <f>AB43*'Base Data'!$D$13</f>
        <v>6320.8908631418326</v>
      </c>
      <c r="AD43" s="51">
        <f>IF(INT(('Base Data'!$D$7)/AC43)=0,0,INT(('Base Data'!$D$7)/AC43))</f>
        <v>3</v>
      </c>
      <c r="AE43" s="48">
        <f t="shared" si="28"/>
        <v>46.700200000000223</v>
      </c>
      <c r="AF43" s="49">
        <f t="shared" si="32"/>
        <v>83.270202413500073</v>
      </c>
      <c r="AG43" s="49">
        <f t="shared" si="10"/>
        <v>6245.2651810125053</v>
      </c>
      <c r="AH43" s="49">
        <f>AG43*'Base Data'!$D$13</f>
        <v>4683.9488857593788</v>
      </c>
      <c r="AI43" s="50">
        <f>IF(INT(('Base Data'!$D$7)/AH43)=0,0,INT(('Base Data'!$D$7)/AH43))</f>
        <v>5</v>
      </c>
      <c r="AJ43" s="42">
        <f t="shared" si="29"/>
        <v>144.94919999999911</v>
      </c>
      <c r="AK43" s="47">
        <f t="shared" si="21"/>
        <v>299.34091135368726</v>
      </c>
      <c r="AL43" s="47">
        <f t="shared" si="17"/>
        <v>8980.2273406106178</v>
      </c>
      <c r="AM43" s="47">
        <f>AL43*'Base Data'!$D$10</f>
        <v>17960.454681221236</v>
      </c>
      <c r="AN43" s="51">
        <f>IF(INT(('Base Data'!$D$7)/AM43)=0,0,INT(('Base Data'!$D$7)/AM43))</f>
        <v>1</v>
      </c>
      <c r="AO43" s="44">
        <f t="shared" si="30"/>
        <v>46.700200000000223</v>
      </c>
      <c r="AP43" s="49">
        <f t="shared" si="22"/>
        <v>93.686532784113524</v>
      </c>
      <c r="AQ43" s="49">
        <f t="shared" si="18"/>
        <v>7026.4899588085145</v>
      </c>
      <c r="AR43" s="49">
        <f>AQ43*'Base Data'!$D$10</f>
        <v>14052.979917617029</v>
      </c>
      <c r="AS43" s="50">
        <f>IF(INT(('Base Data'!$D$7)/AR43)=0,0,INT(('Base Data'!$D$7)/AR43))</f>
        <v>1</v>
      </c>
      <c r="AT43" s="46">
        <f t="shared" si="23"/>
        <v>144.94919999999911</v>
      </c>
      <c r="AU43" s="39">
        <f t="shared" si="24"/>
        <v>8.825074860427223E-3</v>
      </c>
      <c r="AV43" s="39">
        <f t="shared" si="11"/>
        <v>1.8293617504796546E-2</v>
      </c>
      <c r="AW43" s="39">
        <f t="shared" si="15"/>
        <v>1.7434816905903171E-2</v>
      </c>
      <c r="AX43" s="40">
        <f t="shared" si="19"/>
        <v>1.7517075291018508E-2</v>
      </c>
      <c r="AY43" s="52">
        <f t="shared" si="25"/>
        <v>46.700200000000223</v>
      </c>
      <c r="AZ43" s="41">
        <f t="shared" si="26"/>
        <v>6.0367373319545276E-3</v>
      </c>
      <c r="BA43" s="41">
        <f t="shared" si="12"/>
        <v>1.1124559048400953E-2</v>
      </c>
      <c r="BB43" s="41">
        <f t="shared" si="16"/>
        <v>1.1410343457815013E-2</v>
      </c>
      <c r="BC43" s="38">
        <f t="shared" si="20"/>
        <v>1.2404715768770452E-2</v>
      </c>
    </row>
    <row r="44" spans="1:55" x14ac:dyDescent="0.25">
      <c r="A44" s="54"/>
      <c r="B44" s="54"/>
      <c r="C44" s="54"/>
      <c r="D44" s="54"/>
      <c r="E44" s="54"/>
      <c r="F44" s="54"/>
      <c r="G44" s="54"/>
      <c r="H44" s="54"/>
      <c r="I44" s="54"/>
      <c r="J44" s="54"/>
      <c r="K44" s="55"/>
      <c r="L44" s="37">
        <f t="shared" si="8"/>
        <v>41</v>
      </c>
      <c r="M44" s="16">
        <f>'[3]BANKNIFTY-I'!B342</f>
        <v>42515</v>
      </c>
      <c r="N44" s="17">
        <f>'[3]BANKNIFTY-I'!D342</f>
        <v>16675</v>
      </c>
      <c r="O44" s="17">
        <f>'[3]BANKNIFTY-I'!E342</f>
        <v>17045</v>
      </c>
      <c r="P44" s="17">
        <f>'[3]BANKNIFTY-I'!F342</f>
        <v>16610.050800000001</v>
      </c>
      <c r="Q44" s="17">
        <f>'[3]BANKNIFTY-I'!G342</f>
        <v>17013.599600000001</v>
      </c>
      <c r="R44" s="18">
        <f>'[3]BANKNIFTY-I'!I342</f>
        <v>3827670</v>
      </c>
      <c r="S44" s="19">
        <f>'[4]NIFTY-I'!B342</f>
        <v>42515</v>
      </c>
      <c r="T44" s="20">
        <f>'[4]NIFTY-I'!D342</f>
        <v>7802.6499000000003</v>
      </c>
      <c r="U44" s="20">
        <f>'[4]NIFTY-I'!E342</f>
        <v>7949.8999000000003</v>
      </c>
      <c r="V44" s="20">
        <f>'[4]NIFTY-I'!F342</f>
        <v>7802.6499000000003</v>
      </c>
      <c r="W44" s="20">
        <f>'[4]NIFTY-I'!G342</f>
        <v>7943</v>
      </c>
      <c r="X44" s="21">
        <f>'[4]NIFTY-I'!I342</f>
        <v>19064176</v>
      </c>
      <c r="Y44" s="22"/>
      <c r="Z44" s="42">
        <f t="shared" si="27"/>
        <v>556.90039999999863</v>
      </c>
      <c r="AA44" s="47">
        <f t="shared" si="31"/>
        <v>342.25557551601366</v>
      </c>
      <c r="AB44" s="47">
        <f t="shared" si="9"/>
        <v>10267.66726548041</v>
      </c>
      <c r="AC44" s="47">
        <f>AB44*'Base Data'!$D$13</f>
        <v>7700.7504491103073</v>
      </c>
      <c r="AD44" s="51">
        <f>IF(INT(('Base Data'!$D$7)/AC44)=0,0,INT(('Base Data'!$D$7)/AC44))</f>
        <v>3</v>
      </c>
      <c r="AE44" s="48">
        <f t="shared" si="28"/>
        <v>190.60010000000057</v>
      </c>
      <c r="AF44" s="49">
        <f t="shared" si="32"/>
        <v>107.12129076605574</v>
      </c>
      <c r="AG44" s="49">
        <f t="shared" si="10"/>
        <v>8034.0968074541806</v>
      </c>
      <c r="AH44" s="49">
        <f>AG44*'Base Data'!$D$13</f>
        <v>6025.5726055906352</v>
      </c>
      <c r="AI44" s="50">
        <f>IF(INT(('Base Data'!$D$7)/AH44)=0,0,INT(('Base Data'!$D$7)/AH44))</f>
        <v>4</v>
      </c>
      <c r="AJ44" s="42">
        <f t="shared" si="29"/>
        <v>556.90039999999863</v>
      </c>
      <c r="AK44" s="47">
        <f t="shared" si="21"/>
        <v>322.75541032153376</v>
      </c>
      <c r="AL44" s="47">
        <f t="shared" si="17"/>
        <v>9682.6623096460135</v>
      </c>
      <c r="AM44" s="47">
        <f>AL44*'Base Data'!$D$10</f>
        <v>19365.324619292027</v>
      </c>
      <c r="AN44" s="51">
        <f>IF(INT(('Base Data'!$D$7)/AM44)=0,0,INT(('Base Data'!$D$7)/AM44))</f>
        <v>1</v>
      </c>
      <c r="AO44" s="44">
        <f t="shared" si="30"/>
        <v>190.60010000000057</v>
      </c>
      <c r="AP44" s="49">
        <f t="shared" si="22"/>
        <v>102.4968570764669</v>
      </c>
      <c r="AQ44" s="49">
        <f t="shared" si="18"/>
        <v>7687.2642807350176</v>
      </c>
      <c r="AR44" s="49">
        <f>AQ44*'Base Data'!$D$10</f>
        <v>15374.528561470035</v>
      </c>
      <c r="AS44" s="50">
        <f>IF(INT(('Base Data'!$D$7)/AR44)=0,0,INT(('Base Data'!$D$7)/AR44))</f>
        <v>1</v>
      </c>
      <c r="AT44" s="46">
        <f t="shared" si="23"/>
        <v>434.94919999999911</v>
      </c>
      <c r="AU44" s="39">
        <f t="shared" si="24"/>
        <v>2.6083910044977458E-2</v>
      </c>
      <c r="AV44" s="39">
        <f t="shared" si="11"/>
        <v>1.8899071692079786E-2</v>
      </c>
      <c r="AW44" s="39">
        <f t="shared" si="15"/>
        <v>1.8678771465912711E-2</v>
      </c>
      <c r="AX44" s="40">
        <f t="shared" si="19"/>
        <v>1.7346470120845121E-2</v>
      </c>
      <c r="AY44" s="52">
        <f t="shared" si="25"/>
        <v>147.25</v>
      </c>
      <c r="AZ44" s="41">
        <f t="shared" si="26"/>
        <v>1.8871793799180966E-2</v>
      </c>
      <c r="BA44" s="41">
        <f t="shared" si="12"/>
        <v>1.1828208396355268E-2</v>
      </c>
      <c r="BB44" s="41">
        <f t="shared" si="16"/>
        <v>1.2169248723638931E-2</v>
      </c>
      <c r="BC44" s="38">
        <f t="shared" si="20"/>
        <v>1.2332392610333158E-2</v>
      </c>
    </row>
    <row r="45" spans="1:55" x14ac:dyDescent="0.25">
      <c r="A45" s="54"/>
      <c r="B45" s="54"/>
      <c r="C45" s="54"/>
      <c r="D45" s="54"/>
      <c r="E45" s="54"/>
      <c r="F45" s="54"/>
      <c r="G45" s="54"/>
      <c r="H45" s="54"/>
      <c r="I45" s="54"/>
      <c r="J45" s="54"/>
      <c r="K45" s="55"/>
      <c r="L45" s="37">
        <f t="shared" si="8"/>
        <v>42</v>
      </c>
      <c r="M45" s="16">
        <f>'[3]BANKNIFTY-I'!B343</f>
        <v>42516</v>
      </c>
      <c r="N45" s="17">
        <f>'[3]BANKNIFTY-I'!D343</f>
        <v>17065</v>
      </c>
      <c r="O45" s="17">
        <f>'[3]BANKNIFTY-I'!E343</f>
        <v>17378.75</v>
      </c>
      <c r="P45" s="17">
        <f>'[3]BANKNIFTY-I'!F343</f>
        <v>16968.550800000001</v>
      </c>
      <c r="Q45" s="17">
        <f>'[3]BANKNIFTY-I'!G343</f>
        <v>17333.199199999999</v>
      </c>
      <c r="R45" s="18">
        <f>'[3]BANKNIFTY-I'!I343</f>
        <v>3178650</v>
      </c>
      <c r="S45" s="19">
        <f>'[4]NIFTY-I'!B343</f>
        <v>42516</v>
      </c>
      <c r="T45" s="20">
        <f>'[4]NIFTY-I'!D343</f>
        <v>7965.25</v>
      </c>
      <c r="U45" s="20">
        <f>'[4]NIFTY-I'!E343</f>
        <v>8074.6499000000003</v>
      </c>
      <c r="V45" s="20">
        <f>'[4]NIFTY-I'!F343</f>
        <v>7951.0497999999998</v>
      </c>
      <c r="W45" s="20">
        <f>'[4]NIFTY-I'!G343</f>
        <v>8062.6499000000003</v>
      </c>
      <c r="X45" s="21">
        <f>'[4]NIFTY-I'!I343</f>
        <v>15623175</v>
      </c>
      <c r="Y45" s="22"/>
      <c r="Z45" s="42">
        <f t="shared" si="27"/>
        <v>410.19919999999911</v>
      </c>
      <c r="AA45" s="47">
        <f t="shared" si="31"/>
        <v>357.35415873467707</v>
      </c>
      <c r="AB45" s="47">
        <f t="shared" si="9"/>
        <v>10720.624762040312</v>
      </c>
      <c r="AC45" s="47">
        <f>AB45*'Base Data'!$D$13</f>
        <v>8040.4685715302339</v>
      </c>
      <c r="AD45" s="51">
        <f>IF(INT(('Base Data'!$D$7)/AC45)=0,0,INT(('Base Data'!$D$7)/AC45))</f>
        <v>3</v>
      </c>
      <c r="AE45" s="48">
        <f t="shared" si="28"/>
        <v>131.64990000000034</v>
      </c>
      <c r="AF45" s="49">
        <f t="shared" si="32"/>
        <v>112.57209281804343</v>
      </c>
      <c r="AG45" s="49">
        <f t="shared" si="10"/>
        <v>8442.9069613532574</v>
      </c>
      <c r="AH45" s="49">
        <f>AG45*'Base Data'!$D$13</f>
        <v>6332.1802210149435</v>
      </c>
      <c r="AI45" s="50">
        <f>IF(INT(('Base Data'!$D$7)/AH45)=0,0,INT(('Base Data'!$D$7)/AH45))</f>
        <v>3</v>
      </c>
      <c r="AJ45" s="42">
        <f t="shared" si="29"/>
        <v>410.19919999999911</v>
      </c>
      <c r="AK45" s="47">
        <f t="shared" si="21"/>
        <v>330.70484574684878</v>
      </c>
      <c r="AL45" s="47">
        <f t="shared" si="17"/>
        <v>9921.1453724054627</v>
      </c>
      <c r="AM45" s="47">
        <f>AL45*'Base Data'!$D$10</f>
        <v>19842.290744810925</v>
      </c>
      <c r="AN45" s="51">
        <f>IF(INT(('Base Data'!$D$7)/AM45)=0,0,INT(('Base Data'!$D$7)/AM45))</f>
        <v>1</v>
      </c>
      <c r="AO45" s="44">
        <f t="shared" si="30"/>
        <v>131.64990000000034</v>
      </c>
      <c r="AP45" s="49">
        <f t="shared" si="22"/>
        <v>105.14713370587903</v>
      </c>
      <c r="AQ45" s="49">
        <f t="shared" si="18"/>
        <v>7886.0350279409267</v>
      </c>
      <c r="AR45" s="49">
        <f>AQ45*'Base Data'!$D$10</f>
        <v>15772.070055881853</v>
      </c>
      <c r="AS45" s="50">
        <f>IF(INT(('Base Data'!$D$7)/AR45)=0,0,INT(('Base Data'!$D$7)/AR45))</f>
        <v>1</v>
      </c>
      <c r="AT45" s="46">
        <f t="shared" si="23"/>
        <v>410.19919999999911</v>
      </c>
      <c r="AU45" s="39">
        <f t="shared" si="24"/>
        <v>2.4037456782888902E-2</v>
      </c>
      <c r="AV45" s="39">
        <f t="shared" si="11"/>
        <v>1.9046495322655059E-2</v>
      </c>
      <c r="AW45" s="39">
        <f t="shared" si="15"/>
        <v>1.8712055129915004E-2</v>
      </c>
      <c r="AX45" s="40">
        <f t="shared" si="19"/>
        <v>1.8054345973957258E-2</v>
      </c>
      <c r="AY45" s="52">
        <f t="shared" si="25"/>
        <v>123.60010000000057</v>
      </c>
      <c r="AZ45" s="41">
        <f t="shared" si="26"/>
        <v>1.5517416276953086E-2</v>
      </c>
      <c r="BA45" s="41">
        <f t="shared" si="12"/>
        <v>1.1886507879953994E-2</v>
      </c>
      <c r="BB45" s="41">
        <f t="shared" si="16"/>
        <v>1.2008951669224589E-2</v>
      </c>
      <c r="BC45" s="38">
        <f t="shared" si="20"/>
        <v>1.2781193276212351E-2</v>
      </c>
    </row>
    <row r="46" spans="1:55" x14ac:dyDescent="0.25">
      <c r="A46" s="54"/>
      <c r="B46" s="54"/>
      <c r="C46" s="54"/>
      <c r="D46" s="54"/>
      <c r="E46" s="54"/>
      <c r="F46" s="54"/>
      <c r="G46" s="54"/>
      <c r="H46" s="54"/>
      <c r="I46" s="54"/>
      <c r="J46" s="54"/>
      <c r="K46" s="55"/>
      <c r="L46" s="37">
        <f t="shared" si="8"/>
        <v>43</v>
      </c>
      <c r="M46" s="16">
        <f>'[3]BANKNIFTY-I'!B344</f>
        <v>42517</v>
      </c>
      <c r="N46" s="17">
        <f>'[3]BANKNIFTY-I'!D344</f>
        <v>17310</v>
      </c>
      <c r="O46" s="17">
        <f>'[3]BANKNIFTY-I'!E344</f>
        <v>17533</v>
      </c>
      <c r="P46" s="17">
        <f>'[3]BANKNIFTY-I'!F344</f>
        <v>17310</v>
      </c>
      <c r="Q46" s="17">
        <f>'[3]BANKNIFTY-I'!G344</f>
        <v>17491.400399999999</v>
      </c>
      <c r="R46" s="18">
        <f>'[3]BANKNIFTY-I'!I344</f>
        <v>3021570</v>
      </c>
      <c r="S46" s="19">
        <f>'[4]NIFTY-I'!B344</f>
        <v>42517</v>
      </c>
      <c r="T46" s="20">
        <f>'[4]NIFTY-I'!D344</f>
        <v>8091.1000999999997</v>
      </c>
      <c r="U46" s="20">
        <f>'[4]NIFTY-I'!E344</f>
        <v>8181.7002000000002</v>
      </c>
      <c r="V46" s="20">
        <f>'[4]NIFTY-I'!F344</f>
        <v>8087.1000999999997</v>
      </c>
      <c r="W46" s="20">
        <f>'[4]NIFTY-I'!G344</f>
        <v>8172.4502000000002</v>
      </c>
      <c r="X46" s="21">
        <f>'[4]NIFTY-I'!I344</f>
        <v>13686450</v>
      </c>
      <c r="Y46" s="22"/>
      <c r="Z46" s="42">
        <f t="shared" si="27"/>
        <v>223</v>
      </c>
      <c r="AA46" s="47">
        <f t="shared" si="31"/>
        <v>327.49767901585994</v>
      </c>
      <c r="AB46" s="47">
        <f t="shared" si="9"/>
        <v>9824.9303704757986</v>
      </c>
      <c r="AC46" s="47">
        <f>AB46*'Base Data'!$D$13</f>
        <v>7368.6977778568489</v>
      </c>
      <c r="AD46" s="51">
        <f>IF(INT(('Base Data'!$D$7)/AC46)=0,0,INT(('Base Data'!$D$7)/AC46))</f>
        <v>3</v>
      </c>
      <c r="AE46" s="48">
        <f t="shared" si="28"/>
        <v>119.05029999999988</v>
      </c>
      <c r="AF46" s="49">
        <f t="shared" si="32"/>
        <v>114.01169441403376</v>
      </c>
      <c r="AG46" s="49">
        <f t="shared" si="10"/>
        <v>8550.8770810525311</v>
      </c>
      <c r="AH46" s="49">
        <f>AG46*'Base Data'!$D$13</f>
        <v>6413.1578107893984</v>
      </c>
      <c r="AI46" s="50">
        <f>IF(INT(('Base Data'!$D$7)/AH46)=0,0,INT(('Base Data'!$D$7)/AH46))</f>
        <v>3</v>
      </c>
      <c r="AJ46" s="42">
        <f t="shared" si="29"/>
        <v>223</v>
      </c>
      <c r="AK46" s="47">
        <f t="shared" si="21"/>
        <v>320.91349613349888</v>
      </c>
      <c r="AL46" s="47">
        <f t="shared" si="17"/>
        <v>9627.4048840049672</v>
      </c>
      <c r="AM46" s="47">
        <f>AL46*'Base Data'!$D$10</f>
        <v>19254.809768009934</v>
      </c>
      <c r="AN46" s="51">
        <f>IF(INT(('Base Data'!$D$7)/AM46)=0,0,INT(('Base Data'!$D$7)/AM46))</f>
        <v>1</v>
      </c>
      <c r="AO46" s="44">
        <f t="shared" si="30"/>
        <v>119.05029999999988</v>
      </c>
      <c r="AP46" s="49">
        <f t="shared" si="22"/>
        <v>106.41105791443547</v>
      </c>
      <c r="AQ46" s="49">
        <f t="shared" si="18"/>
        <v>7980.8293435826608</v>
      </c>
      <c r="AR46" s="49">
        <f>AQ46*'Base Data'!$D$10</f>
        <v>15961.658687165322</v>
      </c>
      <c r="AS46" s="50">
        <f>IF(INT(('Base Data'!$D$7)/AR46)=0,0,INT(('Base Data'!$D$7)/AR46))</f>
        <v>1</v>
      </c>
      <c r="AT46" s="46">
        <f t="shared" si="23"/>
        <v>223</v>
      </c>
      <c r="AU46" s="39">
        <f t="shared" si="24"/>
        <v>1.2882726747544771E-2</v>
      </c>
      <c r="AV46" s="39">
        <f t="shared" si="11"/>
        <v>1.9357849859855926E-2</v>
      </c>
      <c r="AW46" s="39">
        <f t="shared" si="15"/>
        <v>1.8789213242074939E-2</v>
      </c>
      <c r="AX46" s="40">
        <f t="shared" si="19"/>
        <v>1.7734495024862768E-2</v>
      </c>
      <c r="AY46" s="52">
        <f t="shared" si="25"/>
        <v>94.600100000000566</v>
      </c>
      <c r="AZ46" s="41">
        <f t="shared" si="26"/>
        <v>1.1691871170893136E-2</v>
      </c>
      <c r="BA46" s="41">
        <f t="shared" si="12"/>
        <v>1.2372616145002509E-2</v>
      </c>
      <c r="BB46" s="41">
        <f t="shared" si="16"/>
        <v>1.2261292600243581E-2</v>
      </c>
      <c r="BC46" s="38">
        <f t="shared" si="20"/>
        <v>1.2399966425818212E-2</v>
      </c>
    </row>
    <row r="47" spans="1:55" x14ac:dyDescent="0.25">
      <c r="A47" s="54"/>
      <c r="B47" s="54"/>
      <c r="C47" s="54"/>
      <c r="D47" s="54"/>
      <c r="E47" s="54"/>
      <c r="F47" s="54"/>
      <c r="G47" s="54"/>
      <c r="H47" s="54"/>
      <c r="I47" s="54"/>
      <c r="J47" s="54"/>
      <c r="K47" s="55"/>
      <c r="L47" s="37">
        <f t="shared" si="8"/>
        <v>44</v>
      </c>
      <c r="M47" s="16">
        <f>'[3]BANKNIFTY-I'!B345</f>
        <v>42520</v>
      </c>
      <c r="N47" s="17">
        <f>'[3]BANKNIFTY-I'!D345</f>
        <v>17540</v>
      </c>
      <c r="O47" s="17">
        <f>'[3]BANKNIFTY-I'!E345</f>
        <v>17657.949199999999</v>
      </c>
      <c r="P47" s="17">
        <f>'[3]BANKNIFTY-I'!F345</f>
        <v>17466.099600000001</v>
      </c>
      <c r="Q47" s="17">
        <f>'[3]BANKNIFTY-I'!G345</f>
        <v>17507.650399999999</v>
      </c>
      <c r="R47" s="18">
        <f>'[3]BANKNIFTY-I'!I345</f>
        <v>2119470</v>
      </c>
      <c r="S47" s="19">
        <f>'[4]NIFTY-I'!B345</f>
        <v>42520</v>
      </c>
      <c r="T47" s="20">
        <f>'[4]NIFTY-I'!D345</f>
        <v>8211.5</v>
      </c>
      <c r="U47" s="20">
        <f>'[4]NIFTY-I'!E345</f>
        <v>8222.75</v>
      </c>
      <c r="V47" s="20">
        <f>'[4]NIFTY-I'!F345</f>
        <v>8172.3999000000003</v>
      </c>
      <c r="W47" s="20">
        <f>'[4]NIFTY-I'!G345</f>
        <v>8194.2998000000007</v>
      </c>
      <c r="X47" s="21">
        <f>'[4]NIFTY-I'!I345</f>
        <v>8638650</v>
      </c>
      <c r="Y47" s="22"/>
      <c r="Z47" s="42">
        <f t="shared" si="27"/>
        <v>191.84959999999774</v>
      </c>
      <c r="AA47" s="47">
        <f t="shared" si="31"/>
        <v>297.35366145677943</v>
      </c>
      <c r="AB47" s="47">
        <f t="shared" si="9"/>
        <v>8920.6098437033834</v>
      </c>
      <c r="AC47" s="47">
        <f>AB47*'Base Data'!$D$13</f>
        <v>6690.4573827775375</v>
      </c>
      <c r="AD47" s="51">
        <f>IF(INT(('Base Data'!$D$7)/AC47)=0,0,INT(('Base Data'!$D$7)/AC47))</f>
        <v>3</v>
      </c>
      <c r="AE47" s="48">
        <f t="shared" si="28"/>
        <v>50.350099999999657</v>
      </c>
      <c r="AF47" s="49">
        <f t="shared" si="32"/>
        <v>99.864673433137284</v>
      </c>
      <c r="AG47" s="49">
        <f t="shared" si="10"/>
        <v>7489.8505074852965</v>
      </c>
      <c r="AH47" s="49">
        <f>AG47*'Base Data'!$D$13</f>
        <v>5617.3878806139728</v>
      </c>
      <c r="AI47" s="50">
        <f>IF(INT(('Base Data'!$D$7)/AH47)=0,0,INT(('Base Data'!$D$7)/AH47))</f>
        <v>4</v>
      </c>
      <c r="AJ47" s="42">
        <f t="shared" si="29"/>
        <v>191.84959999999774</v>
      </c>
      <c r="AK47" s="47">
        <f t="shared" si="21"/>
        <v>309.18041466681694</v>
      </c>
      <c r="AL47" s="47">
        <f t="shared" si="17"/>
        <v>9275.4124400045075</v>
      </c>
      <c r="AM47" s="47">
        <f>AL47*'Base Data'!$D$10</f>
        <v>18550.824880009015</v>
      </c>
      <c r="AN47" s="51">
        <f>IF(INT(('Base Data'!$D$7)/AM47)=0,0,INT(('Base Data'!$D$7)/AM47))</f>
        <v>1</v>
      </c>
      <c r="AO47" s="44">
        <f t="shared" si="30"/>
        <v>50.350099999999657</v>
      </c>
      <c r="AP47" s="49">
        <f t="shared" si="22"/>
        <v>101.3146071949413</v>
      </c>
      <c r="AQ47" s="49">
        <f t="shared" si="18"/>
        <v>7598.5955396205973</v>
      </c>
      <c r="AR47" s="49">
        <f>AQ47*'Base Data'!$D$10</f>
        <v>15197.191079241195</v>
      </c>
      <c r="AS47" s="50">
        <f>IF(INT(('Base Data'!$D$7)/AR47)=0,0,INT(('Base Data'!$D$7)/AR47))</f>
        <v>1</v>
      </c>
      <c r="AT47" s="46">
        <f t="shared" si="23"/>
        <v>191.84959999999774</v>
      </c>
      <c r="AU47" s="39">
        <f t="shared" si="24"/>
        <v>1.0937833523375013E-2</v>
      </c>
      <c r="AV47" s="39">
        <f t="shared" si="11"/>
        <v>1.9053414882361761E-2</v>
      </c>
      <c r="AW47" s="39">
        <f t="shared" si="15"/>
        <v>1.7850602825804109E-2</v>
      </c>
      <c r="AX47" s="40">
        <f t="shared" si="19"/>
        <v>1.716144916399746E-2</v>
      </c>
      <c r="AY47" s="52">
        <f t="shared" si="25"/>
        <v>50.350099999999657</v>
      </c>
      <c r="AZ47" s="41">
        <f t="shared" si="26"/>
        <v>6.1316568227485421E-3</v>
      </c>
      <c r="BA47" s="41">
        <f t="shared" si="12"/>
        <v>1.1299888788623119E-2</v>
      </c>
      <c r="BB47" s="41">
        <f t="shared" si="16"/>
        <v>1.163284334130368E-2</v>
      </c>
      <c r="BC47" s="38">
        <f t="shared" si="20"/>
        <v>1.1974072564074763E-2</v>
      </c>
    </row>
    <row r="48" spans="1:55" x14ac:dyDescent="0.25">
      <c r="A48" s="54"/>
      <c r="B48" s="54"/>
      <c r="C48" s="54"/>
      <c r="D48" s="54"/>
      <c r="E48" s="54"/>
      <c r="F48" s="54"/>
      <c r="G48" s="54"/>
      <c r="H48" s="54"/>
      <c r="I48" s="54"/>
      <c r="J48" s="54"/>
      <c r="K48" s="55"/>
      <c r="L48" s="37">
        <f t="shared" si="8"/>
        <v>45</v>
      </c>
      <c r="M48" s="16">
        <f>'[3]BANKNIFTY-I'!B346</f>
        <v>42521</v>
      </c>
      <c r="N48" s="17">
        <f>'[3]BANKNIFTY-I'!D346</f>
        <v>17584.699199999999</v>
      </c>
      <c r="O48" s="17">
        <f>'[3]BANKNIFTY-I'!E346</f>
        <v>17640.050800000001</v>
      </c>
      <c r="P48" s="17">
        <f>'[3]BANKNIFTY-I'!F346</f>
        <v>17445.300800000001</v>
      </c>
      <c r="Q48" s="17">
        <f>'[3]BANKNIFTY-I'!G346</f>
        <v>17612.550800000001</v>
      </c>
      <c r="R48" s="18">
        <f>'[3]BANKNIFTY-I'!I346</f>
        <v>2710410</v>
      </c>
      <c r="S48" s="19">
        <f>'[4]NIFTY-I'!B346</f>
        <v>42521</v>
      </c>
      <c r="T48" s="20">
        <f>'[4]NIFTY-I'!D346</f>
        <v>8225</v>
      </c>
      <c r="U48" s="20">
        <f>'[4]NIFTY-I'!E346</f>
        <v>8229.4501999999993</v>
      </c>
      <c r="V48" s="20">
        <f>'[4]NIFTY-I'!F346</f>
        <v>8156.2997999999998</v>
      </c>
      <c r="W48" s="20">
        <f>'[4]NIFTY-I'!G346</f>
        <v>8190.8999000000003</v>
      </c>
      <c r="X48" s="21">
        <f>'[4]NIFTY-I'!I346</f>
        <v>10812675</v>
      </c>
      <c r="Y48" s="22"/>
      <c r="Z48" s="42">
        <f t="shared" si="27"/>
        <v>194.75</v>
      </c>
      <c r="AA48" s="47">
        <f t="shared" si="31"/>
        <v>274.55284779971731</v>
      </c>
      <c r="AB48" s="47">
        <f t="shared" si="9"/>
        <v>8236.5854339915186</v>
      </c>
      <c r="AC48" s="47">
        <f>AB48*'Base Data'!$D$13</f>
        <v>6177.4390754936394</v>
      </c>
      <c r="AD48" s="51">
        <f>IF(INT(('Base Data'!$D$7)/AC48)=0,0,INT(('Base Data'!$D$7)/AC48))</f>
        <v>4</v>
      </c>
      <c r="AE48" s="48">
        <f t="shared" si="28"/>
        <v>73.150399999999536</v>
      </c>
      <c r="AF48" s="49">
        <f t="shared" si="32"/>
        <v>93.928168225773334</v>
      </c>
      <c r="AG48" s="49">
        <f t="shared" si="10"/>
        <v>7044.612616933</v>
      </c>
      <c r="AH48" s="49">
        <f>AG48*'Base Data'!$D$13</f>
        <v>5283.4594626997496</v>
      </c>
      <c r="AI48" s="50">
        <f>IF(INT(('Base Data'!$D$7)/AH48)=0,0,INT(('Base Data'!$D$7)/AH48))</f>
        <v>4</v>
      </c>
      <c r="AJ48" s="42">
        <f t="shared" si="29"/>
        <v>194.75</v>
      </c>
      <c r="AK48" s="47">
        <f t="shared" si="21"/>
        <v>298.77764969710631</v>
      </c>
      <c r="AL48" s="47">
        <f t="shared" si="17"/>
        <v>8963.3294909131891</v>
      </c>
      <c r="AM48" s="47">
        <f>AL48*'Base Data'!$D$10</f>
        <v>17926.658981826378</v>
      </c>
      <c r="AN48" s="51">
        <f>IF(INT(('Base Data'!$D$7)/AM48)=0,0,INT(('Base Data'!$D$7)/AM48))</f>
        <v>1</v>
      </c>
      <c r="AO48" s="44">
        <f t="shared" si="30"/>
        <v>73.150399999999536</v>
      </c>
      <c r="AP48" s="49">
        <f t="shared" si="22"/>
        <v>98.754224722673868</v>
      </c>
      <c r="AQ48" s="49">
        <f t="shared" si="18"/>
        <v>7406.5668542005405</v>
      </c>
      <c r="AR48" s="49">
        <f>AQ48*'Base Data'!$D$10</f>
        <v>14813.133708401081</v>
      </c>
      <c r="AS48" s="50">
        <f>IF(INT(('Base Data'!$D$7)/AR48)=0,0,INT(('Base Data'!$D$7)/AR48))</f>
        <v>1</v>
      </c>
      <c r="AT48" s="46">
        <f t="shared" si="23"/>
        <v>194.75</v>
      </c>
      <c r="AU48" s="39">
        <f t="shared" si="24"/>
        <v>1.1074969084486814E-2</v>
      </c>
      <c r="AV48" s="39">
        <f t="shared" si="11"/>
        <v>1.5054044677566894E-2</v>
      </c>
      <c r="AW48" s="39">
        <f t="shared" si="15"/>
        <v>1.7797372017049642E-2</v>
      </c>
      <c r="AX48" s="40">
        <f t="shared" si="19"/>
        <v>1.7217064148451384E-2</v>
      </c>
      <c r="AY48" s="52">
        <f t="shared" si="25"/>
        <v>73.150399999999536</v>
      </c>
      <c r="AZ48" s="41">
        <f t="shared" si="26"/>
        <v>8.8936656534953848E-3</v>
      </c>
      <c r="BA48" s="41">
        <f t="shared" si="12"/>
        <v>1.0865182244966173E-2</v>
      </c>
      <c r="BB48" s="41">
        <f t="shared" si="16"/>
        <v>1.1546375085421444E-2</v>
      </c>
      <c r="BC48" s="38">
        <f t="shared" si="20"/>
        <v>1.1977333369004852E-2</v>
      </c>
    </row>
    <row r="49" spans="1:55" x14ac:dyDescent="0.25">
      <c r="A49" s="54"/>
      <c r="B49" s="54"/>
      <c r="C49" s="54"/>
      <c r="D49" s="54"/>
      <c r="E49" s="54"/>
      <c r="F49" s="54"/>
      <c r="G49" s="54"/>
      <c r="H49" s="54"/>
      <c r="I49" s="54"/>
      <c r="J49" s="54"/>
      <c r="K49" s="55"/>
      <c r="L49" s="37">
        <f t="shared" si="8"/>
        <v>46</v>
      </c>
      <c r="M49" s="16">
        <f>'[3]BANKNIFTY-I'!B347</f>
        <v>42522</v>
      </c>
      <c r="N49" s="17">
        <f>'[3]BANKNIFTY-I'!D347</f>
        <v>17631.099600000001</v>
      </c>
      <c r="O49" s="17">
        <f>'[3]BANKNIFTY-I'!E347</f>
        <v>17644</v>
      </c>
      <c r="P49" s="17">
        <f>'[3]BANKNIFTY-I'!F347</f>
        <v>17381.099600000001</v>
      </c>
      <c r="Q49" s="17">
        <f>'[3]BANKNIFTY-I'!G347</f>
        <v>17419.699199999999</v>
      </c>
      <c r="R49" s="18">
        <f>'[3]BANKNIFTY-I'!I347</f>
        <v>3022860</v>
      </c>
      <c r="S49" s="19">
        <f>'[4]NIFTY-I'!B347</f>
        <v>42522</v>
      </c>
      <c r="T49" s="20">
        <f>'[4]NIFTY-I'!D347</f>
        <v>8200</v>
      </c>
      <c r="U49" s="20">
        <f>'[4]NIFTY-I'!E347</f>
        <v>8224.9004000000004</v>
      </c>
      <c r="V49" s="20">
        <f>'[4]NIFTY-I'!F347</f>
        <v>8178.2997999999998</v>
      </c>
      <c r="W49" s="20">
        <f>'[4]NIFTY-I'!G347</f>
        <v>8194.5498000000007</v>
      </c>
      <c r="X49" s="21">
        <f>'[4]NIFTY-I'!I347</f>
        <v>9410400</v>
      </c>
      <c r="Y49" s="22"/>
      <c r="Z49" s="42">
        <f t="shared" si="27"/>
        <v>262.90039999999863</v>
      </c>
      <c r="AA49" s="47">
        <f t="shared" si="31"/>
        <v>271.9634149553354</v>
      </c>
      <c r="AB49" s="47">
        <f t="shared" si="9"/>
        <v>8158.902448660062</v>
      </c>
      <c r="AC49" s="47">
        <f>AB49*'Base Data'!$D$13</f>
        <v>6119.1768364950467</v>
      </c>
      <c r="AD49" s="51">
        <f>IF(INT(('Base Data'!$D$7)/AC49)=0,0,INT(('Base Data'!$D$7)/AC49))</f>
        <v>4</v>
      </c>
      <c r="AE49" s="48">
        <f t="shared" si="28"/>
        <v>46.600600000000668</v>
      </c>
      <c r="AF49" s="49">
        <f t="shared" si="32"/>
        <v>83.4109308422683</v>
      </c>
      <c r="AG49" s="49">
        <f t="shared" si="10"/>
        <v>6255.8198131701229</v>
      </c>
      <c r="AH49" s="49">
        <f>AG49*'Base Data'!$D$13</f>
        <v>4691.8648598775926</v>
      </c>
      <c r="AI49" s="50">
        <f>IF(INT(('Base Data'!$D$7)/AH49)=0,0,INT(('Base Data'!$D$7)/AH49))</f>
        <v>5</v>
      </c>
      <c r="AJ49" s="42">
        <f t="shared" si="29"/>
        <v>262.90039999999863</v>
      </c>
      <c r="AK49" s="47">
        <f t="shared" si="21"/>
        <v>295.51608154282377</v>
      </c>
      <c r="AL49" s="47">
        <f t="shared" si="17"/>
        <v>8865.4824462847137</v>
      </c>
      <c r="AM49" s="47">
        <f>AL49*'Base Data'!$D$10</f>
        <v>17730.964892569427</v>
      </c>
      <c r="AN49" s="51">
        <f>IF(INT(('Base Data'!$D$7)/AM49)=0,0,INT(('Base Data'!$D$7)/AM49))</f>
        <v>1</v>
      </c>
      <c r="AO49" s="44">
        <f t="shared" si="30"/>
        <v>46.600600000000668</v>
      </c>
      <c r="AP49" s="49">
        <f t="shared" si="22"/>
        <v>94.012986111521755</v>
      </c>
      <c r="AQ49" s="49">
        <f t="shared" si="18"/>
        <v>7050.9739583641312</v>
      </c>
      <c r="AR49" s="49">
        <f>AQ49*'Base Data'!$D$10</f>
        <v>14101.947916728262</v>
      </c>
      <c r="AS49" s="50">
        <f>IF(INT(('Base Data'!$D$7)/AR49)=0,0,INT(('Base Data'!$D$7)/AR49))</f>
        <v>1</v>
      </c>
      <c r="AT49" s="46">
        <f t="shared" si="23"/>
        <v>262.90039999999863</v>
      </c>
      <c r="AU49" s="39">
        <f t="shared" si="24"/>
        <v>1.4911174343317679E-2</v>
      </c>
      <c r="AV49" s="39">
        <f t="shared" si="11"/>
        <v>1.5458804827512572E-2</v>
      </c>
      <c r="AW49" s="39">
        <f t="shared" si="15"/>
        <v>1.7310518001403961E-2</v>
      </c>
      <c r="AX49" s="40">
        <f t="shared" si="19"/>
        <v>1.6807039565726666E-2</v>
      </c>
      <c r="AY49" s="52">
        <f t="shared" si="25"/>
        <v>46.600600000000668</v>
      </c>
      <c r="AZ49" s="41">
        <f t="shared" si="26"/>
        <v>5.6830000000000812E-3</v>
      </c>
      <c r="BA49" s="41">
        <f t="shared" si="12"/>
        <v>1.037775513984052E-2</v>
      </c>
      <c r="BB49" s="41">
        <f t="shared" si="16"/>
        <v>1.0964867468840954E-2</v>
      </c>
      <c r="BC49" s="38">
        <f t="shared" si="20"/>
        <v>1.115678624669997E-2</v>
      </c>
    </row>
    <row r="50" spans="1:55" x14ac:dyDescent="0.25">
      <c r="A50" s="54"/>
      <c r="B50" s="54"/>
      <c r="C50" s="54"/>
      <c r="D50" s="54"/>
      <c r="E50" s="54"/>
      <c r="F50" s="54"/>
      <c r="G50" s="54"/>
      <c r="H50" s="54"/>
      <c r="I50" s="54"/>
      <c r="J50" s="54"/>
      <c r="K50" s="55"/>
      <c r="L50" s="37">
        <f t="shared" si="8"/>
        <v>47</v>
      </c>
      <c r="M50" s="16">
        <f>'[3]BANKNIFTY-I'!B348</f>
        <v>42523</v>
      </c>
      <c r="N50" s="17">
        <f>'[3]BANKNIFTY-I'!D348</f>
        <v>17400</v>
      </c>
      <c r="O50" s="17">
        <f>'[3]BANKNIFTY-I'!E348</f>
        <v>17603.550800000001</v>
      </c>
      <c r="P50" s="17">
        <f>'[3]BANKNIFTY-I'!F348</f>
        <v>17334</v>
      </c>
      <c r="Q50" s="17">
        <f>'[3]BANKNIFTY-I'!G348</f>
        <v>17573.650399999999</v>
      </c>
      <c r="R50" s="18">
        <f>'[3]BANKNIFTY-I'!I348</f>
        <v>2882640</v>
      </c>
      <c r="S50" s="19">
        <f>'[4]NIFTY-I'!B348</f>
        <v>42523</v>
      </c>
      <c r="T50" s="20">
        <f>'[4]NIFTY-I'!D348</f>
        <v>8187.75</v>
      </c>
      <c r="U50" s="20">
        <f>'[4]NIFTY-I'!E348</f>
        <v>8254</v>
      </c>
      <c r="V50" s="20">
        <f>'[4]NIFTY-I'!F348</f>
        <v>8161.3500999999997</v>
      </c>
      <c r="W50" s="20">
        <f>'[4]NIFTY-I'!G348</f>
        <v>8243.25</v>
      </c>
      <c r="X50" s="21">
        <f>'[4]NIFTY-I'!I348</f>
        <v>10412250</v>
      </c>
      <c r="Y50" s="22"/>
      <c r="Z50" s="42">
        <f t="shared" si="27"/>
        <v>269.55080000000089</v>
      </c>
      <c r="AA50" s="47">
        <f t="shared" si="31"/>
        <v>271.42727829859439</v>
      </c>
      <c r="AB50" s="47">
        <f t="shared" si="9"/>
        <v>8142.8183489578314</v>
      </c>
      <c r="AC50" s="47">
        <f>AB50*'Base Data'!$D$13</f>
        <v>6107.113761718374</v>
      </c>
      <c r="AD50" s="51">
        <f>IF(INT(('Base Data'!$D$7)/AC50)=0,0,INT(('Base Data'!$D$7)/AC50))</f>
        <v>4</v>
      </c>
      <c r="AE50" s="48">
        <f t="shared" si="28"/>
        <v>92.649900000000343</v>
      </c>
      <c r="AF50" s="49">
        <f t="shared" si="32"/>
        <v>85.464035099542087</v>
      </c>
      <c r="AG50" s="49">
        <f t="shared" si="10"/>
        <v>6409.8026324656566</v>
      </c>
      <c r="AH50" s="49">
        <f>AG50*'Base Data'!$D$13</f>
        <v>4807.3519743492425</v>
      </c>
      <c r="AI50" s="50">
        <f>IF(INT(('Base Data'!$D$7)/AH50)=0,0,INT(('Base Data'!$D$7)/AH50))</f>
        <v>5</v>
      </c>
      <c r="AJ50" s="42">
        <f t="shared" si="29"/>
        <v>269.55080000000089</v>
      </c>
      <c r="AK50" s="47">
        <f t="shared" si="21"/>
        <v>293.15560140256713</v>
      </c>
      <c r="AL50" s="47">
        <f t="shared" si="17"/>
        <v>8794.6680420770135</v>
      </c>
      <c r="AM50" s="47">
        <f>AL50*'Base Data'!$D$10</f>
        <v>17589.336084154027</v>
      </c>
      <c r="AN50" s="51">
        <f>IF(INT(('Base Data'!$D$7)/AM50)=0,0,INT(('Base Data'!$D$7)/AM50))</f>
        <v>1</v>
      </c>
      <c r="AO50" s="44">
        <f t="shared" si="30"/>
        <v>92.649900000000343</v>
      </c>
      <c r="AP50" s="49">
        <f t="shared" si="22"/>
        <v>93.889069192292538</v>
      </c>
      <c r="AQ50" s="49">
        <f t="shared" si="18"/>
        <v>7041.6801894219407</v>
      </c>
      <c r="AR50" s="49">
        <f>AQ50*'Base Data'!$D$10</f>
        <v>14083.360378843881</v>
      </c>
      <c r="AS50" s="50">
        <f>IF(INT(('Base Data'!$D$7)/AR50)=0,0,INT(('Base Data'!$D$7)/AR50))</f>
        <v>1</v>
      </c>
      <c r="AT50" s="46">
        <f t="shared" si="23"/>
        <v>269.55080000000089</v>
      </c>
      <c r="AU50" s="39">
        <f t="shared" si="24"/>
        <v>1.5491425287356373E-2</v>
      </c>
      <c r="AV50" s="39">
        <f t="shared" si="11"/>
        <v>1.5530571334296779E-2</v>
      </c>
      <c r="AW50" s="39">
        <f t="shared" si="15"/>
        <v>1.6743853197486239E-2</v>
      </c>
      <c r="AX50" s="40">
        <f t="shared" si="19"/>
        <v>1.6915318167524403E-2</v>
      </c>
      <c r="AY50" s="52">
        <f t="shared" si="25"/>
        <v>92.649900000000343</v>
      </c>
      <c r="AZ50" s="41">
        <f t="shared" si="26"/>
        <v>1.1315672803883892E-2</v>
      </c>
      <c r="BA50" s="41">
        <f t="shared" si="12"/>
        <v>1.0517726732388702E-2</v>
      </c>
      <c r="BB50" s="41">
        <f t="shared" si="16"/>
        <v>1.0677533037742539E-2</v>
      </c>
      <c r="BC50" s="38">
        <f t="shared" si="20"/>
        <v>1.1302640181759499E-2</v>
      </c>
    </row>
    <row r="51" spans="1:55" x14ac:dyDescent="0.25">
      <c r="A51" s="54"/>
      <c r="B51" s="54"/>
      <c r="C51" s="54"/>
      <c r="D51" s="54"/>
      <c r="E51" s="54"/>
      <c r="F51" s="54"/>
      <c r="G51" s="54"/>
      <c r="H51" s="54"/>
      <c r="I51" s="54"/>
      <c r="J51" s="54"/>
      <c r="K51" s="55"/>
      <c r="L51" s="37">
        <f t="shared" si="8"/>
        <v>48</v>
      </c>
      <c r="M51" s="16">
        <f>'[3]BANKNIFTY-I'!B349</f>
        <v>42524</v>
      </c>
      <c r="N51" s="17">
        <f>'[3]BANKNIFTY-I'!D349</f>
        <v>17624.400399999999</v>
      </c>
      <c r="O51" s="17">
        <f>'[3]BANKNIFTY-I'!E349</f>
        <v>17738.5</v>
      </c>
      <c r="P51" s="17">
        <f>'[3]BANKNIFTY-I'!F349</f>
        <v>17615</v>
      </c>
      <c r="Q51" s="17">
        <f>'[3]BANKNIFTY-I'!G349</f>
        <v>17655.849600000001</v>
      </c>
      <c r="R51" s="18">
        <f>'[3]BANKNIFTY-I'!I349</f>
        <v>2316780</v>
      </c>
      <c r="S51" s="19">
        <f>'[4]NIFTY-I'!B349</f>
        <v>42524</v>
      </c>
      <c r="T51" s="20">
        <f>'[4]NIFTY-I'!D349</f>
        <v>8261.0995999999996</v>
      </c>
      <c r="U51" s="20">
        <f>'[4]NIFTY-I'!E349</f>
        <v>8276.9501999999993</v>
      </c>
      <c r="V51" s="20">
        <f>'[4]NIFTY-I'!F349</f>
        <v>8226.0498000000007</v>
      </c>
      <c r="W51" s="20">
        <f>'[4]NIFTY-I'!G349</f>
        <v>8238.9004000000004</v>
      </c>
      <c r="X51" s="21">
        <f>'[4]NIFTY-I'!I349</f>
        <v>8391150</v>
      </c>
      <c r="Y51" s="22"/>
      <c r="Z51" s="42">
        <f t="shared" si="27"/>
        <v>164.84960000000137</v>
      </c>
      <c r="AA51" s="47">
        <f t="shared" si="31"/>
        <v>247.74334978779595</v>
      </c>
      <c r="AB51" s="47">
        <f t="shared" si="9"/>
        <v>7432.3004936338784</v>
      </c>
      <c r="AC51" s="47">
        <f>AB51*'Base Data'!$D$13</f>
        <v>5574.2253702254093</v>
      </c>
      <c r="AD51" s="51">
        <f>IF(INT(('Base Data'!$D$7)/AC51)=0,0,INT(('Base Data'!$D$7)/AC51))</f>
        <v>4</v>
      </c>
      <c r="AE51" s="48">
        <f t="shared" si="28"/>
        <v>50.900399999998626</v>
      </c>
      <c r="AF51" s="49">
        <f t="shared" si="32"/>
        <v>77.783227299643542</v>
      </c>
      <c r="AG51" s="49">
        <f t="shared" si="10"/>
        <v>5833.7420474732653</v>
      </c>
      <c r="AH51" s="49">
        <f>AG51*'Base Data'!$D$13</f>
        <v>4375.3065356049492</v>
      </c>
      <c r="AI51" s="50">
        <f>IF(INT(('Base Data'!$D$7)/AH51)=0,0,INT(('Base Data'!$D$7)/AH51))</f>
        <v>5</v>
      </c>
      <c r="AJ51" s="42">
        <f t="shared" si="29"/>
        <v>164.84960000000137</v>
      </c>
      <c r="AK51" s="47">
        <f t="shared" si="21"/>
        <v>281.49141945687933</v>
      </c>
      <c r="AL51" s="47">
        <f t="shared" si="17"/>
        <v>8444.7425837063802</v>
      </c>
      <c r="AM51" s="47">
        <f>AL51*'Base Data'!$D$10</f>
        <v>16889.48516741276</v>
      </c>
      <c r="AN51" s="51">
        <f>IF(INT(('Base Data'!$D$7)/AM51)=0,0,INT(('Base Data'!$D$7)/AM51))</f>
        <v>1</v>
      </c>
      <c r="AO51" s="44">
        <f t="shared" si="30"/>
        <v>50.900399999998626</v>
      </c>
      <c r="AP51" s="49">
        <f t="shared" si="22"/>
        <v>89.981008356629459</v>
      </c>
      <c r="AQ51" s="49">
        <f t="shared" si="18"/>
        <v>6748.5756267472098</v>
      </c>
      <c r="AR51" s="49">
        <f>AQ51*'Base Data'!$D$10</f>
        <v>13497.15125349442</v>
      </c>
      <c r="AS51" s="50">
        <f>IF(INT(('Base Data'!$D$7)/AR51)=0,0,INT(('Base Data'!$D$7)/AR51))</f>
        <v>1</v>
      </c>
      <c r="AT51" s="46">
        <f t="shared" si="23"/>
        <v>123.5</v>
      </c>
      <c r="AU51" s="39">
        <f t="shared" si="24"/>
        <v>7.0073305869741819E-3</v>
      </c>
      <c r="AV51" s="39">
        <f t="shared" si="11"/>
        <v>1.530335330011515E-2</v>
      </c>
      <c r="AW51" s="39">
        <f t="shared" si="15"/>
        <v>1.6483502438796729E-2</v>
      </c>
      <c r="AX51" s="40">
        <f t="shared" si="19"/>
        <v>1.6622830770364874E-2</v>
      </c>
      <c r="AY51" s="52">
        <f t="shared" si="25"/>
        <v>50.900399999998626</v>
      </c>
      <c r="AZ51" s="41">
        <f t="shared" si="26"/>
        <v>6.1614557945771078E-3</v>
      </c>
      <c r="BA51" s="41">
        <f t="shared" si="12"/>
        <v>1.0533316540216523E-2</v>
      </c>
      <c r="BB51" s="41">
        <f t="shared" si="16"/>
        <v>1.0551260018055777E-2</v>
      </c>
      <c r="BC51" s="38">
        <f t="shared" si="20"/>
        <v>1.1076237965396541E-2</v>
      </c>
    </row>
    <row r="52" spans="1:55" x14ac:dyDescent="0.25">
      <c r="A52" s="54"/>
      <c r="B52" s="54"/>
      <c r="C52" s="54"/>
      <c r="D52" s="54"/>
      <c r="E52" s="54"/>
      <c r="F52" s="54"/>
      <c r="G52" s="54"/>
      <c r="H52" s="54"/>
      <c r="I52" s="54"/>
      <c r="J52" s="54"/>
      <c r="K52" s="55"/>
      <c r="L52" s="37">
        <f t="shared" si="8"/>
        <v>49</v>
      </c>
      <c r="M52" s="16">
        <f>'[3]BANKNIFTY-I'!B350</f>
        <v>42527</v>
      </c>
      <c r="N52" s="17">
        <f>'[3]BANKNIFTY-I'!D350</f>
        <v>17675.050800000001</v>
      </c>
      <c r="O52" s="17">
        <f>'[3]BANKNIFTY-I'!E350</f>
        <v>17745</v>
      </c>
      <c r="P52" s="17">
        <f>'[3]BANKNIFTY-I'!F350</f>
        <v>17620.199199999999</v>
      </c>
      <c r="Q52" s="17">
        <f>'[3]BANKNIFTY-I'!G350</f>
        <v>17671.449199999999</v>
      </c>
      <c r="R52" s="18">
        <f>'[3]BANKNIFTY-I'!I350</f>
        <v>2284440</v>
      </c>
      <c r="S52" s="19">
        <f>'[4]NIFTY-I'!B350</f>
        <v>42527</v>
      </c>
      <c r="T52" s="20">
        <f>'[4]NIFTY-I'!D350</f>
        <v>8248</v>
      </c>
      <c r="U52" s="20">
        <f>'[4]NIFTY-I'!E350</f>
        <v>8256.6504000000004</v>
      </c>
      <c r="V52" s="20">
        <f>'[4]NIFTY-I'!F350</f>
        <v>8205.7998000000007</v>
      </c>
      <c r="W52" s="20">
        <f>'[4]NIFTY-I'!G350</f>
        <v>8229.7998000000007</v>
      </c>
      <c r="X52" s="21">
        <f>'[4]NIFTY-I'!I350</f>
        <v>6554100</v>
      </c>
      <c r="Y52" s="22"/>
      <c r="Z52" s="42">
        <f t="shared" si="27"/>
        <v>124.80080000000089</v>
      </c>
      <c r="AA52" s="47">
        <f t="shared" si="31"/>
        <v>220.42278316828595</v>
      </c>
      <c r="AB52" s="47">
        <f t="shared" si="9"/>
        <v>6612.6834950485782</v>
      </c>
      <c r="AC52" s="47">
        <f>AB52*'Base Data'!$D$13</f>
        <v>4959.5126212864334</v>
      </c>
      <c r="AD52" s="51">
        <f>IF(INT(('Base Data'!$D$7)/AC52)=0,0,INT(('Base Data'!$D$7)/AC52))</f>
        <v>5</v>
      </c>
      <c r="AE52" s="48">
        <f t="shared" si="28"/>
        <v>50.850599999999758</v>
      </c>
      <c r="AF52" s="49">
        <f t="shared" si="32"/>
        <v>71.798199010833812</v>
      </c>
      <c r="AG52" s="49">
        <f t="shared" si="10"/>
        <v>5384.8649258125361</v>
      </c>
      <c r="AH52" s="49">
        <f>AG52*'Base Data'!$D$13</f>
        <v>4038.6486943594018</v>
      </c>
      <c r="AI52" s="50">
        <f>IF(INT(('Base Data'!$D$7)/AH52)=0,0,INT(('Base Data'!$D$7)/AH52))</f>
        <v>6</v>
      </c>
      <c r="AJ52" s="42">
        <f t="shared" si="29"/>
        <v>124.80080000000089</v>
      </c>
      <c r="AK52" s="47">
        <f t="shared" si="21"/>
        <v>267.24681768807221</v>
      </c>
      <c r="AL52" s="47">
        <f t="shared" si="17"/>
        <v>8017.4045306421667</v>
      </c>
      <c r="AM52" s="47">
        <f>AL52*'Base Data'!$D$10</f>
        <v>16034.809061284333</v>
      </c>
      <c r="AN52" s="51">
        <f>IF(INT(('Base Data'!$D$7)/AM52)=0,0,INT(('Base Data'!$D$7)/AM52))</f>
        <v>1</v>
      </c>
      <c r="AO52" s="44">
        <f t="shared" si="30"/>
        <v>50.850599999999758</v>
      </c>
      <c r="AP52" s="49">
        <f t="shared" si="22"/>
        <v>86.423698506026753</v>
      </c>
      <c r="AQ52" s="49">
        <f t="shared" si="18"/>
        <v>6481.7773879520064</v>
      </c>
      <c r="AR52" s="49">
        <f>AQ52*'Base Data'!$D$10</f>
        <v>12963.554775904013</v>
      </c>
      <c r="AS52" s="50">
        <f>IF(INT(('Base Data'!$D$7)/AR52)=0,0,INT(('Base Data'!$D$7)/AR52))</f>
        <v>1</v>
      </c>
      <c r="AT52" s="46">
        <f t="shared" si="23"/>
        <v>124.80080000000089</v>
      </c>
      <c r="AU52" s="39">
        <f t="shared" si="24"/>
        <v>7.0608453357317016E-3</v>
      </c>
      <c r="AV52" s="39">
        <f t="shared" si="11"/>
        <v>1.2925470211459429E-2</v>
      </c>
      <c r="AW52" s="39">
        <f t="shared" si="15"/>
        <v>1.599792797667391E-2</v>
      </c>
      <c r="AX52" s="40">
        <f t="shared" si="19"/>
        <v>1.6487037654692411E-2</v>
      </c>
      <c r="AY52" s="52">
        <f t="shared" si="25"/>
        <v>50.850599999999758</v>
      </c>
      <c r="AZ52" s="41">
        <f t="shared" si="26"/>
        <v>6.1652036857419686E-3</v>
      </c>
      <c r="BA52" s="41">
        <f t="shared" si="12"/>
        <v>8.9449927760366504E-3</v>
      </c>
      <c r="BB52" s="41">
        <f t="shared" si="16"/>
        <v>9.8937006343602606E-3</v>
      </c>
      <c r="BC52" s="38">
        <f t="shared" si="20"/>
        <v>1.0940960743599968E-2</v>
      </c>
    </row>
    <row r="53" spans="1:55" x14ac:dyDescent="0.25">
      <c r="A53" s="54"/>
      <c r="B53" s="54"/>
      <c r="C53" s="54"/>
      <c r="D53" s="54"/>
      <c r="E53" s="54"/>
      <c r="F53" s="54"/>
      <c r="G53" s="54"/>
      <c r="H53" s="54"/>
      <c r="I53" s="54"/>
      <c r="J53" s="54"/>
      <c r="K53" s="55"/>
      <c r="L53" s="37">
        <f t="shared" si="8"/>
        <v>50</v>
      </c>
      <c r="M53" s="16">
        <f>'[3]BANKNIFTY-I'!B351</f>
        <v>42528</v>
      </c>
      <c r="N53" s="17">
        <f>'[3]BANKNIFTY-I'!D351</f>
        <v>17773.150399999999</v>
      </c>
      <c r="O53" s="17">
        <f>'[3]BANKNIFTY-I'!E351</f>
        <v>17949</v>
      </c>
      <c r="P53" s="17">
        <f>'[3]BANKNIFTY-I'!F351</f>
        <v>17660.5</v>
      </c>
      <c r="Q53" s="17">
        <f>'[3]BANKNIFTY-I'!G351</f>
        <v>17893.400399999999</v>
      </c>
      <c r="R53" s="18">
        <f>'[3]BANKNIFTY-I'!I351</f>
        <v>4185630</v>
      </c>
      <c r="S53" s="19">
        <f>'[4]NIFTY-I'!B351</f>
        <v>42528</v>
      </c>
      <c r="T53" s="20">
        <f>'[4]NIFTY-I'!D351</f>
        <v>8266</v>
      </c>
      <c r="U53" s="20">
        <f>'[4]NIFTY-I'!E351</f>
        <v>8318.9004000000004</v>
      </c>
      <c r="V53" s="20">
        <f>'[4]NIFTY-I'!F351</f>
        <v>8230.0498000000007</v>
      </c>
      <c r="W53" s="20">
        <f>'[4]NIFTY-I'!G351</f>
        <v>8283.1504000000004</v>
      </c>
      <c r="X53" s="21">
        <f>'[4]NIFTY-I'!I351</f>
        <v>11458200</v>
      </c>
      <c r="Y53" s="22"/>
      <c r="Z53" s="42">
        <f t="shared" si="27"/>
        <v>288.5</v>
      </c>
      <c r="AA53" s="47">
        <f t="shared" si="31"/>
        <v>235.55105357533353</v>
      </c>
      <c r="AB53" s="47">
        <f t="shared" si="9"/>
        <v>7066.5316072600053</v>
      </c>
      <c r="AC53" s="47">
        <f>AB53*'Base Data'!$D$13</f>
        <v>5299.8987054450045</v>
      </c>
      <c r="AD53" s="51">
        <f>IF(INT(('Base Data'!$D$7)/AC53)=0,0,INT(('Base Data'!$D$7)/AC53))</f>
        <v>4</v>
      </c>
      <c r="AE53" s="48">
        <f t="shared" si="28"/>
        <v>89.100599999999758</v>
      </c>
      <c r="AF53" s="49">
        <f t="shared" si="32"/>
        <v>75.64317700842625</v>
      </c>
      <c r="AG53" s="49">
        <f t="shared" si="10"/>
        <v>5673.2382756319685</v>
      </c>
      <c r="AH53" s="49">
        <f>AG53*'Base Data'!$D$13</f>
        <v>4254.9287067239766</v>
      </c>
      <c r="AI53" s="50">
        <f>IF(INT(('Base Data'!$D$7)/AH53)=0,0,INT(('Base Data'!$D$7)/AH53))</f>
        <v>5</v>
      </c>
      <c r="AJ53" s="42">
        <f t="shared" si="29"/>
        <v>288.5</v>
      </c>
      <c r="AK53" s="47">
        <f t="shared" si="21"/>
        <v>269.17892517097476</v>
      </c>
      <c r="AL53" s="47">
        <f t="shared" si="17"/>
        <v>8075.3677551292431</v>
      </c>
      <c r="AM53" s="47">
        <f>AL53*'Base Data'!$D$10</f>
        <v>16150.735510258486</v>
      </c>
      <c r="AN53" s="51">
        <f>IF(INT(('Base Data'!$D$7)/AM53)=0,0,INT(('Base Data'!$D$7)/AM53))</f>
        <v>1</v>
      </c>
      <c r="AO53" s="44">
        <f t="shared" si="30"/>
        <v>89.100599999999758</v>
      </c>
      <c r="AP53" s="49">
        <f t="shared" si="22"/>
        <v>86.667053187297029</v>
      </c>
      <c r="AQ53" s="49">
        <f t="shared" si="18"/>
        <v>6500.0289890472768</v>
      </c>
      <c r="AR53" s="49">
        <f>AQ53*'Base Data'!$D$10</f>
        <v>13000.057978094554</v>
      </c>
      <c r="AS53" s="50">
        <f>IF(INT(('Base Data'!$D$7)/AR53)=0,0,INT(('Base Data'!$D$7)/AR53))</f>
        <v>1</v>
      </c>
      <c r="AT53" s="46">
        <f t="shared" si="23"/>
        <v>288.5</v>
      </c>
      <c r="AU53" s="39">
        <f t="shared" si="24"/>
        <v>1.6232350118412321E-2</v>
      </c>
      <c r="AV53" s="39">
        <f t="shared" si="11"/>
        <v>1.1949831878399857E-2</v>
      </c>
      <c r="AW53" s="39">
        <f t="shared" si="15"/>
        <v>1.3933498699409798E-2</v>
      </c>
      <c r="AX53" s="40">
        <f t="shared" si="19"/>
        <v>1.613597008171876E-2</v>
      </c>
      <c r="AY53" s="52">
        <f t="shared" si="25"/>
        <v>88.850599999999758</v>
      </c>
      <c r="AZ53" s="41">
        <f t="shared" si="26"/>
        <v>1.0748923300266121E-2</v>
      </c>
      <c r="BA53" s="41">
        <f t="shared" si="12"/>
        <v>8.3489311539507796E-3</v>
      </c>
      <c r="BB53" s="41">
        <f t="shared" si="16"/>
        <v>9.7689010418614275E-3</v>
      </c>
      <c r="BC53" s="38">
        <f t="shared" si="20"/>
        <v>1.0614658139596471E-2</v>
      </c>
    </row>
    <row r="54" spans="1:55" x14ac:dyDescent="0.25">
      <c r="A54" s="54"/>
      <c r="B54" s="54"/>
      <c r="C54" s="54"/>
      <c r="D54" s="54"/>
      <c r="E54" s="54"/>
      <c r="F54" s="54"/>
      <c r="G54" s="54"/>
      <c r="H54" s="54"/>
      <c r="I54" s="54"/>
      <c r="J54" s="54"/>
      <c r="K54" s="55"/>
      <c r="L54" s="37">
        <f t="shared" si="8"/>
        <v>51</v>
      </c>
      <c r="M54" s="16">
        <f>'[3]BANKNIFTY-I'!B352</f>
        <v>42529</v>
      </c>
      <c r="N54" s="17">
        <f>'[3]BANKNIFTY-I'!D352</f>
        <v>17907</v>
      </c>
      <c r="O54" s="17">
        <f>'[3]BANKNIFTY-I'!E352</f>
        <v>17959.699199999999</v>
      </c>
      <c r="P54" s="17">
        <f>'[3]BANKNIFTY-I'!F352</f>
        <v>17793.050800000001</v>
      </c>
      <c r="Q54" s="17">
        <f>'[3]BANKNIFTY-I'!G352</f>
        <v>17897.949199999999</v>
      </c>
      <c r="R54" s="18">
        <f>'[3]BANKNIFTY-I'!I352</f>
        <v>2519040</v>
      </c>
      <c r="S54" s="19">
        <f>'[4]NIFTY-I'!B352</f>
        <v>42529</v>
      </c>
      <c r="T54" s="20">
        <f>'[4]NIFTY-I'!D352</f>
        <v>8290.0498000000007</v>
      </c>
      <c r="U54" s="20">
        <f>'[4]NIFTY-I'!E352</f>
        <v>8299</v>
      </c>
      <c r="V54" s="20">
        <f>'[4]NIFTY-I'!F352</f>
        <v>8262.0498000000007</v>
      </c>
      <c r="W54" s="20">
        <f>'[4]NIFTY-I'!G352</f>
        <v>8284.2001999999993</v>
      </c>
      <c r="X54" s="21">
        <f>'[4]NIFTY-I'!I352</f>
        <v>6440025</v>
      </c>
      <c r="Y54" s="22"/>
      <c r="Z54" s="42">
        <f t="shared" si="27"/>
        <v>166.64839999999822</v>
      </c>
      <c r="AA54" s="47">
        <f t="shared" si="31"/>
        <v>220.23935278081456</v>
      </c>
      <c r="AB54" s="47">
        <f t="shared" si="9"/>
        <v>6607.1805834244369</v>
      </c>
      <c r="AC54" s="47">
        <f>AB54*'Base Data'!$D$13</f>
        <v>4955.3854375683277</v>
      </c>
      <c r="AD54" s="51">
        <f>IF(INT(('Base Data'!$D$7)/AC54)=0,0,INT(('Base Data'!$D$7)/AC54))</f>
        <v>5</v>
      </c>
      <c r="AE54" s="48">
        <f t="shared" si="28"/>
        <v>36.950199999999313</v>
      </c>
      <c r="AF54" s="49">
        <f t="shared" si="32"/>
        <v>67.044737673220268</v>
      </c>
      <c r="AG54" s="49">
        <f t="shared" si="10"/>
        <v>5028.3553254915205</v>
      </c>
      <c r="AH54" s="49">
        <f>AG54*'Base Data'!$D$13</f>
        <v>3771.2664941186404</v>
      </c>
      <c r="AI54" s="50">
        <f>IF(INT(('Base Data'!$D$7)/AH54)=0,0,INT(('Base Data'!$D$7)/AH54))</f>
        <v>6</v>
      </c>
      <c r="AJ54" s="42">
        <f t="shared" si="29"/>
        <v>166.64839999999822</v>
      </c>
      <c r="AK54" s="47">
        <f t="shared" si="21"/>
        <v>259.85796833724964</v>
      </c>
      <c r="AL54" s="47">
        <f t="shared" si="17"/>
        <v>7795.7390501174896</v>
      </c>
      <c r="AM54" s="47">
        <f>AL54*'Base Data'!$D$10</f>
        <v>15591.478100234979</v>
      </c>
      <c r="AN54" s="51">
        <f>IF(INT(('Base Data'!$D$7)/AM54)=0,0,INT(('Base Data'!$D$7)/AM54))</f>
        <v>1</v>
      </c>
      <c r="AO54" s="44">
        <f t="shared" si="30"/>
        <v>36.950199999999313</v>
      </c>
      <c r="AP54" s="49">
        <f t="shared" si="22"/>
        <v>82.147339261179056</v>
      </c>
      <c r="AQ54" s="49">
        <f t="shared" si="18"/>
        <v>6161.0504445884289</v>
      </c>
      <c r="AR54" s="49">
        <f>AQ54*'Base Data'!$D$10</f>
        <v>12322.100889176858</v>
      </c>
      <c r="AS54" s="50">
        <f>IF(INT(('Base Data'!$D$7)/AR54)=0,0,INT(('Base Data'!$D$7)/AR54))</f>
        <v>2</v>
      </c>
      <c r="AT54" s="46">
        <f t="shared" si="23"/>
        <v>166.64839999999822</v>
      </c>
      <c r="AU54" s="39">
        <f t="shared" si="24"/>
        <v>9.3063271346399846E-3</v>
      </c>
      <c r="AV54" s="39">
        <f t="shared" si="11"/>
        <v>1.1502781926786757E-2</v>
      </c>
      <c r="AW54" s="39">
        <f t="shared" si="15"/>
        <v>1.3751439775631933E-2</v>
      </c>
      <c r="AX54" s="40">
        <f t="shared" si="19"/>
        <v>1.6013429883869917E-2</v>
      </c>
      <c r="AY54" s="52">
        <f t="shared" si="25"/>
        <v>36.950199999999313</v>
      </c>
      <c r="AZ54" s="41">
        <f t="shared" si="26"/>
        <v>4.457174672219618E-3</v>
      </c>
      <c r="BA54" s="41">
        <f t="shared" si="12"/>
        <v>7.4445940916165899E-3</v>
      </c>
      <c r="BB54" s="41">
        <f t="shared" si="16"/>
        <v>9.3746516442625282E-3</v>
      </c>
      <c r="BC54" s="38">
        <f t="shared" si="20"/>
        <v>1.0426359835052346E-2</v>
      </c>
    </row>
    <row r="55" spans="1:55" x14ac:dyDescent="0.25">
      <c r="A55" s="54"/>
      <c r="B55" s="54"/>
      <c r="C55" s="54"/>
      <c r="D55" s="54"/>
      <c r="E55" s="54"/>
      <c r="F55" s="54"/>
      <c r="G55" s="54"/>
      <c r="H55" s="54"/>
      <c r="I55" s="54"/>
      <c r="J55" s="54"/>
      <c r="K55" s="55"/>
      <c r="L55" s="37">
        <f t="shared" si="8"/>
        <v>52</v>
      </c>
      <c r="M55" s="16">
        <f>'[3]BANKNIFTY-I'!B353</f>
        <v>42530</v>
      </c>
      <c r="N55" s="17">
        <f>'[3]BANKNIFTY-I'!D353</f>
        <v>17825.25</v>
      </c>
      <c r="O55" s="17">
        <f>'[3]BANKNIFTY-I'!E353</f>
        <v>17937.849600000001</v>
      </c>
      <c r="P55" s="17">
        <f>'[3]BANKNIFTY-I'!F353</f>
        <v>17751.150399999999</v>
      </c>
      <c r="Q55" s="17">
        <f>'[3]BANKNIFTY-I'!G353</f>
        <v>17843.349600000001</v>
      </c>
      <c r="R55" s="18">
        <f>'[3]BANKNIFTY-I'!I353</f>
        <v>3451680</v>
      </c>
      <c r="S55" s="19">
        <f>'[4]NIFTY-I'!B353</f>
        <v>42530</v>
      </c>
      <c r="T55" s="20">
        <f>'[4]NIFTY-I'!D353</f>
        <v>8285.0995999999996</v>
      </c>
      <c r="U55" s="20">
        <f>'[4]NIFTY-I'!E353</f>
        <v>8291</v>
      </c>
      <c r="V55" s="20">
        <f>'[4]NIFTY-I'!F353</f>
        <v>8200.0498000000007</v>
      </c>
      <c r="W55" s="20">
        <f>'[4]NIFTY-I'!G353</f>
        <v>8229.3495999999996</v>
      </c>
      <c r="X55" s="21">
        <f>'[4]NIFTY-I'!I353</f>
        <v>10466475</v>
      </c>
      <c r="Y55" s="22"/>
      <c r="Z55" s="42">
        <f t="shared" si="27"/>
        <v>186.69920000000275</v>
      </c>
      <c r="AA55" s="47">
        <f t="shared" si="31"/>
        <v>212.78598549618971</v>
      </c>
      <c r="AB55" s="47">
        <f t="shared" si="9"/>
        <v>6383.5795648856911</v>
      </c>
      <c r="AC55" s="47">
        <f>AB55*'Base Data'!$D$13</f>
        <v>4787.6846736642683</v>
      </c>
      <c r="AD55" s="51">
        <f>IF(INT(('Base Data'!$D$7)/AC55)=0,0,INT(('Base Data'!$D$7)/AC55))</f>
        <v>5</v>
      </c>
      <c r="AE55" s="48">
        <f t="shared" si="28"/>
        <v>90.950199999999313</v>
      </c>
      <c r="AF55" s="49">
        <f t="shared" si="32"/>
        <v>72.357062634726717</v>
      </c>
      <c r="AG55" s="49">
        <f t="shared" si="10"/>
        <v>5426.7796976045038</v>
      </c>
      <c r="AH55" s="49">
        <f>AG55*'Base Data'!$D$13</f>
        <v>4070.0847732033781</v>
      </c>
      <c r="AI55" s="50">
        <f>IF(INT(('Base Data'!$D$7)/AH55)=0,0,INT(('Base Data'!$D$7)/AH55))</f>
        <v>6</v>
      </c>
      <c r="AJ55" s="42">
        <f t="shared" si="29"/>
        <v>186.69920000000275</v>
      </c>
      <c r="AK55" s="47">
        <f t="shared" si="21"/>
        <v>253.20717121568174</v>
      </c>
      <c r="AL55" s="47">
        <f t="shared" si="17"/>
        <v>7596.2151364704523</v>
      </c>
      <c r="AM55" s="47">
        <f>AL55*'Base Data'!$D$10</f>
        <v>15192.430272940905</v>
      </c>
      <c r="AN55" s="51">
        <f>IF(INT(('Base Data'!$D$7)/AM55)=0,0,INT(('Base Data'!$D$7)/AM55))</f>
        <v>1</v>
      </c>
      <c r="AO55" s="44">
        <f t="shared" si="30"/>
        <v>90.950199999999313</v>
      </c>
      <c r="AP55" s="49">
        <f t="shared" si="22"/>
        <v>82.947599328344538</v>
      </c>
      <c r="AQ55" s="49">
        <f t="shared" si="18"/>
        <v>6221.0699496258403</v>
      </c>
      <c r="AR55" s="49">
        <f>AQ55*'Base Data'!$D$10</f>
        <v>12442.139899251681</v>
      </c>
      <c r="AS55" s="50">
        <f>IF(INT(('Base Data'!$D$7)/AR55)=0,0,INT(('Base Data'!$D$7)/AR55))</f>
        <v>2</v>
      </c>
      <c r="AT55" s="46">
        <f t="shared" si="23"/>
        <v>186.69920000000275</v>
      </c>
      <c r="AU55" s="39">
        <f t="shared" si="24"/>
        <v>1.0473861516668924E-2</v>
      </c>
      <c r="AV55" s="39">
        <f t="shared" si="11"/>
        <v>1.1444785425948498E-2</v>
      </c>
      <c r="AW55" s="39">
        <f t="shared" si="15"/>
        <v>1.3409637335907797E-2</v>
      </c>
      <c r="AX55" s="40">
        <f t="shared" si="19"/>
        <v>1.5410291435382922E-2</v>
      </c>
      <c r="AY55" s="52">
        <f t="shared" si="25"/>
        <v>90.950199999999313</v>
      </c>
      <c r="AZ55" s="41">
        <f t="shared" si="26"/>
        <v>1.0977562659596672E-2</v>
      </c>
      <c r="BA55" s="41">
        <f t="shared" si="12"/>
        <v>8.0503323212226079E-3</v>
      </c>
      <c r="BB55" s="41">
        <f t="shared" si="16"/>
        <v>9.4347795362700864E-3</v>
      </c>
      <c r="BC55" s="38">
        <f t="shared" si="20"/>
        <v>1.0268077238415652E-2</v>
      </c>
    </row>
    <row r="56" spans="1:55" x14ac:dyDescent="0.25">
      <c r="A56" s="54"/>
      <c r="B56" s="54"/>
      <c r="C56" s="54"/>
      <c r="D56" s="54"/>
      <c r="E56" s="54"/>
      <c r="F56" s="54"/>
      <c r="G56" s="54"/>
      <c r="H56" s="54"/>
      <c r="I56" s="54"/>
      <c r="J56" s="54"/>
      <c r="K56" s="55"/>
      <c r="L56" s="37">
        <f>L55+1</f>
        <v>53</v>
      </c>
      <c r="M56" s="16">
        <f>'[3]BANKNIFTY-I'!B354</f>
        <v>42531</v>
      </c>
      <c r="N56" s="17">
        <f>'[3]BANKNIFTY-I'!D354</f>
        <v>17800</v>
      </c>
      <c r="O56" s="17">
        <f>'[3]BANKNIFTY-I'!E354</f>
        <v>18026.800800000001</v>
      </c>
      <c r="P56" s="17">
        <f>'[3]BANKNIFTY-I'!F354</f>
        <v>17751.150399999999</v>
      </c>
      <c r="Q56" s="17">
        <f>'[3]BANKNIFTY-I'!G354</f>
        <v>17797.050800000001</v>
      </c>
      <c r="R56" s="18">
        <f>'[3]BANKNIFTY-I'!I354</f>
        <v>3519660</v>
      </c>
      <c r="S56" s="19">
        <f>'[4]NIFTY-I'!B354</f>
        <v>42531</v>
      </c>
      <c r="T56" s="20">
        <f>'[4]NIFTY-I'!D354</f>
        <v>8202.2001999999993</v>
      </c>
      <c r="U56" s="20">
        <f>'[4]NIFTY-I'!E354</f>
        <v>8299</v>
      </c>
      <c r="V56" s="20">
        <f>'[4]NIFTY-I'!F354</f>
        <v>8171.1000999999997</v>
      </c>
      <c r="W56" s="20">
        <f>'[4]NIFTY-I'!G354</f>
        <v>8190.3999000000003</v>
      </c>
      <c r="X56" s="21">
        <f>'[4]NIFTY-I'!I354</f>
        <v>15514500</v>
      </c>
      <c r="Y56" s="22"/>
      <c r="Z56" s="42">
        <f t="shared" si="27"/>
        <v>275.65040000000226</v>
      </c>
      <c r="AA56" s="47">
        <f>((Z56-AA55)*(2/(1+8)))+AA55</f>
        <v>226.75585538592583</v>
      </c>
      <c r="AB56" s="47">
        <f t="shared" si="9"/>
        <v>6802.6756615777749</v>
      </c>
      <c r="AC56" s="47">
        <f>AB56*'Base Data'!$D$13</f>
        <v>5102.0067461833314</v>
      </c>
      <c r="AD56" s="51">
        <f>IF(INT(('Base Data'!$D$7)/AC56)=0,0,INT(('Base Data'!$D$7)/AC56))</f>
        <v>4</v>
      </c>
      <c r="AE56" s="48">
        <f t="shared" si="28"/>
        <v>127.89990000000034</v>
      </c>
      <c r="AF56" s="49">
        <f>((AE56-AF55)*(2/(1+8)))+AF55</f>
        <v>84.699915382565294</v>
      </c>
      <c r="AG56" s="49">
        <f t="shared" si="10"/>
        <v>6352.4936536923969</v>
      </c>
      <c r="AH56" s="49">
        <f>AG56*'Base Data'!$D$13</f>
        <v>4764.3702402692979</v>
      </c>
      <c r="AI56" s="50">
        <f>IF(INT(('Base Data'!$D$7)/AH56)=0,0,INT(('Base Data'!$D$7)/AH56))</f>
        <v>5</v>
      </c>
      <c r="AJ56" s="42">
        <f t="shared" si="29"/>
        <v>275.65040000000226</v>
      </c>
      <c r="AK56" s="47">
        <f t="shared" si="21"/>
        <v>255.24746474152906</v>
      </c>
      <c r="AL56" s="47">
        <f t="shared" si="17"/>
        <v>7657.4239422458713</v>
      </c>
      <c r="AM56" s="47">
        <f>AL56*'Base Data'!$D$10</f>
        <v>15314.847884491743</v>
      </c>
      <c r="AN56" s="51">
        <f>IF(INT(('Base Data'!$D$7)/AM56)=0,0,INT(('Base Data'!$D$7)/AM56))</f>
        <v>1</v>
      </c>
      <c r="AO56" s="44">
        <f t="shared" si="30"/>
        <v>127.89990000000034</v>
      </c>
      <c r="AP56" s="49">
        <f t="shared" si="22"/>
        <v>87.034172116676885</v>
      </c>
      <c r="AQ56" s="49">
        <f t="shared" si="18"/>
        <v>6527.5629087507659</v>
      </c>
      <c r="AR56" s="49">
        <f>AQ56*'Base Data'!$D$10</f>
        <v>13055.125817501532</v>
      </c>
      <c r="AS56" s="50">
        <f>IF(INT(('Base Data'!$D$7)/AR56)=0,0,INT(('Base Data'!$D$7)/AR56))</f>
        <v>1</v>
      </c>
      <c r="AT56" s="46">
        <f t="shared" si="23"/>
        <v>275.65040000000226</v>
      </c>
      <c r="AU56" s="39">
        <f t="shared" si="24"/>
        <v>1.5485977528090014E-2</v>
      </c>
      <c r="AV56" s="39">
        <f t="shared" si="11"/>
        <v>1.1996161481398896E-2</v>
      </c>
      <c r="AW56" s="39">
        <f t="shared" si="15"/>
        <v>1.392201446418955E-2</v>
      </c>
      <c r="AX56" s="40">
        <f t="shared" si="19"/>
        <v>1.5587387051087451E-2</v>
      </c>
      <c r="AY56" s="52">
        <f t="shared" si="25"/>
        <v>127.89990000000034</v>
      </c>
      <c r="AZ56" s="41">
        <f t="shared" si="26"/>
        <v>1.5593364814479944E-2</v>
      </c>
      <c r="BA56" s="41">
        <f t="shared" si="12"/>
        <v>8.8877947163456764E-3</v>
      </c>
      <c r="BB56" s="41">
        <f t="shared" si="16"/>
        <v>1.0169904727233579E-2</v>
      </c>
      <c r="BC56" s="38">
        <f t="shared" si="20"/>
        <v>1.0533582563868771E-2</v>
      </c>
    </row>
    <row r="57" spans="1:55" x14ac:dyDescent="0.25">
      <c r="A57" s="54"/>
      <c r="B57" s="54"/>
      <c r="C57" s="54"/>
      <c r="D57" s="54"/>
      <c r="E57" s="54"/>
      <c r="F57" s="54"/>
      <c r="G57" s="54"/>
      <c r="H57" s="54"/>
      <c r="I57" s="54"/>
      <c r="J57" s="54"/>
      <c r="K57" s="55"/>
      <c r="L57" s="37">
        <f t="shared" si="8"/>
        <v>54</v>
      </c>
      <c r="M57" s="16">
        <f>'[3]BANKNIFTY-I'!B355</f>
        <v>42534</v>
      </c>
      <c r="N57" s="17">
        <f>'[3]BANKNIFTY-I'!D355</f>
        <v>17625</v>
      </c>
      <c r="O57" s="17">
        <f>'[3]BANKNIFTY-I'!E355</f>
        <v>17643.300800000001</v>
      </c>
      <c r="P57" s="17">
        <f>'[3]BANKNIFTY-I'!F355</f>
        <v>17482.099600000001</v>
      </c>
      <c r="Q57" s="17">
        <f>'[3]BANKNIFTY-I'!G355</f>
        <v>17562.150399999999</v>
      </c>
      <c r="R57" s="18">
        <f>'[3]BANKNIFTY-I'!I355</f>
        <v>2908290</v>
      </c>
      <c r="S57" s="19">
        <f>'[4]NIFTY-I'!B355</f>
        <v>42534</v>
      </c>
      <c r="T57" s="20">
        <f>'[4]NIFTY-I'!D355</f>
        <v>8124</v>
      </c>
      <c r="U57" s="20">
        <f>'[4]NIFTY-I'!E355</f>
        <v>8147</v>
      </c>
      <c r="V57" s="20">
        <f>'[4]NIFTY-I'!F355</f>
        <v>8082.2002000000002</v>
      </c>
      <c r="W57" s="20">
        <f>'[4]NIFTY-I'!G355</f>
        <v>8130.6499000000003</v>
      </c>
      <c r="X57" s="21">
        <f>'[4]NIFTY-I'!I355</f>
        <v>13015425</v>
      </c>
      <c r="Y57" s="22"/>
      <c r="Z57" s="42">
        <f t="shared" si="27"/>
        <v>314.95119999999952</v>
      </c>
      <c r="AA57" s="47">
        <f t="shared" ref="AA57:AA63" si="33">((Z57-AA56)*(2/(1+8)))+AA56</f>
        <v>246.35482085571999</v>
      </c>
      <c r="AB57" s="47">
        <f t="shared" si="9"/>
        <v>7390.6446256715999</v>
      </c>
      <c r="AC57" s="47">
        <f>AB57*'Base Data'!$D$13</f>
        <v>5542.9834692536997</v>
      </c>
      <c r="AD57" s="51">
        <f>IF(INT(('Base Data'!$D$7)/AC57)=0,0,INT(('Base Data'!$D$7)/AC57))</f>
        <v>4</v>
      </c>
      <c r="AE57" s="48">
        <f t="shared" si="28"/>
        <v>108.19970000000012</v>
      </c>
      <c r="AF57" s="49">
        <f t="shared" ref="AF57:AF63" si="34">((AE57-AF56)*(2/(1+8)))+AF56</f>
        <v>89.922089741995251</v>
      </c>
      <c r="AG57" s="49">
        <f t="shared" si="10"/>
        <v>6744.1567306496436</v>
      </c>
      <c r="AH57" s="49">
        <f>AG57*'Base Data'!$D$13</f>
        <v>5058.1175479872327</v>
      </c>
      <c r="AI57" s="50">
        <f>IF(INT(('Base Data'!$D$7)/AH57)=0,0,INT(('Base Data'!$D$7)/AH57))</f>
        <v>4</v>
      </c>
      <c r="AJ57" s="42">
        <f t="shared" si="29"/>
        <v>314.95119999999952</v>
      </c>
      <c r="AK57" s="47">
        <f t="shared" si="21"/>
        <v>260.67507703775362</v>
      </c>
      <c r="AL57" s="47">
        <f t="shared" si="17"/>
        <v>7820.2523111326091</v>
      </c>
      <c r="AM57" s="47">
        <f>AL57*'Base Data'!$D$10</f>
        <v>15640.504622265218</v>
      </c>
      <c r="AN57" s="51">
        <f>IF(INT(('Base Data'!$D$7)/AM57)=0,0,INT(('Base Data'!$D$7)/AM57))</f>
        <v>1</v>
      </c>
      <c r="AO57" s="44">
        <f t="shared" si="30"/>
        <v>108.19970000000012</v>
      </c>
      <c r="AP57" s="49">
        <f t="shared" si="22"/>
        <v>88.958311015160817</v>
      </c>
      <c r="AQ57" s="49">
        <f t="shared" si="18"/>
        <v>6671.8733261370617</v>
      </c>
      <c r="AR57" s="49">
        <f>AQ57*'Base Data'!$D$10</f>
        <v>13343.746652274123</v>
      </c>
      <c r="AS57" s="50">
        <f>IF(INT(('Base Data'!$D$7)/AR57)=0,0,INT(('Base Data'!$D$7)/AR57))</f>
        <v>1</v>
      </c>
      <c r="AT57" s="46">
        <f t="shared" si="23"/>
        <v>161.20119999999952</v>
      </c>
      <c r="AU57" s="39">
        <f t="shared" si="24"/>
        <v>9.1461673758864975E-3</v>
      </c>
      <c r="AV57" s="39">
        <f t="shared" si="11"/>
        <v>1.1275535610469999E-2</v>
      </c>
      <c r="AW57" s="39">
        <f t="shared" si="15"/>
        <v>1.2619111181951784E-2</v>
      </c>
      <c r="AX57" s="40">
        <f t="shared" si="19"/>
        <v>1.5011477090571971E-2</v>
      </c>
      <c r="AY57" s="52">
        <f t="shared" si="25"/>
        <v>64.799799999999777</v>
      </c>
      <c r="AZ57" s="41">
        <f t="shared" si="26"/>
        <v>7.9763417035942606E-3</v>
      </c>
      <c r="BA57" s="41">
        <f t="shared" si="12"/>
        <v>9.1744624292949498E-3</v>
      </c>
      <c r="BB57" s="41">
        <f t="shared" si="16"/>
        <v>9.3317930275730633E-3</v>
      </c>
      <c r="BC57" s="38">
        <f t="shared" si="20"/>
        <v>1.0282808406156762E-2</v>
      </c>
    </row>
    <row r="58" spans="1:55" x14ac:dyDescent="0.25">
      <c r="A58" s="54"/>
      <c r="B58" s="54"/>
      <c r="C58" s="54"/>
      <c r="D58" s="54"/>
      <c r="E58" s="54"/>
      <c r="F58" s="54"/>
      <c r="G58" s="54"/>
      <c r="H58" s="54"/>
      <c r="I58" s="54"/>
      <c r="J58" s="54"/>
      <c r="K58" s="55"/>
      <c r="L58" s="37">
        <f t="shared" si="8"/>
        <v>55</v>
      </c>
      <c r="M58" s="16">
        <f>'[3]BANKNIFTY-I'!B356</f>
        <v>42535</v>
      </c>
      <c r="N58" s="17">
        <f>'[3]BANKNIFTY-I'!D356</f>
        <v>17664</v>
      </c>
      <c r="O58" s="17">
        <f>'[3]BANKNIFTY-I'!E356</f>
        <v>17695</v>
      </c>
      <c r="P58" s="17">
        <f>'[3]BANKNIFTY-I'!F356</f>
        <v>17527</v>
      </c>
      <c r="Q58" s="17">
        <f>'[3]BANKNIFTY-I'!G356</f>
        <v>17638.400399999999</v>
      </c>
      <c r="R58" s="18">
        <f>'[3]BANKNIFTY-I'!I356</f>
        <v>2669640</v>
      </c>
      <c r="S58" s="19">
        <f>'[4]NIFTY-I'!B356</f>
        <v>42535</v>
      </c>
      <c r="T58" s="20">
        <f>'[4]NIFTY-I'!D356</f>
        <v>8130.5497999999998</v>
      </c>
      <c r="U58" s="20">
        <f>'[4]NIFTY-I'!E356</f>
        <v>8138.4502000000002</v>
      </c>
      <c r="V58" s="20">
        <f>'[4]NIFTY-I'!F356</f>
        <v>8076</v>
      </c>
      <c r="W58" s="20">
        <f>'[4]NIFTY-I'!G356</f>
        <v>8120.5497999999998</v>
      </c>
      <c r="X58" s="21">
        <f>'[4]NIFTY-I'!I356</f>
        <v>12027525</v>
      </c>
      <c r="Y58" s="22"/>
      <c r="Z58" s="42">
        <f t="shared" si="27"/>
        <v>168</v>
      </c>
      <c r="AA58" s="47">
        <f t="shared" si="33"/>
        <v>228.94263844333778</v>
      </c>
      <c r="AB58" s="47">
        <f t="shared" si="9"/>
        <v>6868.2791533001337</v>
      </c>
      <c r="AC58" s="47">
        <f>AB58*'Base Data'!$D$13</f>
        <v>5151.2093649751005</v>
      </c>
      <c r="AD58" s="51">
        <f>IF(INT(('Base Data'!$D$7)/AC58)=0,0,INT(('Base Data'!$D$7)/AC58))</f>
        <v>4</v>
      </c>
      <c r="AE58" s="48">
        <f t="shared" si="28"/>
        <v>62.450200000000223</v>
      </c>
      <c r="AF58" s="49">
        <f t="shared" si="34"/>
        <v>83.817225354885238</v>
      </c>
      <c r="AG58" s="49">
        <f t="shared" si="10"/>
        <v>6286.2919016163933</v>
      </c>
      <c r="AH58" s="49">
        <f>AG58*'Base Data'!$D$13</f>
        <v>4714.7189262122947</v>
      </c>
      <c r="AI58" s="50">
        <f>IF(INT(('Base Data'!$D$7)/AH58)=0,0,INT(('Base Data'!$D$7)/AH58))</f>
        <v>5</v>
      </c>
      <c r="AJ58" s="42">
        <f t="shared" si="29"/>
        <v>168</v>
      </c>
      <c r="AK58" s="47">
        <f t="shared" si="21"/>
        <v>252.25007003432148</v>
      </c>
      <c r="AL58" s="47">
        <f t="shared" si="17"/>
        <v>7567.5021010296441</v>
      </c>
      <c r="AM58" s="47">
        <f>AL58*'Base Data'!$D$10</f>
        <v>15135.004202059288</v>
      </c>
      <c r="AN58" s="51">
        <f>IF(INT(('Base Data'!$D$7)/AM58)=0,0,INT(('Base Data'!$D$7)/AM58))</f>
        <v>1</v>
      </c>
      <c r="AO58" s="44">
        <f t="shared" si="30"/>
        <v>62.450200000000223</v>
      </c>
      <c r="AP58" s="49">
        <f t="shared" si="22"/>
        <v>86.548482741055309</v>
      </c>
      <c r="AQ58" s="49">
        <f t="shared" si="18"/>
        <v>6491.1362055791478</v>
      </c>
      <c r="AR58" s="49">
        <f>AQ58*'Base Data'!$D$10</f>
        <v>12982.272411158296</v>
      </c>
      <c r="AS58" s="50">
        <f>IF(INT(('Base Data'!$D$7)/AR58)=0,0,INT(('Base Data'!$D$7)/AR58))</f>
        <v>1</v>
      </c>
      <c r="AT58" s="46">
        <f t="shared" si="23"/>
        <v>168</v>
      </c>
      <c r="AU58" s="39">
        <f t="shared" si="24"/>
        <v>9.5108695652173919E-3</v>
      </c>
      <c r="AV58" s="39">
        <f t="shared" si="11"/>
        <v>1.0527966145202627E-2</v>
      </c>
      <c r="AW58" s="39">
        <f t="shared" si="15"/>
        <v>1.1501681395977049E-2</v>
      </c>
      <c r="AX58" s="40">
        <f t="shared" si="19"/>
        <v>1.4375896225187717E-2</v>
      </c>
      <c r="AY58" s="52">
        <f t="shared" si="25"/>
        <v>62.450200000000223</v>
      </c>
      <c r="AZ58" s="41">
        <f t="shared" si="26"/>
        <v>7.680931983222122E-3</v>
      </c>
      <c r="BA58" s="41">
        <f t="shared" si="12"/>
        <v>8.7201198267122266E-3</v>
      </c>
      <c r="BB58" s="41">
        <f t="shared" si="16"/>
        <v>8.7289865434399122E-3</v>
      </c>
      <c r="BC58" s="38">
        <f t="shared" si="20"/>
        <v>9.931851814492897E-3</v>
      </c>
    </row>
    <row r="59" spans="1:55" s="56" customFormat="1" x14ac:dyDescent="0.25">
      <c r="A59" s="54"/>
      <c r="B59" s="54"/>
      <c r="C59" s="54"/>
      <c r="D59" s="54"/>
      <c r="E59" s="54"/>
      <c r="F59" s="54"/>
      <c r="G59" s="54"/>
      <c r="H59" s="54"/>
      <c r="I59" s="54"/>
      <c r="J59" s="54"/>
      <c r="K59" s="57"/>
      <c r="L59" s="37">
        <f t="shared" si="8"/>
        <v>56</v>
      </c>
      <c r="M59" s="16">
        <f>'[3]BANKNIFTY-I'!B357</f>
        <v>42536</v>
      </c>
      <c r="N59" s="17">
        <f>'[3]BANKNIFTY-I'!D357</f>
        <v>17700.25</v>
      </c>
      <c r="O59" s="17">
        <f>'[3]BANKNIFTY-I'!E357</f>
        <v>17905.849600000001</v>
      </c>
      <c r="P59" s="17">
        <f>'[3]BANKNIFTY-I'!F357</f>
        <v>17593</v>
      </c>
      <c r="Q59" s="17">
        <f>'[3]BANKNIFTY-I'!G357</f>
        <v>17877.300800000001</v>
      </c>
      <c r="R59" s="18">
        <f>'[3]BANKNIFTY-I'!I357</f>
        <v>3485850</v>
      </c>
      <c r="S59" s="19">
        <f>'[4]NIFTY-I'!B357</f>
        <v>42536</v>
      </c>
      <c r="T59" s="20">
        <f>'[4]NIFTY-I'!D357</f>
        <v>8105.1000999999997</v>
      </c>
      <c r="U59" s="20">
        <f>'[4]NIFTY-I'!E357</f>
        <v>8232.4004000000004</v>
      </c>
      <c r="V59" s="20">
        <f>'[4]NIFTY-I'!F357</f>
        <v>8105.1000999999997</v>
      </c>
      <c r="W59" s="20">
        <f>'[4]NIFTY-I'!G357</f>
        <v>8221.3495999999996</v>
      </c>
      <c r="X59" s="21">
        <f>'[4]NIFTY-I'!I357</f>
        <v>11627400</v>
      </c>
      <c r="Y59" s="22"/>
      <c r="Z59" s="60">
        <f t="shared" si="27"/>
        <v>312.84960000000137</v>
      </c>
      <c r="AA59" s="62">
        <f t="shared" si="33"/>
        <v>247.58862990037414</v>
      </c>
      <c r="AB59" s="62">
        <f t="shared" si="9"/>
        <v>7427.6588970112243</v>
      </c>
      <c r="AC59" s="62">
        <f>AB59*'Base Data'!$D$13</f>
        <v>5570.7441727584182</v>
      </c>
      <c r="AD59" s="63">
        <f>IF(INT(('Base Data'!$D$7)/AC59)=0,0,INT(('Base Data'!$D$7)/AC59))</f>
        <v>4</v>
      </c>
      <c r="AE59" s="61">
        <f t="shared" si="28"/>
        <v>127.30030000000079</v>
      </c>
      <c r="AF59" s="62">
        <f t="shared" si="34"/>
        <v>93.480130831577583</v>
      </c>
      <c r="AG59" s="62">
        <f t="shared" si="10"/>
        <v>7011.0098123683183</v>
      </c>
      <c r="AH59" s="62">
        <f>AG59*'Base Data'!$D$13</f>
        <v>5258.2573592762383</v>
      </c>
      <c r="AI59" s="63">
        <f>IF(INT(('Base Data'!$D$7)/AH59)=0,0,INT(('Base Data'!$D$7)/AH59))</f>
        <v>4</v>
      </c>
      <c r="AJ59" s="60">
        <f t="shared" si="29"/>
        <v>312.84960000000137</v>
      </c>
      <c r="AK59" s="62">
        <f t="shared" si="21"/>
        <v>257.75911821301963</v>
      </c>
      <c r="AL59" s="62">
        <f t="shared" si="17"/>
        <v>7732.7735463905892</v>
      </c>
      <c r="AM59" s="62">
        <f>AL59*'Base Data'!$D$10</f>
        <v>15465.547092781178</v>
      </c>
      <c r="AN59" s="63">
        <f>IF(INT(('Base Data'!$D$7)/AM59)=0,0,INT(('Base Data'!$D$7)/AM59))</f>
        <v>1</v>
      </c>
      <c r="AO59" s="60">
        <f t="shared" si="30"/>
        <v>127.30030000000079</v>
      </c>
      <c r="AP59" s="62">
        <f t="shared" si="22"/>
        <v>90.253193400959447</v>
      </c>
      <c r="AQ59" s="62">
        <f t="shared" si="18"/>
        <v>6768.9895050719588</v>
      </c>
      <c r="AR59" s="62">
        <f>AQ59*'Base Data'!$D$10</f>
        <v>13537.979010143918</v>
      </c>
      <c r="AS59" s="63">
        <f>IF(INT(('Base Data'!$D$7)/AR59)=0,0,INT(('Base Data'!$D$7)/AR59))</f>
        <v>1</v>
      </c>
      <c r="AT59" s="61">
        <f t="shared" si="23"/>
        <v>312.84960000000137</v>
      </c>
      <c r="AU59" s="59">
        <f t="shared" si="24"/>
        <v>1.7674868999025515E-2</v>
      </c>
      <c r="AV59" s="59">
        <f t="shared" si="11"/>
        <v>1.1861408446709043E-2</v>
      </c>
      <c r="AW59" s="59">
        <f t="shared" si="15"/>
        <v>1.1870307723014031E-2</v>
      </c>
      <c r="AX59" s="58">
        <f t="shared" si="19"/>
        <v>1.4722704727525229E-2</v>
      </c>
      <c r="AY59" s="64">
        <f t="shared" si="25"/>
        <v>127.30030000000079</v>
      </c>
      <c r="AZ59" s="59">
        <f t="shared" si="26"/>
        <v>1.5706197138762146E-2</v>
      </c>
      <c r="BA59" s="59">
        <f t="shared" si="12"/>
        <v>9.9132124947353562E-3</v>
      </c>
      <c r="BB59" s="59">
        <f t="shared" si="16"/>
        <v>9.0377808486606041E-3</v>
      </c>
      <c r="BC59" s="58">
        <f t="shared" si="20"/>
        <v>1.0308194294886094E-2</v>
      </c>
    </row>
    <row r="60" spans="1:55" x14ac:dyDescent="0.25">
      <c r="A60" s="54"/>
      <c r="B60" s="54"/>
      <c r="C60" s="54"/>
      <c r="D60" s="54"/>
      <c r="E60" s="54"/>
      <c r="F60" s="54"/>
      <c r="G60" s="54"/>
      <c r="H60" s="54"/>
      <c r="I60" s="54"/>
      <c r="J60" s="54"/>
      <c r="K60" s="55"/>
      <c r="L60" s="37">
        <f t="shared" si="8"/>
        <v>57</v>
      </c>
      <c r="M60" s="16">
        <f>'[3]BANKNIFTY-I'!B358</f>
        <v>42537</v>
      </c>
      <c r="N60" s="17">
        <f>'[3]BANKNIFTY-I'!D358</f>
        <v>17780</v>
      </c>
      <c r="O60" s="17">
        <f>'[3]BANKNIFTY-I'!E358</f>
        <v>17818.900399999999</v>
      </c>
      <c r="P60" s="17">
        <f>'[3]BANKNIFTY-I'!F358</f>
        <v>17532.849600000001</v>
      </c>
      <c r="Q60" s="17">
        <f>'[3]BANKNIFTY-I'!G358</f>
        <v>17687.449199999999</v>
      </c>
      <c r="R60" s="18">
        <f>'[3]BANKNIFTY-I'!I358</f>
        <v>4428930</v>
      </c>
      <c r="S60" s="19">
        <f>'[4]NIFTY-I'!B358</f>
        <v>42537</v>
      </c>
      <c r="T60" s="20">
        <f>'[4]NIFTY-I'!D358</f>
        <v>8185.3500999999997</v>
      </c>
      <c r="U60" s="20">
        <f>'[4]NIFTY-I'!E358</f>
        <v>8194</v>
      </c>
      <c r="V60" s="20">
        <f>'[4]NIFTY-I'!F358</f>
        <v>8085</v>
      </c>
      <c r="W60" s="20">
        <f>'[4]NIFTY-I'!G358</f>
        <v>8158.75</v>
      </c>
      <c r="X60" s="21">
        <f>'[4]NIFTY-I'!I358</f>
        <v>17713276</v>
      </c>
      <c r="Y60" s="22"/>
      <c r="Z60" s="42">
        <f t="shared" si="27"/>
        <v>344.45119999999952</v>
      </c>
      <c r="AA60" s="47">
        <f t="shared" si="33"/>
        <v>269.11364547806869</v>
      </c>
      <c r="AB60" s="47">
        <f t="shared" si="9"/>
        <v>8073.4093643420611</v>
      </c>
      <c r="AC60" s="47">
        <f>AB60*'Base Data'!$D$13</f>
        <v>6055.057023256546</v>
      </c>
      <c r="AD60" s="51">
        <f>IF(INT(('Base Data'!$D$7)/AC60)=0,0,INT(('Base Data'!$D$7)/AC60))</f>
        <v>4</v>
      </c>
      <c r="AE60" s="48">
        <f t="shared" si="28"/>
        <v>136.34959999999955</v>
      </c>
      <c r="AF60" s="49">
        <f t="shared" si="34"/>
        <v>103.00667953567135</v>
      </c>
      <c r="AG60" s="49">
        <f t="shared" si="10"/>
        <v>7725.5009651753517</v>
      </c>
      <c r="AH60" s="49">
        <f>AG60*'Base Data'!$D$13</f>
        <v>5794.1257238815142</v>
      </c>
      <c r="AI60" s="50">
        <f>IF(INT(('Base Data'!$D$7)/AH60)=0,0,INT(('Base Data'!$D$7)/AH60))</f>
        <v>4</v>
      </c>
      <c r="AJ60" s="42">
        <f t="shared" si="29"/>
        <v>344.45119999999952</v>
      </c>
      <c r="AK60" s="47">
        <f t="shared" si="21"/>
        <v>265.64021655729056</v>
      </c>
      <c r="AL60" s="47">
        <f t="shared" si="17"/>
        <v>7969.2064967187171</v>
      </c>
      <c r="AM60" s="47">
        <f>AL60*'Base Data'!$D$10</f>
        <v>15938.412993437434</v>
      </c>
      <c r="AN60" s="51">
        <f>IF(INT(('Base Data'!$D$7)/AM60)=0,0,INT(('Base Data'!$D$7)/AM60))</f>
        <v>1</v>
      </c>
      <c r="AO60" s="44">
        <f t="shared" si="30"/>
        <v>136.34959999999955</v>
      </c>
      <c r="AP60" s="49">
        <f t="shared" si="22"/>
        <v>94.443775819053997</v>
      </c>
      <c r="AQ60" s="49">
        <f t="shared" si="18"/>
        <v>7083.2831864290501</v>
      </c>
      <c r="AR60" s="49">
        <f>AQ60*'Base Data'!$D$10</f>
        <v>14166.5663728581</v>
      </c>
      <c r="AS60" s="50">
        <f>IF(INT(('Base Data'!$D$7)/AR60)=0,0,INT(('Base Data'!$D$7)/AR60))</f>
        <v>1</v>
      </c>
      <c r="AT60" s="46">
        <f t="shared" si="23"/>
        <v>286.05079999999725</v>
      </c>
      <c r="AU60" s="39">
        <f t="shared" si="24"/>
        <v>1.608834645669276E-2</v>
      </c>
      <c r="AV60" s="39">
        <f t="shared" si="11"/>
        <v>1.2989846086829175E-2</v>
      </c>
      <c r="AW60" s="39">
        <f t="shared" si="15"/>
        <v>1.2266501025576936E-2</v>
      </c>
      <c r="AX60" s="40">
        <f t="shared" si="19"/>
        <v>1.4851992018637824E-2</v>
      </c>
      <c r="AY60" s="52">
        <f t="shared" si="25"/>
        <v>109</v>
      </c>
      <c r="AZ60" s="41">
        <f t="shared" si="26"/>
        <v>1.3316473781616257E-2</v>
      </c>
      <c r="BA60" s="41">
        <f t="shared" si="12"/>
        <v>1.0807121256719643E-2</v>
      </c>
      <c r="BB60" s="41">
        <f t="shared" si="16"/>
        <v>9.5904590762658139E-3</v>
      </c>
      <c r="BC60" s="38">
        <f t="shared" si="20"/>
        <v>1.0241670395259073E-2</v>
      </c>
    </row>
    <row r="61" spans="1:55" x14ac:dyDescent="0.25">
      <c r="A61" s="54"/>
      <c r="B61" s="54"/>
      <c r="C61" s="54"/>
      <c r="D61" s="54"/>
      <c r="E61" s="54"/>
      <c r="F61" s="54"/>
      <c r="G61" s="54"/>
      <c r="H61" s="54"/>
      <c r="I61" s="54"/>
      <c r="J61" s="54"/>
      <c r="K61" s="55"/>
      <c r="L61" s="37">
        <f t="shared" si="8"/>
        <v>58</v>
      </c>
      <c r="M61" s="16">
        <f>'[3]BANKNIFTY-I'!B359</f>
        <v>42538</v>
      </c>
      <c r="N61" s="17">
        <f>'[3]BANKNIFTY-I'!D359</f>
        <v>17755.099600000001</v>
      </c>
      <c r="O61" s="17">
        <f>'[3]BANKNIFTY-I'!E359</f>
        <v>17860</v>
      </c>
      <c r="P61" s="17">
        <f>'[3]BANKNIFTY-I'!F359</f>
        <v>17610</v>
      </c>
      <c r="Q61" s="17">
        <f>'[3]BANKNIFTY-I'!G359</f>
        <v>17699.150399999999</v>
      </c>
      <c r="R61" s="18">
        <f>'[3]BANKNIFTY-I'!I359</f>
        <v>2715240</v>
      </c>
      <c r="S61" s="19">
        <f>'[4]NIFTY-I'!B359</f>
        <v>42538</v>
      </c>
      <c r="T61" s="20">
        <f>'[4]NIFTY-I'!D359</f>
        <v>8200</v>
      </c>
      <c r="U61" s="20">
        <f>'[4]NIFTY-I'!E359</f>
        <v>8221.2001999999993</v>
      </c>
      <c r="V61" s="20">
        <f>'[4]NIFTY-I'!F359</f>
        <v>8151.2997999999998</v>
      </c>
      <c r="W61" s="20">
        <f>'[4]NIFTY-I'!G359</f>
        <v>8174.3999000000003</v>
      </c>
      <c r="X61" s="21">
        <f>'[4]NIFTY-I'!I359</f>
        <v>11415750</v>
      </c>
      <c r="Y61" s="22"/>
      <c r="Z61" s="42">
        <f t="shared" si="27"/>
        <v>250</v>
      </c>
      <c r="AA61" s="47">
        <f t="shared" si="33"/>
        <v>264.86616870516451</v>
      </c>
      <c r="AB61" s="47">
        <f t="shared" si="9"/>
        <v>7945.9850611549355</v>
      </c>
      <c r="AC61" s="47">
        <f>AB61*'Base Data'!$D$13</f>
        <v>5959.4887958662021</v>
      </c>
      <c r="AD61" s="51">
        <f>IF(INT(('Base Data'!$D$7)/AC61)=0,0,INT(('Base Data'!$D$7)/AC61))</f>
        <v>4</v>
      </c>
      <c r="AE61" s="48">
        <f t="shared" si="28"/>
        <v>69.900399999999536</v>
      </c>
      <c r="AF61" s="49">
        <f t="shared" si="34"/>
        <v>95.649728527744287</v>
      </c>
      <c r="AG61" s="49">
        <f t="shared" si="10"/>
        <v>7173.7296395808216</v>
      </c>
      <c r="AH61" s="49">
        <f>AG61*'Base Data'!$D$13</f>
        <v>5380.297229685616</v>
      </c>
      <c r="AI61" s="50">
        <f>IF(INT(('Base Data'!$D$7)/AH61)=0,0,INT(('Base Data'!$D$7)/AH61))</f>
        <v>4</v>
      </c>
      <c r="AJ61" s="42">
        <f t="shared" si="29"/>
        <v>250</v>
      </c>
      <c r="AK61" s="47">
        <f t="shared" si="21"/>
        <v>264.21837868844597</v>
      </c>
      <c r="AL61" s="47">
        <f t="shared" si="17"/>
        <v>7926.5513606533787</v>
      </c>
      <c r="AM61" s="47">
        <f>AL61*'Base Data'!$D$10</f>
        <v>15853.102721306757</v>
      </c>
      <c r="AN61" s="51">
        <f>IF(INT(('Base Data'!$D$7)/AM61)=0,0,INT(('Base Data'!$D$7)/AM61))</f>
        <v>1</v>
      </c>
      <c r="AO61" s="44">
        <f t="shared" si="30"/>
        <v>69.900399999999536</v>
      </c>
      <c r="AP61" s="49">
        <f t="shared" si="22"/>
        <v>92.212559835503598</v>
      </c>
      <c r="AQ61" s="49">
        <f t="shared" si="18"/>
        <v>6915.9419876627699</v>
      </c>
      <c r="AR61" s="49">
        <f>AQ61*'Base Data'!$D$10</f>
        <v>13831.88397532554</v>
      </c>
      <c r="AS61" s="50">
        <f>IF(INT(('Base Data'!$D$7)/AR61)=0,0,INT(('Base Data'!$D$7)/AR61))</f>
        <v>1</v>
      </c>
      <c r="AT61" s="46">
        <f t="shared" si="23"/>
        <v>250</v>
      </c>
      <c r="AU61" s="39">
        <f t="shared" si="24"/>
        <v>1.4080461705773815E-2</v>
      </c>
      <c r="AV61" s="39">
        <f t="shared" si="11"/>
        <v>1.2720860035249363E-2</v>
      </c>
      <c r="AW61" s="39">
        <f t="shared" si="15"/>
        <v>1.2497692765675935E-2</v>
      </c>
      <c r="AX61" s="40">
        <f t="shared" si="19"/>
        <v>1.3471541113062969E-2</v>
      </c>
      <c r="AY61" s="52">
        <f t="shared" si="25"/>
        <v>69.900399999999536</v>
      </c>
      <c r="AZ61" s="41">
        <f t="shared" si="26"/>
        <v>8.5244390243901878E-3</v>
      </c>
      <c r="BA61" s="41">
        <f t="shared" si="12"/>
        <v>1.0529060722235152E-2</v>
      </c>
      <c r="BB61" s="41">
        <f t="shared" si="16"/>
        <v>9.5620570278731071E-3</v>
      </c>
      <c r="BC61" s="38">
        <f t="shared" si="20"/>
        <v>1.00584856820038E-2</v>
      </c>
    </row>
    <row r="62" spans="1:55" x14ac:dyDescent="0.25">
      <c r="A62" s="54"/>
      <c r="B62" s="54"/>
      <c r="C62" s="54"/>
      <c r="D62" s="54"/>
      <c r="E62" s="54"/>
      <c r="F62" s="54"/>
      <c r="G62" s="54"/>
      <c r="H62" s="54"/>
      <c r="I62" s="54"/>
      <c r="J62" s="54"/>
      <c r="K62" s="55"/>
      <c r="L62" s="37">
        <f t="shared" si="8"/>
        <v>59</v>
      </c>
      <c r="M62" s="16">
        <f>'[3]BANKNIFTY-I'!B360</f>
        <v>42541</v>
      </c>
      <c r="N62" s="17">
        <f>'[3]BANKNIFTY-I'!D360</f>
        <v>17465.25</v>
      </c>
      <c r="O62" s="17">
        <f>'[3]BANKNIFTY-I'!E360</f>
        <v>17795.550800000001</v>
      </c>
      <c r="P62" s="17">
        <f>'[3]BANKNIFTY-I'!F360</f>
        <v>17420.150399999999</v>
      </c>
      <c r="Q62" s="17">
        <f>'[3]BANKNIFTY-I'!G360</f>
        <v>17728.349600000001</v>
      </c>
      <c r="R62" s="18">
        <f>'[3]BANKNIFTY-I'!I360</f>
        <v>3744810</v>
      </c>
      <c r="S62" s="19">
        <f>'[4]NIFTY-I'!B360</f>
        <v>42541</v>
      </c>
      <c r="T62" s="20">
        <f>'[4]NIFTY-I'!D360</f>
        <v>8106</v>
      </c>
      <c r="U62" s="20">
        <f>'[4]NIFTY-I'!E360</f>
        <v>8262</v>
      </c>
      <c r="V62" s="20">
        <f>'[4]NIFTY-I'!F360</f>
        <v>8106</v>
      </c>
      <c r="W62" s="20">
        <f>'[4]NIFTY-I'!G360</f>
        <v>8251.9004000000004</v>
      </c>
      <c r="X62" s="21">
        <f>'[4]NIFTY-I'!I360</f>
        <v>15056550</v>
      </c>
      <c r="Y62" s="22"/>
      <c r="Z62" s="42">
        <f t="shared" si="27"/>
        <v>375.40040000000226</v>
      </c>
      <c r="AA62" s="47">
        <f t="shared" si="33"/>
        <v>289.42933121512846</v>
      </c>
      <c r="AB62" s="47">
        <f t="shared" si="9"/>
        <v>8682.8799364538536</v>
      </c>
      <c r="AC62" s="47">
        <f>AB62*'Base Data'!$D$13</f>
        <v>6512.1599523403902</v>
      </c>
      <c r="AD62" s="51">
        <f>IF(INT(('Base Data'!$D$7)/AC62)=0,0,INT(('Base Data'!$D$7)/AC62))</f>
        <v>3</v>
      </c>
      <c r="AE62" s="48">
        <f t="shared" si="28"/>
        <v>156</v>
      </c>
      <c r="AF62" s="49">
        <f t="shared" si="34"/>
        <v>109.06089996602333</v>
      </c>
      <c r="AG62" s="49">
        <f t="shared" si="10"/>
        <v>8179.5674974517497</v>
      </c>
      <c r="AH62" s="49">
        <f>AG62*'Base Data'!$D$13</f>
        <v>6134.6756230888122</v>
      </c>
      <c r="AI62" s="50">
        <f>IF(INT(('Base Data'!$D$7)/AH62)=0,0,INT(('Base Data'!$D$7)/AH62))</f>
        <v>4</v>
      </c>
      <c r="AJ62" s="42">
        <f t="shared" si="29"/>
        <v>375.40040000000226</v>
      </c>
      <c r="AK62" s="47">
        <f t="shared" si="21"/>
        <v>274.32583517131474</v>
      </c>
      <c r="AL62" s="47">
        <f t="shared" si="17"/>
        <v>8229.775055139442</v>
      </c>
      <c r="AM62" s="47">
        <f>AL62*'Base Data'!$D$10</f>
        <v>16459.550110278884</v>
      </c>
      <c r="AN62" s="51">
        <f>IF(INT(('Base Data'!$D$7)/AM62)=0,0,INT(('Base Data'!$D$7)/AM62))</f>
        <v>1</v>
      </c>
      <c r="AO62" s="44">
        <f t="shared" si="30"/>
        <v>156</v>
      </c>
      <c r="AP62" s="49">
        <f t="shared" si="22"/>
        <v>98.011418032275998</v>
      </c>
      <c r="AQ62" s="49">
        <f t="shared" si="18"/>
        <v>7350.8563524207002</v>
      </c>
      <c r="AR62" s="49">
        <f>AQ62*'Base Data'!$D$10</f>
        <v>14701.7127048414</v>
      </c>
      <c r="AS62" s="50">
        <f>IF(INT(('Base Data'!$D$7)/AR62)=0,0,INT(('Base Data'!$D$7)/AR62))</f>
        <v>1</v>
      </c>
      <c r="AT62" s="46">
        <f t="shared" si="23"/>
        <v>375.40040000000226</v>
      </c>
      <c r="AU62" s="39">
        <f t="shared" si="24"/>
        <v>2.1494132634803525E-2</v>
      </c>
      <c r="AV62" s="39">
        <f t="shared" si="11"/>
        <v>1.4244335722769806E-2</v>
      </c>
      <c r="AW62" s="39">
        <f t="shared" si="15"/>
        <v>1.3004074172713308E-2</v>
      </c>
      <c r="AX62" s="40">
        <f t="shared" si="19"/>
        <v>1.3939209660255884E-2</v>
      </c>
      <c r="AY62" s="52">
        <f t="shared" si="25"/>
        <v>156</v>
      </c>
      <c r="AZ62" s="41">
        <f t="shared" si="26"/>
        <v>1.924500370096225E-2</v>
      </c>
      <c r="BA62" s="41">
        <f t="shared" si="12"/>
        <v>1.2377539350827981E-2</v>
      </c>
      <c r="BB62" s="41">
        <f t="shared" si="16"/>
        <v>1.0605288081793274E-2</v>
      </c>
      <c r="BC62" s="38">
        <f t="shared" si="20"/>
        <v>1.0518608865811272E-2</v>
      </c>
    </row>
    <row r="63" spans="1:55" x14ac:dyDescent="0.25">
      <c r="A63" s="54"/>
      <c r="B63" s="54"/>
      <c r="C63" s="54"/>
      <c r="D63" s="54"/>
      <c r="E63" s="54"/>
      <c r="F63" s="54"/>
      <c r="G63" s="54"/>
      <c r="H63" s="54"/>
      <c r="I63" s="54"/>
      <c r="J63" s="54"/>
      <c r="K63" s="55"/>
      <c r="L63" s="37">
        <f t="shared" si="8"/>
        <v>60</v>
      </c>
      <c r="M63" s="16">
        <f>'[3]BANKNIFTY-I'!B361</f>
        <v>42542</v>
      </c>
      <c r="N63" s="17">
        <f>'[3]BANKNIFTY-I'!D361</f>
        <v>17715.300800000001</v>
      </c>
      <c r="O63" s="17">
        <f>'[3]BANKNIFTY-I'!E361</f>
        <v>17754.849600000001</v>
      </c>
      <c r="P63" s="17">
        <f>'[3]BANKNIFTY-I'!F361</f>
        <v>17603</v>
      </c>
      <c r="Q63" s="17">
        <f>'[3]BANKNIFTY-I'!G361</f>
        <v>17623.099600000001</v>
      </c>
      <c r="R63" s="18">
        <f>'[3]BANKNIFTY-I'!I361</f>
        <v>2220210</v>
      </c>
      <c r="S63" s="19">
        <f>'[4]NIFTY-I'!B361</f>
        <v>42542</v>
      </c>
      <c r="T63" s="20">
        <f>'[4]NIFTY-I'!D361</f>
        <v>8251.1504000000004</v>
      </c>
      <c r="U63" s="20">
        <f>'[4]NIFTY-I'!E361</f>
        <v>8253</v>
      </c>
      <c r="V63" s="20">
        <f>'[4]NIFTY-I'!F361</f>
        <v>8205.7998000000007</v>
      </c>
      <c r="W63" s="20">
        <f>'[4]NIFTY-I'!G361</f>
        <v>8225.0995999999996</v>
      </c>
      <c r="X63" s="21">
        <f>'[4]NIFTY-I'!I361</f>
        <v>7624425</v>
      </c>
      <c r="Y63" s="22"/>
      <c r="Z63" s="42">
        <f t="shared" si="27"/>
        <v>151.84960000000137</v>
      </c>
      <c r="AA63" s="47">
        <f t="shared" si="33"/>
        <v>258.85605761176691</v>
      </c>
      <c r="AB63" s="47">
        <f t="shared" si="9"/>
        <v>7765.6817283530072</v>
      </c>
      <c r="AC63" s="47">
        <f>AB63*'Base Data'!$D$13</f>
        <v>5824.2612962647554</v>
      </c>
      <c r="AD63" s="51">
        <f>IF(INT(('Base Data'!$D$7)/AC63)=0,0,INT(('Base Data'!$D$7)/AC63))</f>
        <v>4</v>
      </c>
      <c r="AE63" s="48">
        <f t="shared" si="28"/>
        <v>47.200199999999313</v>
      </c>
      <c r="AF63" s="49">
        <f t="shared" si="34"/>
        <v>95.31407775135132</v>
      </c>
      <c r="AG63" s="49">
        <f t="shared" si="10"/>
        <v>7148.5558313513493</v>
      </c>
      <c r="AH63" s="49">
        <f>AG63*'Base Data'!$D$13</f>
        <v>5361.4168735135117</v>
      </c>
      <c r="AI63" s="50">
        <f>IF(INT(('Base Data'!$D$7)/AH63)=0,0,INT(('Base Data'!$D$7)/AH63))</f>
        <v>4</v>
      </c>
      <c r="AJ63" s="42">
        <f t="shared" si="29"/>
        <v>151.84960000000137</v>
      </c>
      <c r="AK63" s="47">
        <f t="shared" si="21"/>
        <v>263.1916319739226</v>
      </c>
      <c r="AL63" s="47">
        <f t="shared" si="17"/>
        <v>7895.748959217678</v>
      </c>
      <c r="AM63" s="47">
        <f>AL63*'Base Data'!$D$10</f>
        <v>15791.497918435356</v>
      </c>
      <c r="AN63" s="51">
        <f>IF(INT(('Base Data'!$D$7)/AM63)=0,0,INT(('Base Data'!$D$7)/AM63))</f>
        <v>1</v>
      </c>
      <c r="AO63" s="44">
        <f t="shared" si="30"/>
        <v>47.200199999999313</v>
      </c>
      <c r="AP63" s="49">
        <f t="shared" si="22"/>
        <v>93.392216392978114</v>
      </c>
      <c r="AQ63" s="49">
        <f t="shared" si="18"/>
        <v>7004.4162294733587</v>
      </c>
      <c r="AR63" s="49">
        <f>AQ63*'Base Data'!$D$10</f>
        <v>14008.832458946717</v>
      </c>
      <c r="AS63" s="50">
        <f>IF(INT(('Base Data'!$D$7)/AR63)=0,0,INT(('Base Data'!$D$7)/AR63))</f>
        <v>1</v>
      </c>
      <c r="AT63" s="46">
        <f t="shared" si="23"/>
        <v>151.84960000000137</v>
      </c>
      <c r="AU63" s="39">
        <f t="shared" si="24"/>
        <v>8.5716636547318106E-3</v>
      </c>
      <c r="AV63" s="39">
        <f t="shared" si="11"/>
        <v>1.4006560990027665E-2</v>
      </c>
      <c r="AW63" s="39">
        <f t="shared" si="15"/>
        <v>1.247178481635757E-2</v>
      </c>
      <c r="AX63" s="40">
        <f t="shared" si="19"/>
        <v>1.3637036823191557E-2</v>
      </c>
      <c r="AY63" s="52">
        <f t="shared" si="25"/>
        <v>47.200199999999313</v>
      </c>
      <c r="AZ63" s="41">
        <f t="shared" si="26"/>
        <v>5.7204386917973655E-3</v>
      </c>
      <c r="BA63" s="41">
        <f t="shared" si="12"/>
        <v>1.1720398854853067E-2</v>
      </c>
      <c r="BB63" s="41">
        <f t="shared" si="16"/>
        <v>1.0174885457786617E-2</v>
      </c>
      <c r="BC63" s="38">
        <f t="shared" si="20"/>
        <v>1.0305491657635031E-2</v>
      </c>
    </row>
    <row r="64" spans="1:55" ht="12" thickBot="1" x14ac:dyDescent="0.3">
      <c r="A64" s="54"/>
      <c r="B64" s="54"/>
      <c r="C64" s="54"/>
      <c r="D64" s="54"/>
      <c r="E64" s="54"/>
      <c r="F64" s="54"/>
      <c r="G64" s="54"/>
      <c r="H64" s="54"/>
      <c r="I64" s="54"/>
      <c r="J64" s="54"/>
      <c r="K64" s="55"/>
      <c r="L64" s="65"/>
      <c r="M64" s="66"/>
      <c r="N64" s="67"/>
      <c r="O64" s="67"/>
      <c r="P64" s="67"/>
      <c r="Q64" s="68"/>
      <c r="R64" s="69"/>
      <c r="S64" s="70"/>
      <c r="T64" s="67"/>
      <c r="U64" s="67"/>
      <c r="V64" s="67"/>
      <c r="W64" s="68"/>
      <c r="X64" s="69"/>
      <c r="Z64" s="76"/>
      <c r="AA64" s="75"/>
      <c r="AB64" s="75"/>
      <c r="AC64" s="75"/>
      <c r="AD64" s="77"/>
      <c r="AE64" s="78"/>
      <c r="AF64" s="75"/>
      <c r="AG64" s="75"/>
      <c r="AH64" s="75"/>
      <c r="AI64" s="74"/>
      <c r="AJ64" s="76"/>
      <c r="AK64" s="75"/>
      <c r="AL64" s="75"/>
      <c r="AM64" s="75"/>
      <c r="AN64" s="77"/>
      <c r="AO64" s="76"/>
      <c r="AP64" s="75"/>
      <c r="AQ64" s="75"/>
      <c r="AR64" s="75"/>
      <c r="AS64" s="74"/>
      <c r="AT64" s="79"/>
      <c r="AU64" s="72"/>
      <c r="AV64" s="72"/>
      <c r="AW64" s="72"/>
      <c r="AX64" s="73"/>
      <c r="AY64" s="79"/>
      <c r="AZ64" s="72"/>
      <c r="BA64" s="72"/>
      <c r="BB64" s="72"/>
      <c r="BC64" s="73"/>
    </row>
    <row r="65" spans="1:55" x14ac:dyDescent="0.25">
      <c r="A65" s="54"/>
      <c r="B65" s="54"/>
      <c r="C65" s="54"/>
      <c r="D65" s="54"/>
      <c r="E65" s="54"/>
      <c r="F65" s="54"/>
      <c r="G65" s="54"/>
      <c r="H65" s="54"/>
      <c r="I65" s="54"/>
      <c r="J65" s="54"/>
      <c r="K65" s="55"/>
      <c r="L65" s="15">
        <f>L63+1</f>
        <v>61</v>
      </c>
      <c r="M65" s="16">
        <f ca="1">NOW()</f>
        <v>45353.030630787034</v>
      </c>
      <c r="N65" s="80">
        <f>VLOOKUP(D5,[1]NOW!$A:$O,9,FALSE)</f>
        <v>17600</v>
      </c>
      <c r="O65" s="80">
        <f>VLOOKUP(D5,[1]NOW!$A:$O,10,FALSE)</f>
        <v>17765.650000000001</v>
      </c>
      <c r="P65" s="80">
        <f>VLOOKUP(D5,[1]NOW!$A:$O,11,FALSE)</f>
        <v>17500</v>
      </c>
      <c r="Q65" s="81">
        <f>D4</f>
        <v>17551</v>
      </c>
      <c r="R65" s="82">
        <f>VLOOKUP(D5,[1]NOW!$A:$O,15,FALSE)</f>
        <v>2286630</v>
      </c>
      <c r="S65" s="19">
        <f ca="1">NOW()</f>
        <v>45353.030630787034</v>
      </c>
      <c r="T65" s="83">
        <f>VLOOKUP(E5,[1]NOW!$A:$O,9,FALSE)</f>
        <v>8226.85</v>
      </c>
      <c r="U65" s="83">
        <f>VLOOKUP(E5,[1]NOW!$A:$O,10,FALSE)</f>
        <v>8253.25</v>
      </c>
      <c r="V65" s="83">
        <f>VLOOKUP(E5,[1]NOW!$A:$O,11,FALSE)</f>
        <v>8154</v>
      </c>
      <c r="W65" s="84">
        <f>E4</f>
        <v>8183.2</v>
      </c>
      <c r="X65" s="85">
        <f>VLOOKUP(E5,[1]NOW!$A:$O,15,FALSE)</f>
        <v>7856325</v>
      </c>
      <c r="Y65" s="86"/>
      <c r="Z65" s="42">
        <f>MAX(O65-P65,ABS(O65-Q63),ABS(Q63-P65))</f>
        <v>265.65000000000146</v>
      </c>
      <c r="AA65" s="17">
        <f>((Z65-AA63)*(2/(1+8)))+AA63</f>
        <v>260.36582258693016</v>
      </c>
      <c r="AB65" s="17">
        <f>AA65*$F$4</f>
        <v>7810.9746776079046</v>
      </c>
      <c r="AC65" s="17">
        <f>AB65*'Base Data'!$D$13</f>
        <v>5858.2310082059284</v>
      </c>
      <c r="AD65" s="27">
        <f>IF(INT(('Base Data'!$D$7)/AC65)=0,0,INT(('Base Data'!$D$7)/AC65))</f>
        <v>4</v>
      </c>
      <c r="AE65" s="48">
        <f>MAX(U65-V65,ABS(U65-W63),ABS(W63-V65))</f>
        <v>99.25</v>
      </c>
      <c r="AF65" s="20">
        <f>((AE65-AF63)*(2/(1+8)))+AF63</f>
        <v>96.188727139939914</v>
      </c>
      <c r="AG65" s="20">
        <f>AF65*$G$4</f>
        <v>7214.1545354954933</v>
      </c>
      <c r="AH65" s="20">
        <f>AG65*'Base Data'!$D$13</f>
        <v>5410.6159016216197</v>
      </c>
      <c r="AI65" s="28">
        <f>IF(INT(('Base Data'!$D$7)/AH65)=0,0,INT(('Base Data'!$D$7)/AH65))</f>
        <v>4</v>
      </c>
      <c r="AJ65" s="23">
        <f>MAX(O65-P65,ABS(O65-Q63),ABS(Q63-P65))</f>
        <v>265.65000000000146</v>
      </c>
      <c r="AK65" s="17">
        <f>((AJ65-AK63)*(2/(1+21)))+AK63</f>
        <v>263.4151199762934</v>
      </c>
      <c r="AL65" s="17">
        <f>AK65*$F$4</f>
        <v>7902.4535992888023</v>
      </c>
      <c r="AM65" s="17">
        <f>AL65*'Base Data'!$D$10</f>
        <v>15804.907198577605</v>
      </c>
      <c r="AN65" s="27">
        <f>IF(INT(('Base Data'!$D$7)/AM65)=0,0,INT(('Base Data'!$D$7)/AM65))</f>
        <v>1</v>
      </c>
      <c r="AO65" s="24">
        <f>MAX(U65-V65,ABS(U65-W63),ABS(W63-V65))</f>
        <v>99.25</v>
      </c>
      <c r="AP65" s="20">
        <f>((AO65-AP63)*(2/(1+21)))+AP63</f>
        <v>93.924742175434645</v>
      </c>
      <c r="AQ65" s="20">
        <f>AP65*$G$4</f>
        <v>7044.3556631575984</v>
      </c>
      <c r="AR65" s="20">
        <f>AQ65*'Base Data'!$D$10</f>
        <v>14088.711326315197</v>
      </c>
      <c r="AS65" s="28">
        <f>IF(INT(('Base Data'!$D$7)/AR65)=0,0,INT(('Base Data'!$D$7)/AR65))</f>
        <v>1</v>
      </c>
      <c r="AT65" s="25">
        <f>(O65-P65)</f>
        <v>265.65000000000146</v>
      </c>
      <c r="AU65" s="29">
        <f>AT65/N65</f>
        <v>1.5093750000000083E-2</v>
      </c>
      <c r="AV65" s="87">
        <f>AVERAGE(AU57:AU65)</f>
        <v>1.3957532549016426E-2</v>
      </c>
      <c r="AW65" s="87">
        <f>AVERAGE(AU52:AU65)</f>
        <v>1.3093817078898024E-2</v>
      </c>
      <c r="AX65" s="88">
        <f>AVERAGE(AU44:AU65)</f>
        <v>1.3935545163171217E-2</v>
      </c>
      <c r="AY65" s="31">
        <f>(U65-V65)</f>
        <v>99.25</v>
      </c>
      <c r="AZ65" s="32">
        <f>AY65/T65</f>
        <v>1.2064155782589934E-2</v>
      </c>
      <c r="BA65" s="87">
        <f>AVERAGE(AZ57:AZ65)</f>
        <v>1.1279247725866814E-2</v>
      </c>
      <c r="BB65" s="87">
        <f>AVERAGE(AZ52:AZ65)</f>
        <v>1.0628939303018373E-2</v>
      </c>
      <c r="BC65" s="88">
        <f>AVERAGE(AZ44:AZ65)</f>
        <v>1.0592511583855765E-2</v>
      </c>
    </row>
    <row r="66" spans="1:55" ht="12" thickBot="1" x14ac:dyDescent="0.3">
      <c r="A66" s="54"/>
      <c r="B66" s="54"/>
      <c r="C66" s="54"/>
      <c r="D66" s="54"/>
      <c r="E66" s="54"/>
      <c r="F66" s="54"/>
      <c r="G66" s="54"/>
      <c r="H66" s="54"/>
      <c r="I66" s="54"/>
      <c r="J66" s="54"/>
      <c r="K66" s="55"/>
      <c r="L66" s="65"/>
      <c r="M66" s="66"/>
      <c r="N66" s="68"/>
      <c r="O66" s="68"/>
      <c r="P66" s="68"/>
      <c r="Q66" s="68"/>
      <c r="R66" s="71"/>
      <c r="S66" s="70"/>
      <c r="T66" s="68"/>
      <c r="U66" s="68"/>
      <c r="V66" s="68"/>
      <c r="W66" s="68"/>
      <c r="X66" s="71"/>
      <c r="Z66" s="76"/>
      <c r="AA66" s="90" t="s">
        <v>25</v>
      </c>
      <c r="AB66" s="90" t="s">
        <v>26</v>
      </c>
      <c r="AC66" s="68"/>
      <c r="AD66" s="91"/>
      <c r="AE66" s="78"/>
      <c r="AF66" s="90" t="s">
        <v>25</v>
      </c>
      <c r="AG66" s="90" t="s">
        <v>26</v>
      </c>
      <c r="AH66" s="68"/>
      <c r="AI66" s="71"/>
      <c r="AJ66" s="76"/>
      <c r="AK66" s="90" t="s">
        <v>25</v>
      </c>
      <c r="AL66" s="90" t="s">
        <v>26</v>
      </c>
      <c r="AM66" s="68"/>
      <c r="AN66" s="91"/>
      <c r="AO66" s="76"/>
      <c r="AP66" s="90" t="s">
        <v>25</v>
      </c>
      <c r="AQ66" s="90" t="s">
        <v>26</v>
      </c>
      <c r="AR66" s="68"/>
      <c r="AS66" s="71"/>
      <c r="AT66" s="92"/>
      <c r="AU66" s="90" t="s">
        <v>27</v>
      </c>
      <c r="AV66" s="93"/>
      <c r="AW66" s="93"/>
      <c r="AX66" s="91"/>
      <c r="AY66" s="92"/>
      <c r="AZ66" s="90" t="s">
        <v>27</v>
      </c>
      <c r="BA66" s="93"/>
      <c r="BB66" s="93"/>
      <c r="BC66" s="91"/>
    </row>
    <row r="67" spans="1:55" x14ac:dyDescent="0.25">
      <c r="A67" s="54"/>
      <c r="B67" s="54"/>
      <c r="C67" s="54"/>
      <c r="D67" s="54"/>
      <c r="E67" s="54"/>
      <c r="F67" s="54"/>
      <c r="G67" s="54"/>
      <c r="H67" s="54"/>
      <c r="I67" s="54"/>
      <c r="J67" s="54"/>
      <c r="K67" s="55"/>
      <c r="L67" s="94"/>
      <c r="M67" s="95"/>
      <c r="N67" s="96"/>
      <c r="O67" s="96"/>
      <c r="P67" s="96"/>
      <c r="Q67" s="97" t="s">
        <v>28</v>
      </c>
      <c r="R67" s="98">
        <f>AVERAGE(R51:R63)</f>
        <v>3111553.846153846</v>
      </c>
      <c r="S67" s="99"/>
      <c r="T67" s="100"/>
      <c r="U67" s="100"/>
      <c r="V67" s="100"/>
      <c r="W67" s="101" t="s">
        <v>28</v>
      </c>
      <c r="X67" s="98">
        <f>AVERAGE(X51:X63)</f>
        <v>11331138.538461538</v>
      </c>
      <c r="Y67" s="102"/>
      <c r="Z67" s="103"/>
      <c r="AA67" s="105">
        <f>MAX(AA12:AA63)</f>
        <v>382.15624946296066</v>
      </c>
      <c r="AB67" s="105">
        <f>MIN(AA12:AA63)</f>
        <v>212.78598549618971</v>
      </c>
      <c r="AC67" s="106"/>
      <c r="AD67" s="107"/>
      <c r="AE67" s="104"/>
      <c r="AF67" s="105">
        <f>MAX(AF12:AF63)</f>
        <v>120.89863346529464</v>
      </c>
      <c r="AG67" s="105">
        <f>MIN(AF12:AF63)</f>
        <v>67.044737673220268</v>
      </c>
      <c r="AH67" s="108"/>
      <c r="AI67" s="109"/>
      <c r="AJ67" s="103"/>
      <c r="AK67" s="105">
        <f>MAX(AK12:AK63)</f>
        <v>334.22889981175786</v>
      </c>
      <c r="AL67" s="105">
        <f>MIN(AK12:AK63)</f>
        <v>0</v>
      </c>
      <c r="AM67" s="106"/>
      <c r="AN67" s="107"/>
      <c r="AO67" s="113"/>
      <c r="AP67" s="105">
        <f>MAX(AP12:AP63)</f>
        <v>106.41105791443547</v>
      </c>
      <c r="AQ67" s="105">
        <f>MIN(AP12:AP63)</f>
        <v>0</v>
      </c>
      <c r="AR67" s="108"/>
      <c r="AS67" s="109"/>
      <c r="AT67" s="110"/>
      <c r="AU67" s="111">
        <f>AVERAGE(AU4:AU63)</f>
        <v>1.624051949351402E-2</v>
      </c>
      <c r="AV67" s="112"/>
      <c r="AW67" s="112"/>
      <c r="AX67" s="107"/>
      <c r="AY67" s="31"/>
      <c r="AZ67" s="111">
        <f>AVERAGE(AZ4:AZ63)</f>
        <v>1.1328733007710149E-2</v>
      </c>
      <c r="BA67" s="32"/>
      <c r="BB67" s="32"/>
      <c r="BC67" s="33"/>
    </row>
    <row r="68" spans="1:55" ht="12" thickBot="1" x14ac:dyDescent="0.3">
      <c r="A68" s="54"/>
      <c r="B68" s="54"/>
      <c r="C68" s="54"/>
      <c r="D68" s="54"/>
      <c r="E68" s="54"/>
      <c r="F68" s="54"/>
      <c r="G68" s="54"/>
      <c r="H68" s="54"/>
      <c r="I68" s="54"/>
      <c r="J68" s="54"/>
      <c r="K68" s="55"/>
      <c r="L68" s="114"/>
      <c r="M68" s="115"/>
      <c r="N68" s="116"/>
      <c r="O68" s="116"/>
      <c r="P68" s="116"/>
      <c r="Q68" s="72"/>
      <c r="R68" s="89"/>
      <c r="S68" s="117"/>
      <c r="T68" s="116"/>
      <c r="U68" s="116"/>
      <c r="V68" s="116"/>
      <c r="W68" s="72"/>
      <c r="X68" s="89"/>
      <c r="Y68" s="102"/>
      <c r="Z68" s="76"/>
      <c r="AA68" s="90" t="s">
        <v>25</v>
      </c>
      <c r="AB68" s="90" t="s">
        <v>26</v>
      </c>
      <c r="AC68" s="68"/>
      <c r="AD68" s="91"/>
      <c r="AE68" s="78"/>
      <c r="AF68" s="90" t="s">
        <v>25</v>
      </c>
      <c r="AG68" s="90" t="s">
        <v>26</v>
      </c>
      <c r="AH68" s="68"/>
      <c r="AI68" s="71"/>
      <c r="AJ68" s="76"/>
      <c r="AK68" s="90" t="s">
        <v>25</v>
      </c>
      <c r="AL68" s="90" t="s">
        <v>26</v>
      </c>
      <c r="AM68" s="68"/>
      <c r="AN68" s="91"/>
      <c r="AO68" s="76"/>
      <c r="AP68" s="90" t="s">
        <v>25</v>
      </c>
      <c r="AQ68" s="90" t="s">
        <v>26</v>
      </c>
      <c r="AR68" s="68"/>
      <c r="AS68" s="71"/>
      <c r="AT68" s="92"/>
      <c r="AU68" s="90" t="s">
        <v>29</v>
      </c>
      <c r="AV68" s="93"/>
      <c r="AW68" s="93"/>
      <c r="AX68" s="91"/>
      <c r="AY68" s="92"/>
      <c r="AZ68" s="90" t="s">
        <v>29</v>
      </c>
      <c r="BA68" s="93"/>
      <c r="BB68" s="93"/>
      <c r="BC68" s="91"/>
    </row>
    <row r="69" spans="1:55" x14ac:dyDescent="0.25">
      <c r="A69" s="54"/>
      <c r="B69" s="54"/>
      <c r="C69" s="54"/>
      <c r="D69" s="54"/>
      <c r="E69" s="54"/>
      <c r="F69" s="54"/>
      <c r="G69" s="54"/>
      <c r="H69" s="54"/>
      <c r="I69" s="54"/>
      <c r="J69" s="54"/>
      <c r="K69" s="55"/>
      <c r="L69" s="94"/>
      <c r="M69" s="95"/>
      <c r="N69" s="96"/>
      <c r="O69" s="96"/>
      <c r="P69" s="96"/>
      <c r="Q69" s="97" t="s">
        <v>28</v>
      </c>
      <c r="R69" s="98">
        <f>AVERAGE(R52:R65)</f>
        <v>3109234.6153846155</v>
      </c>
      <c r="S69" s="99"/>
      <c r="T69" s="100"/>
      <c r="U69" s="100"/>
      <c r="V69" s="100"/>
      <c r="W69" s="101" t="s">
        <v>28</v>
      </c>
      <c r="X69" s="98">
        <f>AVERAGE(X52:X65)</f>
        <v>11289998.153846154</v>
      </c>
      <c r="Y69" s="102"/>
      <c r="Z69" s="103"/>
      <c r="AA69" s="105">
        <f>MAX(AA12:AA65)</f>
        <v>382.15624946296066</v>
      </c>
      <c r="AB69" s="105">
        <f>MIN(AA12:AA65)</f>
        <v>212.78598549618971</v>
      </c>
      <c r="AC69" s="106"/>
      <c r="AD69" s="107"/>
      <c r="AE69" s="104"/>
      <c r="AF69" s="105">
        <f>MAX(AF12:AF65)</f>
        <v>120.89863346529464</v>
      </c>
      <c r="AG69" s="105">
        <f>MIN(AF12:AF65)</f>
        <v>67.044737673220268</v>
      </c>
      <c r="AH69" s="108"/>
      <c r="AI69" s="109"/>
      <c r="AJ69" s="103"/>
      <c r="AK69" s="105">
        <f>MAX(AK12:AK65)</f>
        <v>334.22889981175786</v>
      </c>
      <c r="AL69" s="105">
        <f>MIN(AK12:AK65)</f>
        <v>0</v>
      </c>
      <c r="AM69" s="106"/>
      <c r="AN69" s="107"/>
      <c r="AO69" s="113"/>
      <c r="AP69" s="105">
        <f>MAX(AP12:AP65)</f>
        <v>106.41105791443547</v>
      </c>
      <c r="AQ69" s="105">
        <f>MIN(AP12:AP65)</f>
        <v>0</v>
      </c>
      <c r="AR69" s="108"/>
      <c r="AS69" s="109"/>
      <c r="AT69" s="110"/>
      <c r="AU69" s="111">
        <f>AVERAGE(AU5:AU65)</f>
        <v>1.6332233947198158E-2</v>
      </c>
      <c r="AV69" s="112"/>
      <c r="AW69" s="112"/>
      <c r="AX69" s="107"/>
      <c r="AY69" s="31"/>
      <c r="AZ69" s="111">
        <f>AVERAGE(AZ5:AZ65)</f>
        <v>1.1381795018922879E-2</v>
      </c>
      <c r="BA69" s="32"/>
      <c r="BB69" s="32"/>
      <c r="BC69" s="33"/>
    </row>
    <row r="70" spans="1:55" ht="12" thickBot="1" x14ac:dyDescent="0.3">
      <c r="A70" s="54"/>
      <c r="B70" s="54"/>
      <c r="C70" s="54"/>
      <c r="D70" s="54"/>
      <c r="E70" s="54"/>
      <c r="F70" s="54"/>
      <c r="G70" s="54"/>
      <c r="H70" s="54"/>
      <c r="I70" s="54"/>
      <c r="J70" s="54"/>
      <c r="K70" s="55"/>
      <c r="L70" s="114"/>
      <c r="M70" s="115"/>
      <c r="N70" s="116"/>
      <c r="O70" s="116"/>
      <c r="P70" s="116"/>
      <c r="Q70" s="116"/>
      <c r="R70" s="118"/>
      <c r="S70" s="117"/>
      <c r="T70" s="116"/>
      <c r="U70" s="116"/>
      <c r="V70" s="116"/>
      <c r="W70" s="116"/>
      <c r="X70" s="118"/>
      <c r="Y70" s="102"/>
      <c r="Z70" s="76"/>
      <c r="AA70" s="68"/>
      <c r="AB70" s="68"/>
      <c r="AC70" s="68"/>
      <c r="AD70" s="91"/>
      <c r="AE70" s="78"/>
      <c r="AF70" s="68"/>
      <c r="AG70" s="68"/>
      <c r="AH70" s="68"/>
      <c r="AI70" s="71"/>
      <c r="AJ70" s="76"/>
      <c r="AK70" s="68"/>
      <c r="AL70" s="68"/>
      <c r="AM70" s="68"/>
      <c r="AN70" s="91"/>
      <c r="AO70" s="76"/>
      <c r="AP70" s="68"/>
      <c r="AQ70" s="68"/>
      <c r="AR70" s="68"/>
      <c r="AS70" s="71"/>
      <c r="AT70" s="92"/>
      <c r="AU70" s="93"/>
      <c r="AV70" s="93"/>
      <c r="AW70" s="93"/>
      <c r="AX70" s="91"/>
      <c r="AY70" s="92"/>
      <c r="AZ70" s="93"/>
      <c r="BA70" s="93"/>
      <c r="BB70" s="93"/>
      <c r="BC70" s="91"/>
    </row>
    <row r="71" spans="1:55" x14ac:dyDescent="0.25">
      <c r="A71" s="54"/>
      <c r="B71" s="54"/>
      <c r="C71" s="54"/>
      <c r="D71" s="54"/>
      <c r="E71" s="54"/>
      <c r="F71" s="54"/>
      <c r="G71" s="54"/>
      <c r="H71" s="54"/>
      <c r="I71" s="54"/>
      <c r="J71" s="54"/>
      <c r="AD71" s="119"/>
      <c r="AN71" s="119"/>
    </row>
    <row r="72" spans="1:55" x14ac:dyDescent="0.25">
      <c r="A72" s="54"/>
      <c r="B72" s="54"/>
      <c r="C72" s="54"/>
      <c r="D72" s="54"/>
      <c r="E72" s="54"/>
      <c r="F72" s="54"/>
      <c r="G72" s="54"/>
      <c r="H72" s="54"/>
      <c r="I72" s="54"/>
      <c r="J72" s="54"/>
      <c r="K72" s="120"/>
      <c r="M72" s="121"/>
      <c r="N72" s="120"/>
      <c r="O72" s="120"/>
      <c r="P72" s="120"/>
      <c r="Q72" s="120"/>
      <c r="S72" s="120"/>
      <c r="T72" s="120"/>
      <c r="U72" s="120"/>
      <c r="V72" s="120"/>
      <c r="W72" s="120"/>
      <c r="AD72" s="119"/>
      <c r="AN72" s="119"/>
    </row>
    <row r="73" spans="1:55" x14ac:dyDescent="0.25">
      <c r="A73" s="54"/>
      <c r="B73" s="54"/>
      <c r="C73" s="54"/>
      <c r="D73" s="54"/>
      <c r="E73" s="54"/>
      <c r="F73" s="54"/>
      <c r="G73" s="54"/>
      <c r="H73" s="54"/>
      <c r="I73" s="54"/>
      <c r="J73" s="54"/>
      <c r="K73" s="120"/>
      <c r="M73" s="119"/>
      <c r="N73" s="120"/>
      <c r="O73" s="120"/>
      <c r="P73" s="120"/>
      <c r="Q73" s="120"/>
      <c r="S73" s="120"/>
      <c r="T73" s="120"/>
      <c r="U73" s="120"/>
      <c r="V73" s="120"/>
      <c r="W73" s="120"/>
      <c r="AD73" s="119"/>
      <c r="AN73" s="119"/>
    </row>
    <row r="74" spans="1:55" x14ac:dyDescent="0.25">
      <c r="A74" s="54"/>
      <c r="B74" s="54"/>
      <c r="C74" s="54"/>
      <c r="D74" s="54"/>
      <c r="E74" s="54"/>
      <c r="F74" s="54"/>
      <c r="G74" s="54"/>
      <c r="H74" s="54"/>
      <c r="I74" s="54"/>
      <c r="J74" s="54"/>
      <c r="K74" s="120"/>
      <c r="M74" s="119"/>
      <c r="N74" s="120"/>
      <c r="O74" s="120"/>
      <c r="P74" s="120"/>
      <c r="Q74" s="120"/>
      <c r="S74" s="120"/>
      <c r="T74" s="120"/>
      <c r="U74" s="120"/>
      <c r="V74" s="120"/>
      <c r="W74" s="120"/>
      <c r="AD74" s="119"/>
      <c r="AN74" s="119"/>
    </row>
    <row r="75" spans="1:55" x14ac:dyDescent="0.25">
      <c r="A75" s="54"/>
      <c r="B75" s="54"/>
      <c r="C75" s="54"/>
      <c r="D75" s="54"/>
      <c r="E75" s="54"/>
      <c r="F75" s="54"/>
      <c r="G75" s="54"/>
      <c r="H75" s="54"/>
      <c r="I75" s="54"/>
      <c r="J75" s="54"/>
      <c r="K75" s="120"/>
      <c r="M75" s="119"/>
      <c r="N75" s="120"/>
      <c r="O75" s="120"/>
      <c r="P75" s="120"/>
      <c r="Q75" s="120"/>
      <c r="S75" s="120"/>
      <c r="T75" s="120"/>
      <c r="U75" s="120"/>
      <c r="V75" s="120"/>
      <c r="W75" s="120"/>
      <c r="AD75" s="119"/>
      <c r="AN75" s="119"/>
    </row>
    <row r="76" spans="1:55" x14ac:dyDescent="0.25">
      <c r="A76" s="54"/>
      <c r="B76" s="54"/>
      <c r="C76" s="54"/>
      <c r="D76" s="54"/>
      <c r="E76" s="54"/>
      <c r="F76" s="54"/>
      <c r="G76" s="54"/>
      <c r="H76" s="54"/>
      <c r="I76" s="54"/>
      <c r="J76" s="54"/>
      <c r="S76" s="120"/>
      <c r="AD76" s="119"/>
      <c r="AN76" s="119"/>
    </row>
    <row r="77" spans="1:55" x14ac:dyDescent="0.25">
      <c r="A77" s="54"/>
      <c r="B77" s="54"/>
      <c r="C77" s="54"/>
      <c r="D77" s="54"/>
      <c r="E77" s="54"/>
      <c r="F77" s="54"/>
      <c r="G77" s="54"/>
      <c r="H77" s="54"/>
      <c r="I77" s="54"/>
      <c r="J77" s="54"/>
      <c r="K77" s="120"/>
      <c r="M77" s="121"/>
      <c r="N77" s="120"/>
      <c r="O77" s="120"/>
      <c r="P77" s="120"/>
      <c r="Q77" s="120"/>
      <c r="R77" s="120"/>
      <c r="S77" s="120"/>
      <c r="T77" s="120"/>
      <c r="U77" s="120"/>
      <c r="V77" s="120"/>
      <c r="W77" s="120"/>
      <c r="AD77" s="119"/>
      <c r="AN77" s="119"/>
    </row>
    <row r="78" spans="1:55" x14ac:dyDescent="0.25">
      <c r="A78" s="54"/>
      <c r="B78" s="54"/>
      <c r="C78" s="54"/>
      <c r="D78" s="54"/>
      <c r="E78" s="54"/>
      <c r="F78" s="54"/>
      <c r="G78" s="54"/>
      <c r="H78" s="54"/>
      <c r="I78" s="54"/>
      <c r="J78" s="54"/>
      <c r="K78" s="120"/>
      <c r="M78" s="119"/>
      <c r="N78" s="120"/>
      <c r="O78" s="120"/>
      <c r="P78" s="120"/>
      <c r="Q78" s="120"/>
      <c r="R78" s="120"/>
      <c r="S78" s="120"/>
      <c r="T78" s="120"/>
      <c r="U78" s="120"/>
      <c r="V78" s="120"/>
      <c r="W78" s="120"/>
      <c r="AD78" s="119"/>
      <c r="AN78" s="119"/>
    </row>
    <row r="79" spans="1:55" x14ac:dyDescent="0.25">
      <c r="A79" s="54"/>
      <c r="B79" s="54"/>
      <c r="C79" s="54"/>
      <c r="D79" s="54"/>
      <c r="E79" s="54"/>
      <c r="F79" s="54"/>
      <c r="G79" s="54"/>
      <c r="H79" s="54"/>
      <c r="I79" s="54"/>
      <c r="J79" s="54"/>
      <c r="K79" s="120"/>
      <c r="M79" s="119"/>
      <c r="N79" s="120"/>
      <c r="O79" s="120"/>
      <c r="P79" s="120"/>
      <c r="Q79" s="120"/>
      <c r="R79" s="120"/>
      <c r="S79" s="120"/>
      <c r="T79" s="120"/>
      <c r="U79" s="120"/>
      <c r="V79" s="120"/>
      <c r="W79" s="120"/>
      <c r="AD79" s="119"/>
      <c r="AN79" s="119"/>
    </row>
    <row r="80" spans="1:55" x14ac:dyDescent="0.25">
      <c r="A80" s="54"/>
      <c r="B80" s="54"/>
      <c r="C80" s="54"/>
      <c r="D80" s="54"/>
      <c r="E80" s="54"/>
      <c r="F80" s="54"/>
      <c r="G80" s="54"/>
      <c r="H80" s="54"/>
      <c r="I80" s="54"/>
      <c r="J80" s="54"/>
      <c r="K80" s="120"/>
      <c r="M80" s="119"/>
      <c r="N80" s="120"/>
      <c r="O80" s="120"/>
      <c r="P80" s="120"/>
      <c r="Q80" s="120"/>
      <c r="R80" s="120"/>
      <c r="S80" s="120"/>
      <c r="T80" s="120"/>
      <c r="U80" s="120"/>
      <c r="V80" s="120"/>
      <c r="W80" s="120"/>
      <c r="AD80" s="119"/>
      <c r="AN80" s="119"/>
    </row>
    <row r="81" spans="1:40" x14ac:dyDescent="0.25">
      <c r="A81" s="54"/>
      <c r="B81" s="54"/>
      <c r="C81" s="54"/>
      <c r="D81" s="54"/>
      <c r="E81" s="54"/>
      <c r="F81" s="54"/>
      <c r="G81" s="54"/>
      <c r="H81" s="54"/>
      <c r="I81" s="54"/>
      <c r="J81" s="54"/>
      <c r="S81" s="120"/>
      <c r="AD81" s="119"/>
      <c r="AN81" s="119"/>
    </row>
    <row r="82" spans="1:40" x14ac:dyDescent="0.25">
      <c r="A82" s="54"/>
      <c r="B82" s="54"/>
      <c r="C82" s="54"/>
      <c r="D82" s="54"/>
      <c r="E82" s="54"/>
      <c r="F82" s="54"/>
      <c r="G82" s="54"/>
      <c r="H82" s="54"/>
      <c r="I82" s="54"/>
      <c r="J82" s="54"/>
      <c r="K82" s="120"/>
      <c r="M82" s="121"/>
      <c r="N82" s="120"/>
      <c r="O82" s="120"/>
      <c r="P82" s="120"/>
      <c r="Q82" s="120"/>
      <c r="T82" s="120"/>
      <c r="U82" s="120"/>
      <c r="V82" s="120"/>
      <c r="W82" s="120"/>
      <c r="AD82" s="119"/>
      <c r="AN82" s="119"/>
    </row>
    <row r="83" spans="1:40" x14ac:dyDescent="0.25">
      <c r="A83" s="54"/>
      <c r="B83" s="54"/>
      <c r="C83" s="54"/>
      <c r="D83" s="54"/>
      <c r="E83" s="54"/>
      <c r="F83" s="54"/>
      <c r="G83" s="54"/>
      <c r="H83" s="54"/>
      <c r="I83" s="54"/>
      <c r="J83" s="54"/>
      <c r="K83" s="120"/>
      <c r="M83" s="119"/>
      <c r="N83" s="120"/>
      <c r="O83" s="120"/>
      <c r="P83" s="120"/>
      <c r="Q83" s="120"/>
      <c r="T83" s="120"/>
      <c r="U83" s="120"/>
      <c r="V83" s="120"/>
      <c r="W83" s="120"/>
      <c r="AD83" s="119"/>
      <c r="AN83" s="119"/>
    </row>
    <row r="84" spans="1:40" x14ac:dyDescent="0.25">
      <c r="A84" s="54"/>
      <c r="B84" s="54"/>
      <c r="C84" s="54"/>
      <c r="D84" s="54"/>
      <c r="E84" s="54"/>
      <c r="F84" s="54"/>
      <c r="G84" s="54"/>
      <c r="H84" s="54"/>
      <c r="I84" s="54"/>
      <c r="J84" s="54"/>
      <c r="K84" s="120"/>
      <c r="M84" s="119"/>
      <c r="N84" s="120"/>
      <c r="O84" s="120"/>
      <c r="P84" s="120"/>
      <c r="Q84" s="120"/>
      <c r="T84" s="120"/>
      <c r="U84" s="120"/>
      <c r="V84" s="120"/>
      <c r="W84" s="120"/>
      <c r="AD84" s="119"/>
      <c r="AN84" s="119"/>
    </row>
    <row r="85" spans="1:40" x14ac:dyDescent="0.25">
      <c r="A85" s="54"/>
      <c r="B85" s="54"/>
      <c r="C85" s="54"/>
      <c r="D85" s="54"/>
      <c r="E85" s="54"/>
      <c r="F85" s="54"/>
      <c r="G85" s="54"/>
      <c r="H85" s="54"/>
      <c r="I85" s="54"/>
      <c r="J85" s="54"/>
      <c r="K85" s="120"/>
      <c r="M85" s="119"/>
      <c r="N85" s="120"/>
      <c r="O85" s="120"/>
      <c r="P85" s="120"/>
      <c r="Q85" s="120"/>
      <c r="T85" s="120"/>
      <c r="U85" s="120"/>
      <c r="V85" s="120"/>
      <c r="W85" s="120"/>
      <c r="AD85" s="119"/>
      <c r="AN85" s="119"/>
    </row>
    <row r="86" spans="1:40" x14ac:dyDescent="0.25">
      <c r="A86" s="54"/>
      <c r="B86" s="54"/>
      <c r="C86" s="54"/>
      <c r="D86" s="54"/>
      <c r="E86" s="54"/>
      <c r="F86" s="54"/>
      <c r="G86" s="54"/>
      <c r="H86" s="54"/>
      <c r="I86" s="54"/>
      <c r="J86" s="54"/>
      <c r="AD86" s="119"/>
      <c r="AN86" s="119"/>
    </row>
    <row r="87" spans="1:40" x14ac:dyDescent="0.25">
      <c r="A87" s="54"/>
      <c r="B87" s="54"/>
      <c r="C87" s="54"/>
      <c r="D87" s="54"/>
      <c r="E87" s="54"/>
      <c r="F87" s="54"/>
      <c r="G87" s="54"/>
      <c r="H87" s="54"/>
      <c r="I87" s="54"/>
      <c r="J87" s="54"/>
      <c r="K87" s="120"/>
      <c r="O87" s="120"/>
      <c r="P87" s="120"/>
      <c r="U87" s="120"/>
      <c r="V87" s="120"/>
      <c r="AD87" s="119"/>
      <c r="AN87" s="119"/>
    </row>
    <row r="88" spans="1:40" x14ac:dyDescent="0.25">
      <c r="A88" s="54"/>
      <c r="B88" s="54"/>
      <c r="C88" s="54"/>
      <c r="D88" s="54"/>
      <c r="E88" s="54"/>
      <c r="F88" s="54"/>
      <c r="G88" s="54"/>
      <c r="H88" s="54"/>
      <c r="I88" s="54"/>
      <c r="J88" s="54"/>
      <c r="K88" s="120"/>
      <c r="O88" s="120"/>
      <c r="P88" s="120"/>
      <c r="U88" s="120"/>
      <c r="V88" s="120"/>
      <c r="AD88" s="119"/>
      <c r="AN88" s="119"/>
    </row>
    <row r="89" spans="1:40" x14ac:dyDescent="0.25">
      <c r="A89" s="54"/>
      <c r="B89" s="54"/>
      <c r="C89" s="54"/>
      <c r="D89" s="54"/>
      <c r="E89" s="54"/>
      <c r="F89" s="54"/>
      <c r="G89" s="54"/>
      <c r="H89" s="54"/>
      <c r="I89" s="54"/>
      <c r="J89" s="54"/>
      <c r="K89" s="120"/>
      <c r="O89" s="120"/>
      <c r="P89" s="120"/>
      <c r="U89" s="120"/>
      <c r="V89" s="120"/>
      <c r="AD89" s="119"/>
      <c r="AN89" s="119"/>
    </row>
    <row r="90" spans="1:40" x14ac:dyDescent="0.25">
      <c r="A90" s="54"/>
      <c r="B90" s="54"/>
      <c r="C90" s="54"/>
      <c r="D90" s="54"/>
      <c r="E90" s="54"/>
      <c r="F90" s="54"/>
      <c r="G90" s="54"/>
      <c r="H90" s="54"/>
      <c r="I90" s="54"/>
      <c r="J90" s="54"/>
      <c r="K90" s="120"/>
      <c r="O90" s="120"/>
      <c r="P90" s="120"/>
      <c r="U90" s="120"/>
      <c r="V90" s="120"/>
      <c r="AD90" s="119"/>
      <c r="AN90" s="119"/>
    </row>
    <row r="91" spans="1:40" x14ac:dyDescent="0.25">
      <c r="A91" s="54"/>
      <c r="B91" s="54"/>
      <c r="C91" s="54"/>
      <c r="D91" s="54"/>
      <c r="E91" s="54"/>
      <c r="F91" s="54"/>
      <c r="G91" s="54"/>
      <c r="H91" s="54"/>
      <c r="I91" s="54"/>
      <c r="J91" s="54"/>
      <c r="AD91" s="119"/>
      <c r="AN91" s="119"/>
    </row>
    <row r="92" spans="1:40" x14ac:dyDescent="0.25">
      <c r="A92" s="54"/>
      <c r="B92" s="54"/>
      <c r="C92" s="54"/>
      <c r="D92" s="54"/>
      <c r="E92" s="54"/>
      <c r="F92" s="54"/>
      <c r="G92" s="54"/>
      <c r="H92" s="54"/>
      <c r="I92" s="54"/>
      <c r="J92" s="54"/>
      <c r="K92" s="120"/>
      <c r="N92" s="120"/>
      <c r="O92" s="120"/>
      <c r="P92" s="120"/>
      <c r="U92" s="120"/>
      <c r="V92" s="120"/>
      <c r="AD92" s="119"/>
      <c r="AN92" s="119"/>
    </row>
    <row r="93" spans="1:40" x14ac:dyDescent="0.25">
      <c r="A93" s="54"/>
      <c r="B93" s="54"/>
      <c r="C93" s="54"/>
      <c r="D93" s="54"/>
      <c r="E93" s="54"/>
      <c r="F93" s="54"/>
      <c r="G93" s="54"/>
      <c r="H93" s="54"/>
      <c r="I93" s="54"/>
      <c r="J93" s="54"/>
      <c r="K93" s="120"/>
      <c r="N93" s="120"/>
      <c r="O93" s="120"/>
      <c r="P93" s="120"/>
      <c r="U93" s="120"/>
      <c r="V93" s="120"/>
      <c r="AD93" s="119"/>
      <c r="AN93" s="119"/>
    </row>
    <row r="94" spans="1:40" x14ac:dyDescent="0.25">
      <c r="A94" s="54"/>
      <c r="B94" s="54"/>
      <c r="C94" s="54"/>
      <c r="D94" s="54"/>
      <c r="E94" s="54"/>
      <c r="F94" s="54"/>
      <c r="G94" s="54"/>
      <c r="H94" s="54"/>
      <c r="I94" s="54"/>
      <c r="J94" s="54"/>
      <c r="K94" s="120"/>
      <c r="N94" s="120"/>
      <c r="O94" s="120"/>
      <c r="P94" s="120"/>
      <c r="U94" s="120"/>
      <c r="V94" s="120"/>
      <c r="AD94" s="119"/>
      <c r="AN94" s="119"/>
    </row>
    <row r="95" spans="1:40" x14ac:dyDescent="0.25">
      <c r="A95" s="54"/>
      <c r="B95" s="54"/>
      <c r="C95" s="54"/>
      <c r="D95" s="54"/>
      <c r="E95" s="54"/>
      <c r="F95" s="54"/>
      <c r="G95" s="54"/>
      <c r="H95" s="54"/>
      <c r="I95" s="54"/>
      <c r="J95" s="54"/>
      <c r="K95" s="120"/>
      <c r="N95" s="120"/>
      <c r="O95" s="120"/>
      <c r="P95" s="120"/>
      <c r="U95" s="120"/>
      <c r="V95" s="120"/>
      <c r="AD95" s="119"/>
      <c r="AN95" s="119"/>
    </row>
    <row r="96" spans="1:40" x14ac:dyDescent="0.25">
      <c r="A96" s="54"/>
      <c r="B96" s="54"/>
      <c r="C96" s="54"/>
      <c r="D96" s="54"/>
      <c r="E96" s="54"/>
      <c r="F96" s="54"/>
      <c r="G96" s="54"/>
      <c r="H96" s="54"/>
      <c r="I96" s="54"/>
      <c r="J96" s="54"/>
      <c r="AD96" s="119"/>
      <c r="AN96" s="119"/>
    </row>
    <row r="97" spans="1:40" x14ac:dyDescent="0.25">
      <c r="A97" s="54"/>
      <c r="B97" s="54"/>
      <c r="C97" s="54"/>
      <c r="D97" s="54"/>
      <c r="E97" s="54"/>
      <c r="F97" s="54"/>
      <c r="G97" s="54"/>
      <c r="H97" s="54"/>
      <c r="I97" s="54"/>
      <c r="J97" s="54"/>
      <c r="AD97" s="119"/>
      <c r="AN97" s="119"/>
    </row>
    <row r="98" spans="1:40" x14ac:dyDescent="0.25">
      <c r="A98" s="54"/>
      <c r="B98" s="54"/>
      <c r="C98" s="54"/>
      <c r="D98" s="54"/>
      <c r="E98" s="54"/>
      <c r="F98" s="54"/>
      <c r="G98" s="54"/>
      <c r="H98" s="54"/>
      <c r="I98" s="54"/>
      <c r="J98" s="54"/>
      <c r="AD98" s="119"/>
      <c r="AN98" s="119"/>
    </row>
    <row r="99" spans="1:40" x14ac:dyDescent="0.25">
      <c r="A99" s="54"/>
      <c r="B99" s="54"/>
      <c r="C99" s="54"/>
      <c r="D99" s="54"/>
      <c r="E99" s="54"/>
      <c r="F99" s="54"/>
      <c r="G99" s="54"/>
      <c r="H99" s="54"/>
      <c r="I99" s="54"/>
      <c r="J99" s="54"/>
      <c r="AD99" s="119"/>
      <c r="AN99" s="119"/>
    </row>
    <row r="100" spans="1:40" x14ac:dyDescent="0.25">
      <c r="A100" s="54"/>
      <c r="B100" s="54"/>
      <c r="C100" s="54"/>
      <c r="D100" s="54"/>
      <c r="E100" s="54"/>
      <c r="F100" s="54"/>
      <c r="G100" s="54"/>
      <c r="H100" s="54"/>
      <c r="I100" s="54"/>
      <c r="J100" s="54"/>
      <c r="AD100" s="119"/>
      <c r="AN100" s="119"/>
    </row>
    <row r="101" spans="1:40" x14ac:dyDescent="0.25">
      <c r="A101" s="54"/>
      <c r="B101" s="54"/>
      <c r="C101" s="54"/>
      <c r="D101" s="54"/>
      <c r="E101" s="54"/>
      <c r="F101" s="54"/>
      <c r="G101" s="54"/>
      <c r="H101" s="54"/>
      <c r="I101" s="54"/>
      <c r="J101" s="54"/>
      <c r="AD101" s="119"/>
      <c r="AN101" s="119"/>
    </row>
    <row r="102" spans="1:40" x14ac:dyDescent="0.25">
      <c r="A102" s="54"/>
      <c r="B102" s="54"/>
      <c r="C102" s="54"/>
      <c r="D102" s="54"/>
      <c r="E102" s="54"/>
      <c r="F102" s="54"/>
      <c r="G102" s="54"/>
      <c r="H102" s="54"/>
      <c r="I102" s="54"/>
      <c r="J102" s="54"/>
      <c r="AD102" s="119"/>
      <c r="AN102" s="119"/>
    </row>
    <row r="103" spans="1:40" x14ac:dyDescent="0.25">
      <c r="A103" s="54"/>
      <c r="B103" s="54"/>
      <c r="C103" s="54"/>
      <c r="D103" s="54"/>
      <c r="E103" s="54"/>
      <c r="F103" s="54"/>
      <c r="G103" s="54"/>
      <c r="H103" s="54"/>
      <c r="I103" s="54"/>
      <c r="J103" s="54"/>
      <c r="AD103" s="119"/>
      <c r="AN103" s="119"/>
    </row>
    <row r="104" spans="1:40" x14ac:dyDescent="0.25">
      <c r="A104" s="53"/>
      <c r="B104" s="53"/>
      <c r="C104" s="53"/>
      <c r="D104" s="53"/>
      <c r="E104" s="53"/>
      <c r="F104" s="53"/>
      <c r="G104" s="53"/>
      <c r="H104" s="53"/>
      <c r="I104" s="53"/>
      <c r="J104" s="53"/>
      <c r="AD104" s="119"/>
      <c r="AN104" s="119"/>
    </row>
    <row r="105" spans="1:40" x14ac:dyDescent="0.25">
      <c r="Y105" s="5"/>
      <c r="AD105" s="119"/>
      <c r="AN105" s="119"/>
    </row>
    <row r="106" spans="1:40" x14ac:dyDescent="0.25">
      <c r="Y106" s="5"/>
      <c r="AD106" s="119"/>
      <c r="AN106" s="119"/>
    </row>
    <row r="107" spans="1:40" x14ac:dyDescent="0.25">
      <c r="Y107" s="5"/>
      <c r="AD107" s="119"/>
      <c r="AN107" s="119"/>
    </row>
    <row r="108" spans="1:40" x14ac:dyDescent="0.25">
      <c r="Y108" s="5"/>
      <c r="AD108" s="119"/>
      <c r="AN108" s="119"/>
    </row>
    <row r="109" spans="1:40" x14ac:dyDescent="0.25">
      <c r="Y109" s="5"/>
      <c r="AD109" s="119"/>
      <c r="AN109" s="119"/>
    </row>
    <row r="110" spans="1:40" x14ac:dyDescent="0.25">
      <c r="Y110" s="5"/>
      <c r="AD110" s="119"/>
      <c r="AN110" s="119"/>
    </row>
    <row r="111" spans="1:40" x14ac:dyDescent="0.25">
      <c r="Y111" s="5"/>
      <c r="AD111" s="119"/>
      <c r="AN111" s="119"/>
    </row>
    <row r="112" spans="1:40" x14ac:dyDescent="0.25">
      <c r="Y112" s="5"/>
      <c r="AD112" s="119"/>
      <c r="AN112" s="119"/>
    </row>
    <row r="113" spans="25:40" x14ac:dyDescent="0.25">
      <c r="Y113" s="5"/>
      <c r="AD113" s="119"/>
      <c r="AN113" s="119"/>
    </row>
    <row r="114" spans="25:40" x14ac:dyDescent="0.25">
      <c r="Y114" s="5"/>
      <c r="AD114" s="119"/>
      <c r="AN114" s="119"/>
    </row>
    <row r="115" spans="25:40" x14ac:dyDescent="0.25">
      <c r="Y115" s="5"/>
      <c r="AD115" s="119"/>
      <c r="AN115" s="119"/>
    </row>
    <row r="116" spans="25:40" x14ac:dyDescent="0.25">
      <c r="Y116" s="5"/>
      <c r="AD116" s="119"/>
      <c r="AN116" s="119"/>
    </row>
    <row r="117" spans="25:40" x14ac:dyDescent="0.25">
      <c r="Y117" s="5"/>
      <c r="AD117" s="119"/>
      <c r="AN117" s="119"/>
    </row>
    <row r="118" spans="25:40" x14ac:dyDescent="0.25">
      <c r="Y118" s="5"/>
      <c r="AD118" s="119"/>
      <c r="AN118" s="119"/>
    </row>
    <row r="119" spans="25:40" x14ac:dyDescent="0.25">
      <c r="Y119" s="5"/>
      <c r="AD119" s="119"/>
      <c r="AN119" s="119"/>
    </row>
    <row r="120" spans="25:40" x14ac:dyDescent="0.25">
      <c r="Y120" s="5"/>
      <c r="AD120" s="119"/>
      <c r="AN120" s="119"/>
    </row>
    <row r="121" spans="25:40" x14ac:dyDescent="0.25">
      <c r="Y121" s="5"/>
      <c r="AD121" s="119"/>
      <c r="AN121" s="119"/>
    </row>
    <row r="122" spans="25:40" x14ac:dyDescent="0.25">
      <c r="Y122" s="5"/>
      <c r="AD122" s="119"/>
      <c r="AN122" s="119"/>
    </row>
    <row r="123" spans="25:40" x14ac:dyDescent="0.25">
      <c r="Y123" s="5"/>
      <c r="AD123" s="119"/>
      <c r="AN123" s="119"/>
    </row>
    <row r="124" spans="25:40" x14ac:dyDescent="0.25">
      <c r="Y124" s="5"/>
      <c r="AD124" s="119"/>
      <c r="AN124" s="119"/>
    </row>
    <row r="125" spans="25:40" x14ac:dyDescent="0.25">
      <c r="Y125" s="5"/>
      <c r="AD125" s="119"/>
      <c r="AN125" s="119"/>
    </row>
    <row r="126" spans="25:40" x14ac:dyDescent="0.25">
      <c r="Y126" s="5"/>
      <c r="AD126" s="119"/>
      <c r="AN126" s="119"/>
    </row>
    <row r="127" spans="25:40" x14ac:dyDescent="0.25">
      <c r="Y127" s="5"/>
      <c r="AD127" s="119"/>
      <c r="AN127" s="119"/>
    </row>
    <row r="128" spans="25:40" x14ac:dyDescent="0.25">
      <c r="Y128" s="5"/>
      <c r="AD128" s="119"/>
      <c r="AN128" s="119"/>
    </row>
    <row r="129" spans="25:40" x14ac:dyDescent="0.25">
      <c r="Y129" s="5"/>
      <c r="AD129" s="119"/>
      <c r="AN129" s="119"/>
    </row>
    <row r="130" spans="25:40" x14ac:dyDescent="0.25">
      <c r="Y130" s="5"/>
      <c r="AD130" s="119"/>
      <c r="AN130" s="119"/>
    </row>
    <row r="131" spans="25:40" x14ac:dyDescent="0.25">
      <c r="Y131" s="5"/>
      <c r="AD131" s="119"/>
      <c r="AN131" s="119"/>
    </row>
    <row r="132" spans="25:40" x14ac:dyDescent="0.25">
      <c r="Y132" s="5"/>
      <c r="AD132" s="119"/>
      <c r="AN132" s="119"/>
    </row>
    <row r="133" spans="25:40" x14ac:dyDescent="0.25">
      <c r="Y133" s="5"/>
      <c r="AD133" s="119"/>
      <c r="AN133" s="119"/>
    </row>
    <row r="134" spans="25:40" x14ac:dyDescent="0.25">
      <c r="Y134" s="5"/>
      <c r="AD134" s="119"/>
      <c r="AN134" s="119"/>
    </row>
    <row r="135" spans="25:40" x14ac:dyDescent="0.25">
      <c r="Y135" s="5"/>
      <c r="AD135" s="119"/>
      <c r="AN135" s="119"/>
    </row>
    <row r="136" spans="25:40" x14ac:dyDescent="0.25">
      <c r="Y136" s="5"/>
      <c r="AD136" s="119"/>
      <c r="AN136" s="119"/>
    </row>
    <row r="137" spans="25:40" x14ac:dyDescent="0.25">
      <c r="Y137" s="5"/>
      <c r="AD137" s="119"/>
      <c r="AN137" s="119"/>
    </row>
    <row r="138" spans="25:40" x14ac:dyDescent="0.25">
      <c r="Y138" s="5"/>
      <c r="AD138" s="119"/>
      <c r="AN138" s="119"/>
    </row>
    <row r="139" spans="25:40" x14ac:dyDescent="0.25">
      <c r="Y139" s="5"/>
      <c r="AD139" s="119"/>
      <c r="AN139" s="119"/>
    </row>
    <row r="140" spans="25:40" x14ac:dyDescent="0.25">
      <c r="Y140" s="5"/>
      <c r="AD140" s="119"/>
      <c r="AN140" s="119"/>
    </row>
    <row r="141" spans="25:40" x14ac:dyDescent="0.25">
      <c r="Y141" s="5"/>
      <c r="AD141" s="119"/>
      <c r="AN141" s="119"/>
    </row>
    <row r="142" spans="25:40" x14ac:dyDescent="0.25">
      <c r="Y142" s="5"/>
      <c r="AD142" s="119"/>
      <c r="AN142" s="119"/>
    </row>
    <row r="143" spans="25:40" x14ac:dyDescent="0.25">
      <c r="Y143" s="5"/>
      <c r="AD143" s="119"/>
      <c r="AN143" s="119"/>
    </row>
    <row r="144" spans="25:40" x14ac:dyDescent="0.25">
      <c r="Y144" s="5"/>
      <c r="AD144" s="119"/>
      <c r="AN144" s="119"/>
    </row>
    <row r="145" spans="25:40" x14ac:dyDescent="0.25">
      <c r="Y145" s="5"/>
      <c r="AD145" s="119"/>
      <c r="AN145" s="119"/>
    </row>
    <row r="146" spans="25:40" x14ac:dyDescent="0.25">
      <c r="Y146" s="5"/>
      <c r="AD146" s="119"/>
      <c r="AN146" s="119"/>
    </row>
    <row r="147" spans="25:40" x14ac:dyDescent="0.25">
      <c r="Y147" s="5"/>
      <c r="AD147" s="119"/>
      <c r="AN147" s="119"/>
    </row>
    <row r="148" spans="25:40" x14ac:dyDescent="0.25">
      <c r="Y148" s="5"/>
      <c r="AD148" s="119"/>
      <c r="AN148" s="119"/>
    </row>
    <row r="149" spans="25:40" x14ac:dyDescent="0.25">
      <c r="Y149" s="5"/>
      <c r="AD149" s="119"/>
      <c r="AN149" s="119"/>
    </row>
    <row r="150" spans="25:40" x14ac:dyDescent="0.25">
      <c r="Y150" s="5"/>
      <c r="AD150" s="119"/>
      <c r="AN150" s="119"/>
    </row>
    <row r="151" spans="25:40" x14ac:dyDescent="0.25">
      <c r="Y151" s="5"/>
      <c r="AD151" s="119"/>
      <c r="AN151" s="119"/>
    </row>
    <row r="152" spans="25:40" x14ac:dyDescent="0.25">
      <c r="Y152" s="5"/>
      <c r="AD152" s="119"/>
      <c r="AN152" s="119"/>
    </row>
    <row r="153" spans="25:40" x14ac:dyDescent="0.25">
      <c r="Y153" s="5"/>
      <c r="AD153" s="119"/>
      <c r="AN153" s="119"/>
    </row>
    <row r="154" spans="25:40" x14ac:dyDescent="0.25">
      <c r="Y154" s="5"/>
      <c r="AD154" s="119"/>
      <c r="AN154" s="119"/>
    </row>
    <row r="155" spans="25:40" x14ac:dyDescent="0.25">
      <c r="Y155" s="5"/>
      <c r="AD155" s="119"/>
      <c r="AN155" s="119"/>
    </row>
    <row r="156" spans="25:40" x14ac:dyDescent="0.25">
      <c r="Y156" s="5"/>
      <c r="AD156" s="119"/>
      <c r="AN156" s="119"/>
    </row>
    <row r="157" spans="25:40" x14ac:dyDescent="0.25">
      <c r="Y157" s="5"/>
      <c r="AD157" s="119"/>
      <c r="AN157" s="119"/>
    </row>
    <row r="158" spans="25:40" x14ac:dyDescent="0.25">
      <c r="Y158" s="5"/>
      <c r="AD158" s="119"/>
      <c r="AN158" s="119"/>
    </row>
    <row r="159" spans="25:40" x14ac:dyDescent="0.25">
      <c r="Y159" s="5"/>
      <c r="AD159" s="119"/>
      <c r="AN159" s="119"/>
    </row>
    <row r="160" spans="25:40" x14ac:dyDescent="0.25">
      <c r="Y160" s="5"/>
      <c r="AD160" s="119"/>
      <c r="AN160" s="119"/>
    </row>
    <row r="161" spans="25:40" x14ac:dyDescent="0.25">
      <c r="Y161" s="5"/>
      <c r="AD161" s="119"/>
      <c r="AN161" s="119"/>
    </row>
    <row r="162" spans="25:40" x14ac:dyDescent="0.25">
      <c r="Y162" s="5"/>
      <c r="AD162" s="119"/>
      <c r="AN162" s="119"/>
    </row>
    <row r="163" spans="25:40" x14ac:dyDescent="0.25">
      <c r="Y163" s="5"/>
      <c r="AD163" s="119"/>
      <c r="AN163" s="119"/>
    </row>
    <row r="164" spans="25:40" x14ac:dyDescent="0.25">
      <c r="Y164" s="5"/>
      <c r="AD164" s="119"/>
      <c r="AN164" s="119"/>
    </row>
    <row r="165" spans="25:40" x14ac:dyDescent="0.25">
      <c r="Y165" s="5"/>
      <c r="AD165" s="119"/>
      <c r="AN165" s="119"/>
    </row>
    <row r="166" spans="25:40" x14ac:dyDescent="0.25">
      <c r="Y166" s="5"/>
      <c r="AD166" s="119"/>
      <c r="AN166" s="119"/>
    </row>
    <row r="167" spans="25:40" x14ac:dyDescent="0.25">
      <c r="Y167" s="5"/>
      <c r="AD167" s="119"/>
      <c r="AN167" s="119"/>
    </row>
    <row r="168" spans="25:40" x14ac:dyDescent="0.25">
      <c r="Y168" s="5"/>
      <c r="AD168" s="119"/>
      <c r="AN168" s="119"/>
    </row>
    <row r="169" spans="25:40" x14ac:dyDescent="0.25">
      <c r="Y169" s="5"/>
      <c r="AD169" s="119"/>
      <c r="AN169" s="119"/>
    </row>
    <row r="170" spans="25:40" x14ac:dyDescent="0.25">
      <c r="Y170" s="5"/>
      <c r="AD170" s="119"/>
      <c r="AN170" s="119"/>
    </row>
    <row r="171" spans="25:40" x14ac:dyDescent="0.25">
      <c r="Y171" s="5"/>
      <c r="AD171" s="119"/>
      <c r="AN171" s="119"/>
    </row>
    <row r="172" spans="25:40" x14ac:dyDescent="0.25">
      <c r="Y172" s="5"/>
      <c r="AD172" s="119"/>
      <c r="AN172" s="119"/>
    </row>
    <row r="173" spans="25:40" x14ac:dyDescent="0.25">
      <c r="Y173" s="5"/>
      <c r="AD173" s="119"/>
      <c r="AN173" s="119"/>
    </row>
    <row r="174" spans="25:40" x14ac:dyDescent="0.25">
      <c r="Y174" s="5"/>
      <c r="AD174" s="119"/>
      <c r="AN174" s="119"/>
    </row>
    <row r="175" spans="25:40" x14ac:dyDescent="0.25">
      <c r="Y175" s="5"/>
      <c r="AD175" s="119"/>
      <c r="AN175" s="119"/>
    </row>
    <row r="176" spans="25:40" x14ac:dyDescent="0.25">
      <c r="Y176" s="5"/>
      <c r="AD176" s="119"/>
      <c r="AN176" s="119"/>
    </row>
    <row r="177" spans="25:40" x14ac:dyDescent="0.25">
      <c r="Y177" s="5"/>
      <c r="AD177" s="119"/>
      <c r="AN177" s="119"/>
    </row>
    <row r="178" spans="25:40" x14ac:dyDescent="0.25">
      <c r="Y178" s="5"/>
      <c r="AD178" s="119"/>
      <c r="AN178" s="119"/>
    </row>
    <row r="179" spans="25:40" x14ac:dyDescent="0.25">
      <c r="Y179" s="5"/>
      <c r="AD179" s="119"/>
      <c r="AN179" s="119"/>
    </row>
    <row r="180" spans="25:40" x14ac:dyDescent="0.25">
      <c r="Y180" s="5"/>
      <c r="AD180" s="119"/>
      <c r="AN180" s="119"/>
    </row>
    <row r="181" spans="25:40" x14ac:dyDescent="0.25">
      <c r="Y181" s="5"/>
      <c r="AD181" s="119"/>
      <c r="AN181" s="119"/>
    </row>
    <row r="182" spans="25:40" x14ac:dyDescent="0.25">
      <c r="Y182" s="5"/>
      <c r="AD182" s="119"/>
      <c r="AN182" s="119"/>
    </row>
    <row r="183" spans="25:40" x14ac:dyDescent="0.25">
      <c r="Y183" s="5"/>
      <c r="AD183" s="119"/>
      <c r="AN183" s="119"/>
    </row>
    <row r="191" spans="25:40" x14ac:dyDescent="0.25">
      <c r="Y191" s="5"/>
    </row>
    <row r="192" spans="25:40" x14ac:dyDescent="0.25">
      <c r="Y192" s="5"/>
    </row>
    <row r="193" spans="25:25" x14ac:dyDescent="0.25">
      <c r="Y193" s="5"/>
    </row>
    <row r="194" spans="25:25" x14ac:dyDescent="0.25">
      <c r="Y194" s="5"/>
    </row>
    <row r="195" spans="25:25" x14ac:dyDescent="0.25">
      <c r="Y195" s="5"/>
    </row>
    <row r="196" spans="25:25" x14ac:dyDescent="0.25">
      <c r="Y196" s="5"/>
    </row>
    <row r="197" spans="25:25" x14ac:dyDescent="0.25">
      <c r="Y197" s="5"/>
    </row>
    <row r="198" spans="25:25" x14ac:dyDescent="0.25">
      <c r="Y198" s="5"/>
    </row>
    <row r="199" spans="25:25" x14ac:dyDescent="0.25">
      <c r="Y199" s="5"/>
    </row>
    <row r="200" spans="25:25" x14ac:dyDescent="0.25">
      <c r="Y200" s="5"/>
    </row>
    <row r="201" spans="25:25" x14ac:dyDescent="0.25">
      <c r="Y201" s="5"/>
    </row>
    <row r="202" spans="25:25" x14ac:dyDescent="0.25">
      <c r="Y202" s="5"/>
    </row>
    <row r="203" spans="25:25" x14ac:dyDescent="0.25">
      <c r="Y203" s="5"/>
    </row>
    <row r="204" spans="25:25" x14ac:dyDescent="0.25">
      <c r="Y204" s="5"/>
    </row>
    <row r="205" spans="25:25" x14ac:dyDescent="0.25">
      <c r="Y205" s="5"/>
    </row>
    <row r="206" spans="25:25" x14ac:dyDescent="0.25">
      <c r="Y206" s="5"/>
    </row>
    <row r="207" spans="25:25" x14ac:dyDescent="0.25">
      <c r="Y207" s="5"/>
    </row>
    <row r="208" spans="25:25" x14ac:dyDescent="0.25">
      <c r="Y208" s="5"/>
    </row>
    <row r="209" spans="25:25" x14ac:dyDescent="0.25">
      <c r="Y209" s="5"/>
    </row>
    <row r="210" spans="25:25" x14ac:dyDescent="0.25">
      <c r="Y210" s="5"/>
    </row>
    <row r="211" spans="25:25" x14ac:dyDescent="0.25">
      <c r="Y211" s="5"/>
    </row>
    <row r="212" spans="25:25" x14ac:dyDescent="0.25">
      <c r="Y212" s="5"/>
    </row>
    <row r="213" spans="25:25" x14ac:dyDescent="0.25">
      <c r="Y213" s="5"/>
    </row>
    <row r="214" spans="25:25" x14ac:dyDescent="0.25">
      <c r="Y214" s="5"/>
    </row>
    <row r="215" spans="25:25" x14ac:dyDescent="0.25">
      <c r="Y215" s="5"/>
    </row>
    <row r="216" spans="25:25" x14ac:dyDescent="0.25">
      <c r="Y216" s="5"/>
    </row>
    <row r="217" spans="25:25" x14ac:dyDescent="0.25">
      <c r="Y217" s="5"/>
    </row>
    <row r="218" spans="25:25" x14ac:dyDescent="0.25">
      <c r="Y218" s="5"/>
    </row>
    <row r="219" spans="25:25" x14ac:dyDescent="0.25">
      <c r="Y219" s="5"/>
    </row>
    <row r="220" spans="25:25" x14ac:dyDescent="0.25">
      <c r="Y220" s="5"/>
    </row>
    <row r="221" spans="25:25" x14ac:dyDescent="0.25">
      <c r="Y221" s="5"/>
    </row>
    <row r="222" spans="25:25" x14ac:dyDescent="0.25">
      <c r="Y222" s="5"/>
    </row>
    <row r="223" spans="25:25" x14ac:dyDescent="0.25">
      <c r="Y223" s="5"/>
    </row>
    <row r="224" spans="25:25" x14ac:dyDescent="0.25">
      <c r="Y224" s="5"/>
    </row>
    <row r="225" spans="25:25" x14ac:dyDescent="0.25">
      <c r="Y225" s="5"/>
    </row>
    <row r="226" spans="25:25" x14ac:dyDescent="0.25">
      <c r="Y226" s="5"/>
    </row>
    <row r="227" spans="25:25" x14ac:dyDescent="0.25">
      <c r="Y227" s="5"/>
    </row>
    <row r="228" spans="25:25" x14ac:dyDescent="0.25">
      <c r="Y228" s="5"/>
    </row>
    <row r="229" spans="25:25" x14ac:dyDescent="0.25">
      <c r="Y229" s="5"/>
    </row>
    <row r="230" spans="25:25" x14ac:dyDescent="0.25">
      <c r="Y230" s="5"/>
    </row>
    <row r="231" spans="25:25" x14ac:dyDescent="0.25">
      <c r="Y231" s="5"/>
    </row>
    <row r="232" spans="25:25" x14ac:dyDescent="0.25">
      <c r="Y232" s="5"/>
    </row>
    <row r="233" spans="25:25" x14ac:dyDescent="0.25">
      <c r="Y233" s="5"/>
    </row>
    <row r="234" spans="25:25" x14ac:dyDescent="0.25">
      <c r="Y234" s="5"/>
    </row>
    <row r="235" spans="25:25" x14ac:dyDescent="0.25">
      <c r="Y235" s="5"/>
    </row>
    <row r="236" spans="25:25" x14ac:dyDescent="0.25">
      <c r="Y236" s="5"/>
    </row>
    <row r="237" spans="25:25" x14ac:dyDescent="0.25">
      <c r="Y237" s="5"/>
    </row>
    <row r="238" spans="25:25" x14ac:dyDescent="0.25">
      <c r="Y238" s="5"/>
    </row>
    <row r="239" spans="25:25" x14ac:dyDescent="0.25">
      <c r="Y239" s="5"/>
    </row>
    <row r="240" spans="25:25" x14ac:dyDescent="0.25">
      <c r="Y240" s="5"/>
    </row>
    <row r="241" spans="25:25" x14ac:dyDescent="0.25">
      <c r="Y241" s="5"/>
    </row>
    <row r="242" spans="25:25" x14ac:dyDescent="0.25">
      <c r="Y242" s="5"/>
    </row>
    <row r="243" spans="25:25" x14ac:dyDescent="0.25">
      <c r="Y243" s="5"/>
    </row>
    <row r="244" spans="25:25" x14ac:dyDescent="0.25">
      <c r="Y244" s="5"/>
    </row>
    <row r="245" spans="25:25" x14ac:dyDescent="0.25">
      <c r="Y245" s="5"/>
    </row>
    <row r="246" spans="25:25" x14ac:dyDescent="0.25">
      <c r="Y246" s="5"/>
    </row>
    <row r="247" spans="25:25" x14ac:dyDescent="0.25">
      <c r="Y247" s="5"/>
    </row>
    <row r="248" spans="25:25" x14ac:dyDescent="0.25">
      <c r="Y248" s="5"/>
    </row>
    <row r="249" spans="25:25" x14ac:dyDescent="0.25">
      <c r="Y249" s="5"/>
    </row>
    <row r="250" spans="25:25" x14ac:dyDescent="0.25">
      <c r="Y250" s="5"/>
    </row>
    <row r="251" spans="25:25" x14ac:dyDescent="0.25">
      <c r="Y251" s="5"/>
    </row>
    <row r="252" spans="25:25" x14ac:dyDescent="0.25">
      <c r="Y252" s="5"/>
    </row>
    <row r="253" spans="25:25" x14ac:dyDescent="0.25">
      <c r="Y253" s="5"/>
    </row>
    <row r="254" spans="25:25" x14ac:dyDescent="0.25">
      <c r="Y254" s="5"/>
    </row>
    <row r="255" spans="25:25" x14ac:dyDescent="0.25">
      <c r="Y255" s="5"/>
    </row>
    <row r="256" spans="25:25" x14ac:dyDescent="0.25">
      <c r="Y256" s="5"/>
    </row>
    <row r="257" spans="25:25" x14ac:dyDescent="0.25">
      <c r="Y257" s="5"/>
    </row>
    <row r="258" spans="25:25" x14ac:dyDescent="0.25">
      <c r="Y258" s="5"/>
    </row>
    <row r="259" spans="25:25" x14ac:dyDescent="0.25">
      <c r="Y259" s="5"/>
    </row>
    <row r="260" spans="25:25" x14ac:dyDescent="0.25">
      <c r="Y260" s="5"/>
    </row>
    <row r="261" spans="25:25" x14ac:dyDescent="0.25">
      <c r="Y261" s="5"/>
    </row>
    <row r="262" spans="25:25" x14ac:dyDescent="0.25">
      <c r="Y262" s="5"/>
    </row>
    <row r="263" spans="25:25" x14ac:dyDescent="0.25">
      <c r="Y263" s="5"/>
    </row>
    <row r="264" spans="25:25" x14ac:dyDescent="0.25">
      <c r="Y264" s="5"/>
    </row>
    <row r="265" spans="25:25" x14ac:dyDescent="0.25">
      <c r="Y265" s="5"/>
    </row>
    <row r="266" spans="25:25" x14ac:dyDescent="0.25">
      <c r="Y266" s="5"/>
    </row>
    <row r="267" spans="25:25" x14ac:dyDescent="0.25">
      <c r="Y267" s="5"/>
    </row>
    <row r="268" spans="25:25" x14ac:dyDescent="0.25">
      <c r="Y268" s="5"/>
    </row>
    <row r="269" spans="25:25" x14ac:dyDescent="0.25">
      <c r="Y269" s="5"/>
    </row>
    <row r="270" spans="25:25" x14ac:dyDescent="0.25">
      <c r="Y270" s="5"/>
    </row>
    <row r="271" spans="25:25" x14ac:dyDescent="0.25">
      <c r="Y271" s="5"/>
    </row>
    <row r="272" spans="25:25" x14ac:dyDescent="0.25">
      <c r="Y272" s="5"/>
    </row>
    <row r="273" spans="25:25" x14ac:dyDescent="0.25">
      <c r="Y273" s="5"/>
    </row>
    <row r="274" spans="25:25" x14ac:dyDescent="0.25">
      <c r="Y274" s="5"/>
    </row>
    <row r="275" spans="25:25" x14ac:dyDescent="0.25">
      <c r="Y275" s="5"/>
    </row>
    <row r="276" spans="25:25" x14ac:dyDescent="0.25">
      <c r="Y276" s="5"/>
    </row>
    <row r="277" spans="25:25" x14ac:dyDescent="0.25">
      <c r="Y277" s="5"/>
    </row>
    <row r="278" spans="25:25" x14ac:dyDescent="0.25">
      <c r="Y278" s="5"/>
    </row>
    <row r="279" spans="25:25" x14ac:dyDescent="0.25">
      <c r="Y279" s="5"/>
    </row>
    <row r="280" spans="25:25" x14ac:dyDescent="0.25">
      <c r="Y280" s="5"/>
    </row>
    <row r="281" spans="25:25" x14ac:dyDescent="0.25">
      <c r="Y281" s="5"/>
    </row>
    <row r="282" spans="25:25" x14ac:dyDescent="0.25">
      <c r="Y282" s="5"/>
    </row>
    <row r="283" spans="25:25" x14ac:dyDescent="0.25">
      <c r="Y283" s="5"/>
    </row>
    <row r="284" spans="25:25" x14ac:dyDescent="0.25">
      <c r="Y284" s="5"/>
    </row>
    <row r="285" spans="25:25" x14ac:dyDescent="0.25">
      <c r="Y285" s="5"/>
    </row>
    <row r="286" spans="25:25" x14ac:dyDescent="0.25">
      <c r="Y286" s="5"/>
    </row>
    <row r="287" spans="25:25" x14ac:dyDescent="0.25">
      <c r="Y287" s="5"/>
    </row>
    <row r="288" spans="25:25" x14ac:dyDescent="0.25">
      <c r="Y288" s="5"/>
    </row>
    <row r="289" spans="25:25" x14ac:dyDescent="0.25">
      <c r="Y289" s="5"/>
    </row>
    <row r="290" spans="25:25" x14ac:dyDescent="0.25">
      <c r="Y290" s="5"/>
    </row>
    <row r="291" spans="25:25" x14ac:dyDescent="0.25">
      <c r="Y291" s="5"/>
    </row>
    <row r="292" spans="25:25" x14ac:dyDescent="0.25">
      <c r="Y292" s="5"/>
    </row>
    <row r="293" spans="25:25" x14ac:dyDescent="0.25">
      <c r="Y293" s="5"/>
    </row>
    <row r="294" spans="25:25" x14ac:dyDescent="0.25">
      <c r="Y294" s="5"/>
    </row>
    <row r="295" spans="25:25" x14ac:dyDescent="0.25">
      <c r="Y295" s="5"/>
    </row>
    <row r="296" spans="25:25" x14ac:dyDescent="0.25">
      <c r="Y296" s="5"/>
    </row>
    <row r="297" spans="25:25" x14ac:dyDescent="0.25">
      <c r="Y297" s="5"/>
    </row>
    <row r="298" spans="25:25" x14ac:dyDescent="0.25">
      <c r="Y298" s="5"/>
    </row>
    <row r="299" spans="25:25" x14ac:dyDescent="0.25">
      <c r="Y299" s="5"/>
    </row>
    <row r="300" spans="25:25" x14ac:dyDescent="0.25">
      <c r="Y300" s="5"/>
    </row>
    <row r="301" spans="25:25" x14ac:dyDescent="0.25">
      <c r="Y301" s="5"/>
    </row>
    <row r="302" spans="25:25" x14ac:dyDescent="0.25">
      <c r="Y302" s="5"/>
    </row>
    <row r="303" spans="25:25" x14ac:dyDescent="0.25">
      <c r="Y303" s="5"/>
    </row>
    <row r="304" spans="25:25" x14ac:dyDescent="0.25">
      <c r="Y304" s="5"/>
    </row>
    <row r="305" spans="25:25" x14ac:dyDescent="0.25">
      <c r="Y305" s="5"/>
    </row>
    <row r="306" spans="25:25" x14ac:dyDescent="0.25">
      <c r="Y306" s="5"/>
    </row>
    <row r="307" spans="25:25" x14ac:dyDescent="0.25">
      <c r="Y307" s="5"/>
    </row>
    <row r="308" spans="25:25" x14ac:dyDescent="0.25">
      <c r="Y308" s="5"/>
    </row>
    <row r="309" spans="25:25" x14ac:dyDescent="0.25">
      <c r="Y309" s="5"/>
    </row>
    <row r="310" spans="25:25" x14ac:dyDescent="0.25">
      <c r="Y310" s="5"/>
    </row>
    <row r="311" spans="25:25" x14ac:dyDescent="0.25">
      <c r="Y311" s="5"/>
    </row>
    <row r="312" spans="25:25" x14ac:dyDescent="0.25">
      <c r="Y312" s="5"/>
    </row>
    <row r="313" spans="25:25" x14ac:dyDescent="0.25">
      <c r="Y313" s="5"/>
    </row>
    <row r="314" spans="25:25" x14ac:dyDescent="0.25">
      <c r="Y314" s="5"/>
    </row>
    <row r="315" spans="25:25" x14ac:dyDescent="0.25">
      <c r="Y315" s="5"/>
    </row>
    <row r="316" spans="25:25" x14ac:dyDescent="0.25">
      <c r="Y316" s="5"/>
    </row>
    <row r="317" spans="25:25" x14ac:dyDescent="0.25">
      <c r="Y317" s="5"/>
    </row>
    <row r="318" spans="25:25" x14ac:dyDescent="0.25">
      <c r="Y318" s="5"/>
    </row>
    <row r="319" spans="25:25" x14ac:dyDescent="0.25">
      <c r="Y319" s="5"/>
    </row>
    <row r="320" spans="25:25" x14ac:dyDescent="0.25">
      <c r="Y320" s="5"/>
    </row>
    <row r="321" spans="25:25" x14ac:dyDescent="0.25">
      <c r="Y321" s="5"/>
    </row>
    <row r="322" spans="25:25" x14ac:dyDescent="0.25">
      <c r="Y322" s="5"/>
    </row>
    <row r="323" spans="25:25" x14ac:dyDescent="0.25">
      <c r="Y323" s="5"/>
    </row>
    <row r="324" spans="25:25" x14ac:dyDescent="0.25">
      <c r="Y324" s="5"/>
    </row>
    <row r="325" spans="25:25" x14ac:dyDescent="0.25">
      <c r="Y325" s="5"/>
    </row>
    <row r="326" spans="25:25" x14ac:dyDescent="0.25">
      <c r="Y326" s="5"/>
    </row>
    <row r="327" spans="25:25" x14ac:dyDescent="0.25">
      <c r="Y327" s="5"/>
    </row>
    <row r="328" spans="25:25" x14ac:dyDescent="0.25">
      <c r="Y328" s="5"/>
    </row>
    <row r="329" spans="25:25" x14ac:dyDescent="0.25">
      <c r="Y329" s="5"/>
    </row>
    <row r="330" spans="25:25" x14ac:dyDescent="0.25">
      <c r="Y330" s="5"/>
    </row>
    <row r="331" spans="25:25" x14ac:dyDescent="0.25">
      <c r="Y331" s="5"/>
    </row>
    <row r="332" spans="25:25" x14ac:dyDescent="0.25">
      <c r="Y332" s="5"/>
    </row>
    <row r="333" spans="25:25" x14ac:dyDescent="0.25">
      <c r="Y333" s="5"/>
    </row>
    <row r="334" spans="25:25" x14ac:dyDescent="0.25">
      <c r="Y334" s="5"/>
    </row>
    <row r="335" spans="25:25" x14ac:dyDescent="0.25">
      <c r="Y335" s="5"/>
    </row>
    <row r="336" spans="25:25" x14ac:dyDescent="0.25">
      <c r="Y336" s="5"/>
    </row>
    <row r="337" spans="25:25" x14ac:dyDescent="0.25">
      <c r="Y337" s="5"/>
    </row>
    <row r="338" spans="25:25" x14ac:dyDescent="0.25">
      <c r="Y338" s="5"/>
    </row>
    <row r="339" spans="25:25" x14ac:dyDescent="0.25">
      <c r="Y339" s="5"/>
    </row>
    <row r="340" spans="25:25" x14ac:dyDescent="0.25">
      <c r="Y340" s="5"/>
    </row>
    <row r="341" spans="25:25" x14ac:dyDescent="0.25">
      <c r="Y341" s="5"/>
    </row>
    <row r="342" spans="25:25" x14ac:dyDescent="0.25">
      <c r="Y342" s="5"/>
    </row>
    <row r="343" spans="25:25" x14ac:dyDescent="0.25">
      <c r="Y343" s="5"/>
    </row>
    <row r="344" spans="25:25" x14ac:dyDescent="0.25">
      <c r="Y344" s="5"/>
    </row>
    <row r="345" spans="25:25" x14ac:dyDescent="0.25">
      <c r="Y345" s="5"/>
    </row>
    <row r="346" spans="25:25" x14ac:dyDescent="0.25">
      <c r="Y346" s="5"/>
    </row>
    <row r="347" spans="25:25" x14ac:dyDescent="0.25">
      <c r="Y347" s="5"/>
    </row>
    <row r="348" spans="25:25" x14ac:dyDescent="0.25">
      <c r="Y348" s="5"/>
    </row>
    <row r="349" spans="25:25" x14ac:dyDescent="0.25">
      <c r="Y349" s="5"/>
    </row>
    <row r="350" spans="25:25" x14ac:dyDescent="0.25">
      <c r="Y350" s="5"/>
    </row>
    <row r="351" spans="25:25" x14ac:dyDescent="0.25">
      <c r="Y351" s="5"/>
    </row>
    <row r="352" spans="25:25" x14ac:dyDescent="0.25">
      <c r="Y352" s="5"/>
    </row>
    <row r="353" spans="25:25" x14ac:dyDescent="0.25">
      <c r="Y353" s="5"/>
    </row>
    <row r="354" spans="25:25" x14ac:dyDescent="0.25">
      <c r="Y354" s="5"/>
    </row>
    <row r="355" spans="25:25" x14ac:dyDescent="0.25">
      <c r="Y355" s="5"/>
    </row>
    <row r="356" spans="25:25" x14ac:dyDescent="0.25">
      <c r="Y356" s="5"/>
    </row>
    <row r="357" spans="25:25" x14ac:dyDescent="0.25">
      <c r="Y357" s="5"/>
    </row>
    <row r="358" spans="25:25" x14ac:dyDescent="0.25">
      <c r="Y358" s="5"/>
    </row>
    <row r="359" spans="25:25" x14ac:dyDescent="0.25">
      <c r="Y359" s="5"/>
    </row>
    <row r="360" spans="25:25" x14ac:dyDescent="0.25">
      <c r="Y360" s="5"/>
    </row>
    <row r="361" spans="25:25" x14ac:dyDescent="0.25">
      <c r="Y361" s="5"/>
    </row>
    <row r="362" spans="25:25" x14ac:dyDescent="0.25">
      <c r="Y362" s="5"/>
    </row>
    <row r="363" spans="25:25" x14ac:dyDescent="0.25">
      <c r="Y363" s="5"/>
    </row>
    <row r="364" spans="25:25" x14ac:dyDescent="0.25">
      <c r="Y364" s="5"/>
    </row>
    <row r="365" spans="25:25" x14ac:dyDescent="0.25">
      <c r="Y365" s="5"/>
    </row>
    <row r="366" spans="25:25" x14ac:dyDescent="0.25">
      <c r="Y366" s="5"/>
    </row>
    <row r="367" spans="25:25" x14ac:dyDescent="0.25">
      <c r="Y367" s="5"/>
    </row>
    <row r="368" spans="25:25" x14ac:dyDescent="0.25">
      <c r="Y368" s="5"/>
    </row>
    <row r="369" spans="25:25" x14ac:dyDescent="0.25">
      <c r="Y369" s="5"/>
    </row>
    <row r="370" spans="25:25" x14ac:dyDescent="0.25">
      <c r="Y370" s="5"/>
    </row>
    <row r="371" spans="25:25" x14ac:dyDescent="0.25">
      <c r="Y371" s="5"/>
    </row>
    <row r="372" spans="25:25" x14ac:dyDescent="0.25">
      <c r="Y372" s="5"/>
    </row>
    <row r="373" spans="25:25" x14ac:dyDescent="0.25">
      <c r="Y373" s="5"/>
    </row>
    <row r="374" spans="25:25" x14ac:dyDescent="0.25">
      <c r="Y374" s="5"/>
    </row>
    <row r="375" spans="25:25" x14ac:dyDescent="0.25">
      <c r="Y375" s="5"/>
    </row>
    <row r="376" spans="25:25" x14ac:dyDescent="0.25">
      <c r="Y376" s="5"/>
    </row>
    <row r="377" spans="25:25" x14ac:dyDescent="0.25">
      <c r="Y377" s="5"/>
    </row>
    <row r="378" spans="25:25" x14ac:dyDescent="0.25">
      <c r="Y378" s="5"/>
    </row>
    <row r="379" spans="25:25" x14ac:dyDescent="0.25">
      <c r="Y379" s="5"/>
    </row>
    <row r="380" spans="25:25" x14ac:dyDescent="0.25">
      <c r="Y380" s="5"/>
    </row>
    <row r="381" spans="25:25" x14ac:dyDescent="0.25">
      <c r="Y381" s="5"/>
    </row>
    <row r="382" spans="25:25" x14ac:dyDescent="0.25">
      <c r="Y382" s="5"/>
    </row>
    <row r="383" spans="25:25" x14ac:dyDescent="0.25">
      <c r="Y383" s="5"/>
    </row>
    <row r="384" spans="25:25" x14ac:dyDescent="0.25">
      <c r="Y384" s="5"/>
    </row>
    <row r="385" spans="25:25" x14ac:dyDescent="0.25">
      <c r="Y385" s="5"/>
    </row>
    <row r="386" spans="25:25" x14ac:dyDescent="0.25">
      <c r="Y386" s="5"/>
    </row>
    <row r="387" spans="25:25" x14ac:dyDescent="0.25">
      <c r="Y387" s="5"/>
    </row>
    <row r="388" spans="25:25" x14ac:dyDescent="0.25">
      <c r="Y388" s="5"/>
    </row>
    <row r="389" spans="25:25" x14ac:dyDescent="0.25">
      <c r="Y389" s="5"/>
    </row>
    <row r="390" spans="25:25" x14ac:dyDescent="0.25">
      <c r="Y390" s="5"/>
    </row>
    <row r="391" spans="25:25" x14ac:dyDescent="0.25">
      <c r="Y391" s="5"/>
    </row>
    <row r="392" spans="25:25" x14ac:dyDescent="0.25">
      <c r="Y392" s="5"/>
    </row>
    <row r="393" spans="25:25" x14ac:dyDescent="0.25">
      <c r="Y393" s="5"/>
    </row>
    <row r="394" spans="25:25" x14ac:dyDescent="0.25">
      <c r="Y394" s="5"/>
    </row>
    <row r="395" spans="25:25" x14ac:dyDescent="0.25">
      <c r="Y395" s="5"/>
    </row>
    <row r="396" spans="25:25" x14ac:dyDescent="0.25">
      <c r="Y396" s="5"/>
    </row>
    <row r="397" spans="25:25" x14ac:dyDescent="0.25">
      <c r="Y397" s="5"/>
    </row>
    <row r="398" spans="25:25" x14ac:dyDescent="0.25">
      <c r="Y398" s="5"/>
    </row>
    <row r="399" spans="25:25" x14ac:dyDescent="0.25">
      <c r="Y399" s="5"/>
    </row>
    <row r="400" spans="25:25" x14ac:dyDescent="0.25">
      <c r="Y400" s="5"/>
    </row>
    <row r="401" spans="25:25" x14ac:dyDescent="0.25">
      <c r="Y401" s="5"/>
    </row>
    <row r="402" spans="25:25" x14ac:dyDescent="0.25">
      <c r="Y402" s="5"/>
    </row>
    <row r="403" spans="25:25" x14ac:dyDescent="0.25">
      <c r="Y403" s="5"/>
    </row>
    <row r="404" spans="25:25" x14ac:dyDescent="0.25">
      <c r="Y404" s="5"/>
    </row>
    <row r="405" spans="25:25" x14ac:dyDescent="0.25">
      <c r="Y405" s="5"/>
    </row>
    <row r="406" spans="25:25" x14ac:dyDescent="0.25">
      <c r="Y406" s="5"/>
    </row>
    <row r="407" spans="25:25" x14ac:dyDescent="0.25">
      <c r="Y407" s="5"/>
    </row>
    <row r="408" spans="25:25" x14ac:dyDescent="0.25">
      <c r="Y408" s="5"/>
    </row>
    <row r="409" spans="25:25" x14ac:dyDescent="0.25">
      <c r="Y409" s="5"/>
    </row>
    <row r="410" spans="25:25" x14ac:dyDescent="0.25">
      <c r="Y410" s="5"/>
    </row>
    <row r="411" spans="25:25" x14ac:dyDescent="0.25">
      <c r="Y411" s="5"/>
    </row>
    <row r="412" spans="25:25" x14ac:dyDescent="0.25">
      <c r="Y412" s="5"/>
    </row>
    <row r="413" spans="25:25" x14ac:dyDescent="0.25">
      <c r="Y413" s="5"/>
    </row>
    <row r="414" spans="25:25" x14ac:dyDescent="0.25">
      <c r="Y414" s="5"/>
    </row>
    <row r="415" spans="25:25" x14ac:dyDescent="0.25">
      <c r="Y415" s="5"/>
    </row>
    <row r="416" spans="25:25" x14ac:dyDescent="0.25">
      <c r="Y416" s="5"/>
    </row>
    <row r="417" spans="25:25" x14ac:dyDescent="0.25">
      <c r="Y417" s="5"/>
    </row>
    <row r="418" spans="25:25" x14ac:dyDescent="0.25">
      <c r="Y418" s="5"/>
    </row>
    <row r="419" spans="25:25" x14ac:dyDescent="0.25">
      <c r="Y419" s="5"/>
    </row>
    <row r="420" spans="25:25" x14ac:dyDescent="0.25">
      <c r="Y420" s="5"/>
    </row>
    <row r="421" spans="25:25" x14ac:dyDescent="0.25">
      <c r="Y421" s="5"/>
    </row>
    <row r="422" spans="25:25" x14ac:dyDescent="0.25">
      <c r="Y422" s="5"/>
    </row>
    <row r="423" spans="25:25" x14ac:dyDescent="0.25">
      <c r="Y423" s="5"/>
    </row>
    <row r="424" spans="25:25" x14ac:dyDescent="0.25">
      <c r="Y424" s="5"/>
    </row>
    <row r="425" spans="25:25" x14ac:dyDescent="0.25">
      <c r="Y425" s="5"/>
    </row>
    <row r="426" spans="25:25" x14ac:dyDescent="0.25">
      <c r="Y426" s="5"/>
    </row>
    <row r="427" spans="25:25" x14ac:dyDescent="0.25">
      <c r="Y427" s="5"/>
    </row>
    <row r="428" spans="25:25" x14ac:dyDescent="0.25">
      <c r="Y428" s="5"/>
    </row>
    <row r="429" spans="25:25" x14ac:dyDescent="0.25">
      <c r="Y429" s="5"/>
    </row>
    <row r="430" spans="25:25" x14ac:dyDescent="0.25">
      <c r="Y430" s="5"/>
    </row>
    <row r="431" spans="25:25" x14ac:dyDescent="0.25">
      <c r="Y431" s="5"/>
    </row>
    <row r="432" spans="25:25" x14ac:dyDescent="0.25">
      <c r="Y432" s="5"/>
    </row>
    <row r="433" spans="25:25" x14ac:dyDescent="0.25">
      <c r="Y433" s="5"/>
    </row>
    <row r="434" spans="25:25" x14ac:dyDescent="0.25">
      <c r="Y434" s="5"/>
    </row>
    <row r="435" spans="25:25" x14ac:dyDescent="0.25">
      <c r="Y435" s="5"/>
    </row>
    <row r="436" spans="25:25" x14ac:dyDescent="0.25">
      <c r="Y436" s="5"/>
    </row>
    <row r="437" spans="25:25" x14ac:dyDescent="0.25">
      <c r="Y437" s="5"/>
    </row>
    <row r="438" spans="25:25" x14ac:dyDescent="0.25">
      <c r="Y438" s="5"/>
    </row>
    <row r="439" spans="25:25" x14ac:dyDescent="0.25">
      <c r="Y439" s="5"/>
    </row>
    <row r="440" spans="25:25" x14ac:dyDescent="0.25">
      <c r="Y440" s="5"/>
    </row>
    <row r="441" spans="25:25" x14ac:dyDescent="0.25">
      <c r="Y441" s="5"/>
    </row>
    <row r="442" spans="25:25" x14ac:dyDescent="0.25">
      <c r="Y442" s="5"/>
    </row>
    <row r="443" spans="25:25" x14ac:dyDescent="0.25">
      <c r="Y443" s="5"/>
    </row>
    <row r="444" spans="25:25" x14ac:dyDescent="0.25">
      <c r="Y444" s="5"/>
    </row>
    <row r="445" spans="25:25" x14ac:dyDescent="0.25">
      <c r="Y445" s="5"/>
    </row>
    <row r="446" spans="25:25" x14ac:dyDescent="0.25">
      <c r="Y446" s="5"/>
    </row>
    <row r="447" spans="25:25" x14ac:dyDescent="0.25">
      <c r="Y447" s="5"/>
    </row>
    <row r="448" spans="25:25" x14ac:dyDescent="0.25">
      <c r="Y448" s="5"/>
    </row>
    <row r="449" spans="25:25" x14ac:dyDescent="0.25">
      <c r="Y449" s="5"/>
    </row>
    <row r="450" spans="25:25" x14ac:dyDescent="0.25">
      <c r="Y450" s="5"/>
    </row>
    <row r="451" spans="25:25" x14ac:dyDescent="0.25">
      <c r="Y451" s="5"/>
    </row>
    <row r="452" spans="25:25" x14ac:dyDescent="0.25">
      <c r="Y452" s="5"/>
    </row>
    <row r="453" spans="25:25" x14ac:dyDescent="0.25">
      <c r="Y453" s="5"/>
    </row>
    <row r="454" spans="25:25" x14ac:dyDescent="0.25">
      <c r="Y454" s="5"/>
    </row>
    <row r="455" spans="25:25" x14ac:dyDescent="0.25">
      <c r="Y455" s="5"/>
    </row>
    <row r="456" spans="25:25" x14ac:dyDescent="0.25">
      <c r="Y456" s="5"/>
    </row>
    <row r="457" spans="25:25" x14ac:dyDescent="0.25">
      <c r="Y457" s="5"/>
    </row>
    <row r="458" spans="25:25" x14ac:dyDescent="0.25">
      <c r="Y458" s="5"/>
    </row>
    <row r="459" spans="25:25" x14ac:dyDescent="0.25">
      <c r="Y459" s="5"/>
    </row>
    <row r="460" spans="25:25" x14ac:dyDescent="0.25">
      <c r="Y460" s="5"/>
    </row>
    <row r="461" spans="25:25" x14ac:dyDescent="0.25">
      <c r="Y461" s="5"/>
    </row>
    <row r="462" spans="25:25" x14ac:dyDescent="0.25">
      <c r="Y462" s="5"/>
    </row>
    <row r="463" spans="25:25" x14ac:dyDescent="0.25">
      <c r="Y463" s="5"/>
    </row>
    <row r="464" spans="25:25" x14ac:dyDescent="0.25">
      <c r="Y464" s="5"/>
    </row>
    <row r="465" spans="25:25" x14ac:dyDescent="0.25">
      <c r="Y465" s="5"/>
    </row>
    <row r="466" spans="25:25" x14ac:dyDescent="0.25">
      <c r="Y466" s="5"/>
    </row>
    <row r="467" spans="25:25" x14ac:dyDescent="0.25">
      <c r="Y467" s="5"/>
    </row>
    <row r="468" spans="25:25" x14ac:dyDescent="0.25">
      <c r="Y468" s="5"/>
    </row>
    <row r="469" spans="25:25" x14ac:dyDescent="0.25">
      <c r="Y469" s="5"/>
    </row>
    <row r="470" spans="25:25" x14ac:dyDescent="0.25">
      <c r="Y470" s="5"/>
    </row>
    <row r="471" spans="25:25" x14ac:dyDescent="0.25">
      <c r="Y471" s="5"/>
    </row>
    <row r="472" spans="25:25" x14ac:dyDescent="0.25">
      <c r="Y472" s="5"/>
    </row>
    <row r="473" spans="25:25" x14ac:dyDescent="0.25">
      <c r="Y473" s="5"/>
    </row>
    <row r="474" spans="25:25" x14ac:dyDescent="0.25">
      <c r="Y474" s="5"/>
    </row>
    <row r="475" spans="25:25" x14ac:dyDescent="0.25">
      <c r="Y475" s="5"/>
    </row>
    <row r="476" spans="25:25" x14ac:dyDescent="0.25">
      <c r="Y476" s="5"/>
    </row>
    <row r="477" spans="25:25" x14ac:dyDescent="0.25">
      <c r="Y477" s="5"/>
    </row>
    <row r="478" spans="25:25" x14ac:dyDescent="0.25">
      <c r="Y478" s="5"/>
    </row>
    <row r="479" spans="25:25" x14ac:dyDescent="0.25">
      <c r="Y479" s="5"/>
    </row>
    <row r="480" spans="25:25" x14ac:dyDescent="0.25">
      <c r="Y480" s="5"/>
    </row>
    <row r="481" spans="25:25" x14ac:dyDescent="0.25">
      <c r="Y481" s="5"/>
    </row>
    <row r="482" spans="25:25" x14ac:dyDescent="0.25">
      <c r="Y482" s="5"/>
    </row>
    <row r="483" spans="25:25" x14ac:dyDescent="0.25">
      <c r="Y483" s="5"/>
    </row>
    <row r="484" spans="25:25" x14ac:dyDescent="0.25">
      <c r="Y484" s="5"/>
    </row>
    <row r="485" spans="25:25" x14ac:dyDescent="0.25">
      <c r="Y485" s="5"/>
    </row>
    <row r="486" spans="25:25" x14ac:dyDescent="0.25">
      <c r="Y486" s="5"/>
    </row>
    <row r="487" spans="25:25" x14ac:dyDescent="0.25">
      <c r="Y487" s="5"/>
    </row>
    <row r="488" spans="25:25" x14ac:dyDescent="0.25">
      <c r="Y488" s="5"/>
    </row>
    <row r="489" spans="25:25" x14ac:dyDescent="0.25">
      <c r="Y489" s="5"/>
    </row>
    <row r="490" spans="25:25" x14ac:dyDescent="0.25">
      <c r="Y490" s="5"/>
    </row>
    <row r="491" spans="25:25" x14ac:dyDescent="0.25">
      <c r="Y491" s="5"/>
    </row>
    <row r="492" spans="25:25" x14ac:dyDescent="0.25">
      <c r="Y492" s="5"/>
    </row>
    <row r="493" spans="25:25" x14ac:dyDescent="0.25">
      <c r="Y493" s="5"/>
    </row>
    <row r="494" spans="25:25" x14ac:dyDescent="0.25">
      <c r="Y494" s="5"/>
    </row>
    <row r="495" spans="25:25" x14ac:dyDescent="0.25">
      <c r="Y495" s="5"/>
    </row>
    <row r="496" spans="25:25" x14ac:dyDescent="0.25">
      <c r="Y496" s="5"/>
    </row>
    <row r="497" spans="25:25" x14ac:dyDescent="0.25">
      <c r="Y497" s="5"/>
    </row>
    <row r="498" spans="25:25" x14ac:dyDescent="0.25">
      <c r="Y498" s="5"/>
    </row>
    <row r="499" spans="25:25" x14ac:dyDescent="0.25">
      <c r="Y499" s="5"/>
    </row>
    <row r="500" spans="25:25" x14ac:dyDescent="0.25">
      <c r="Y500" s="5"/>
    </row>
    <row r="501" spans="25:25" x14ac:dyDescent="0.25">
      <c r="Y501" s="5"/>
    </row>
    <row r="502" spans="25:25" x14ac:dyDescent="0.25">
      <c r="Y502" s="5"/>
    </row>
    <row r="503" spans="25:25" x14ac:dyDescent="0.25">
      <c r="Y503" s="5"/>
    </row>
    <row r="504" spans="25:25" x14ac:dyDescent="0.25">
      <c r="Y504" s="5"/>
    </row>
    <row r="505" spans="25:25" x14ac:dyDescent="0.25">
      <c r="Y505" s="5"/>
    </row>
    <row r="506" spans="25:25" x14ac:dyDescent="0.25">
      <c r="Y506" s="5"/>
    </row>
    <row r="507" spans="25:25" x14ac:dyDescent="0.25">
      <c r="Y507" s="5"/>
    </row>
    <row r="508" spans="25:25" x14ac:dyDescent="0.25">
      <c r="Y508" s="5"/>
    </row>
    <row r="509" spans="25:25" x14ac:dyDescent="0.25">
      <c r="Y509" s="5"/>
    </row>
    <row r="510" spans="25:25" x14ac:dyDescent="0.25">
      <c r="Y510" s="5"/>
    </row>
    <row r="511" spans="25:25" x14ac:dyDescent="0.25">
      <c r="Y511" s="5"/>
    </row>
    <row r="512" spans="25:25" x14ac:dyDescent="0.25">
      <c r="Y512" s="5"/>
    </row>
    <row r="513" spans="25:25" x14ac:dyDescent="0.25">
      <c r="Y513" s="5"/>
    </row>
    <row r="514" spans="25:25" x14ac:dyDescent="0.25">
      <c r="Y514" s="5"/>
    </row>
    <row r="515" spans="25:25" x14ac:dyDescent="0.25">
      <c r="Y515" s="5"/>
    </row>
    <row r="516" spans="25:25" x14ac:dyDescent="0.25">
      <c r="Y516" s="5"/>
    </row>
    <row r="517" spans="25:25" x14ac:dyDescent="0.25">
      <c r="Y517" s="5"/>
    </row>
    <row r="518" spans="25:25" x14ac:dyDescent="0.25">
      <c r="Y518" s="5"/>
    </row>
    <row r="519" spans="25:25" x14ac:dyDescent="0.25">
      <c r="Y519" s="5"/>
    </row>
    <row r="520" spans="25:25" x14ac:dyDescent="0.25">
      <c r="Y520" s="5"/>
    </row>
    <row r="521" spans="25:25" x14ac:dyDescent="0.25">
      <c r="Y521" s="5"/>
    </row>
    <row r="522" spans="25:25" x14ac:dyDescent="0.25">
      <c r="Y522" s="5"/>
    </row>
    <row r="523" spans="25:25" x14ac:dyDescent="0.25">
      <c r="Y523" s="5"/>
    </row>
    <row r="524" spans="25:25" x14ac:dyDescent="0.25">
      <c r="Y524" s="5"/>
    </row>
    <row r="525" spans="25:25" x14ac:dyDescent="0.25">
      <c r="Y525" s="5"/>
    </row>
    <row r="526" spans="25:25" x14ac:dyDescent="0.25">
      <c r="Y526" s="5"/>
    </row>
    <row r="527" spans="25:25" x14ac:dyDescent="0.25">
      <c r="Y527" s="5"/>
    </row>
    <row r="528" spans="25:25" x14ac:dyDescent="0.25">
      <c r="Y528" s="5"/>
    </row>
    <row r="529" spans="25:25" x14ac:dyDescent="0.25">
      <c r="Y529" s="5"/>
    </row>
    <row r="530" spans="25:25" x14ac:dyDescent="0.25">
      <c r="Y530" s="5"/>
    </row>
    <row r="531" spans="25:25" x14ac:dyDescent="0.25">
      <c r="Y531" s="5"/>
    </row>
    <row r="532" spans="25:25" x14ac:dyDescent="0.25">
      <c r="Y532" s="5"/>
    </row>
    <row r="533" spans="25:25" x14ac:dyDescent="0.25">
      <c r="Y533" s="5"/>
    </row>
    <row r="534" spans="25:25" x14ac:dyDescent="0.25">
      <c r="Y534" s="5"/>
    </row>
    <row r="535" spans="25:25" x14ac:dyDescent="0.25">
      <c r="Y535" s="5"/>
    </row>
    <row r="536" spans="25:25" x14ac:dyDescent="0.25">
      <c r="Y536" s="5"/>
    </row>
    <row r="537" spans="25:25" x14ac:dyDescent="0.25">
      <c r="Y537" s="5"/>
    </row>
    <row r="538" spans="25:25" x14ac:dyDescent="0.25">
      <c r="Y538" s="5"/>
    </row>
    <row r="539" spans="25:25" x14ac:dyDescent="0.25">
      <c r="Y539" s="5"/>
    </row>
    <row r="540" spans="25:25" x14ac:dyDescent="0.25">
      <c r="Y540" s="5"/>
    </row>
    <row r="541" spans="25:25" x14ac:dyDescent="0.25">
      <c r="Y541" s="5"/>
    </row>
    <row r="542" spans="25:25" x14ac:dyDescent="0.25">
      <c r="Y542" s="5"/>
    </row>
    <row r="543" spans="25:25" x14ac:dyDescent="0.25">
      <c r="Y543" s="5"/>
    </row>
    <row r="544" spans="25:25" x14ac:dyDescent="0.25">
      <c r="Y544" s="5"/>
    </row>
    <row r="545" spans="25:25" x14ac:dyDescent="0.25">
      <c r="Y545" s="5"/>
    </row>
    <row r="546" spans="25:25" x14ac:dyDescent="0.25">
      <c r="Y546" s="5"/>
    </row>
    <row r="547" spans="25:25" x14ac:dyDescent="0.25">
      <c r="Y547" s="5"/>
    </row>
    <row r="548" spans="25:25" x14ac:dyDescent="0.25">
      <c r="Y548" s="5"/>
    </row>
    <row r="549" spans="25:25" x14ac:dyDescent="0.25">
      <c r="Y549" s="5"/>
    </row>
    <row r="550" spans="25:25" x14ac:dyDescent="0.25">
      <c r="Y550" s="5"/>
    </row>
    <row r="551" spans="25:25" x14ac:dyDescent="0.25">
      <c r="Y551" s="5"/>
    </row>
    <row r="552" spans="25:25" x14ac:dyDescent="0.25">
      <c r="Y552" s="5"/>
    </row>
    <row r="553" spans="25:25" x14ac:dyDescent="0.25">
      <c r="Y553" s="5"/>
    </row>
    <row r="554" spans="25:25" x14ac:dyDescent="0.25">
      <c r="Y554" s="5"/>
    </row>
    <row r="555" spans="25:25" x14ac:dyDescent="0.25">
      <c r="Y555" s="5"/>
    </row>
    <row r="556" spans="25:25" x14ac:dyDescent="0.25">
      <c r="Y556" s="5"/>
    </row>
    <row r="557" spans="25:25" x14ac:dyDescent="0.25">
      <c r="Y557" s="5"/>
    </row>
    <row r="561" s="5" customFormat="1" x14ac:dyDescent="0.25"/>
    <row r="562" s="5" customFormat="1" x14ac:dyDescent="0.25"/>
    <row r="563" s="5" customFormat="1" x14ac:dyDescent="0.25"/>
    <row r="564" s="5" customFormat="1" x14ac:dyDescent="0.25"/>
    <row r="565" s="5" customFormat="1" x14ac:dyDescent="0.25"/>
    <row r="566" s="5" customFormat="1" x14ac:dyDescent="0.25"/>
    <row r="567" s="5" customFormat="1" x14ac:dyDescent="0.25"/>
    <row r="568" s="5" customFormat="1" x14ac:dyDescent="0.25"/>
    <row r="569" s="5" customFormat="1" x14ac:dyDescent="0.25"/>
    <row r="570" s="5" customFormat="1" x14ac:dyDescent="0.25"/>
    <row r="571" s="5" customFormat="1" x14ac:dyDescent="0.25"/>
    <row r="572" s="5" customFormat="1" x14ac:dyDescent="0.25"/>
    <row r="573" s="5" customFormat="1" x14ac:dyDescent="0.25"/>
    <row r="574" s="5" customFormat="1" x14ac:dyDescent="0.25"/>
    <row r="575" s="5" customFormat="1" x14ac:dyDescent="0.25"/>
    <row r="576" s="5" customFormat="1" x14ac:dyDescent="0.25"/>
    <row r="577" s="5" customFormat="1" x14ac:dyDescent="0.25"/>
    <row r="578" s="5" customFormat="1" x14ac:dyDescent="0.25"/>
    <row r="579" s="5" customFormat="1" x14ac:dyDescent="0.25"/>
    <row r="580" s="5" customFormat="1" x14ac:dyDescent="0.25"/>
    <row r="581" s="5" customFormat="1" x14ac:dyDescent="0.25"/>
    <row r="582" s="5" customFormat="1" x14ac:dyDescent="0.25"/>
    <row r="583" s="5" customFormat="1" x14ac:dyDescent="0.25"/>
    <row r="584" s="5" customFormat="1" x14ac:dyDescent="0.25"/>
    <row r="585" s="5" customFormat="1" x14ac:dyDescent="0.25"/>
    <row r="586" s="5" customFormat="1" x14ac:dyDescent="0.25"/>
    <row r="587" s="5" customFormat="1" x14ac:dyDescent="0.25"/>
    <row r="588" s="5" customFormat="1" x14ac:dyDescent="0.25"/>
    <row r="589" s="5" customFormat="1" x14ac:dyDescent="0.25"/>
    <row r="590" s="5" customFormat="1" x14ac:dyDescent="0.25"/>
    <row r="591" s="5" customFormat="1" x14ac:dyDescent="0.25"/>
    <row r="592" s="5" customFormat="1" x14ac:dyDescent="0.25"/>
    <row r="593" s="5" customFormat="1" x14ac:dyDescent="0.25"/>
    <row r="594" s="5" customFormat="1" x14ac:dyDescent="0.25"/>
    <row r="595" s="5" customFormat="1" x14ac:dyDescent="0.25"/>
    <row r="596" s="5" customFormat="1" x14ac:dyDescent="0.25"/>
    <row r="597" s="5" customFormat="1" x14ac:dyDescent="0.25"/>
    <row r="598" s="5" customFormat="1" x14ac:dyDescent="0.25"/>
    <row r="599" s="5" customFormat="1" x14ac:dyDescent="0.25"/>
    <row r="600" s="5" customFormat="1" x14ac:dyDescent="0.25"/>
    <row r="601" s="5" customFormat="1" x14ac:dyDescent="0.25"/>
    <row r="602" s="5" customFormat="1" x14ac:dyDescent="0.25"/>
    <row r="603" s="5" customFormat="1" x14ac:dyDescent="0.25"/>
    <row r="604" s="5" customFormat="1" x14ac:dyDescent="0.25"/>
    <row r="605" s="5" customFormat="1" x14ac:dyDescent="0.25"/>
    <row r="606" s="5" customFormat="1" x14ac:dyDescent="0.25"/>
    <row r="607" s="5" customFormat="1" x14ac:dyDescent="0.25"/>
    <row r="608" s="5" customFormat="1" x14ac:dyDescent="0.25"/>
    <row r="609" s="5" customFormat="1" x14ac:dyDescent="0.25"/>
    <row r="610" s="5" customFormat="1" x14ac:dyDescent="0.25"/>
    <row r="611" s="5" customFormat="1" x14ac:dyDescent="0.25"/>
    <row r="612" s="5" customFormat="1" x14ac:dyDescent="0.25"/>
    <row r="613" s="5" customFormat="1" x14ac:dyDescent="0.25"/>
    <row r="614" s="5" customFormat="1" x14ac:dyDescent="0.25"/>
    <row r="615" s="5" customFormat="1" x14ac:dyDescent="0.25"/>
    <row r="616" s="5" customFormat="1" x14ac:dyDescent="0.25"/>
    <row r="617" s="5" customFormat="1" x14ac:dyDescent="0.25"/>
    <row r="618" s="5" customFormat="1" x14ac:dyDescent="0.25"/>
    <row r="619" s="5" customFormat="1" x14ac:dyDescent="0.25"/>
    <row r="620" s="5" customFormat="1" x14ac:dyDescent="0.25"/>
    <row r="621" s="5" customFormat="1" x14ac:dyDescent="0.25"/>
    <row r="622" s="5" customFormat="1" x14ac:dyDescent="0.25"/>
    <row r="623" s="5" customFormat="1" x14ac:dyDescent="0.25"/>
  </sheetData>
  <mergeCells count="57">
    <mergeCell ref="AT1:AX1"/>
    <mergeCell ref="AY1:BC1"/>
    <mergeCell ref="AJ1:AN1"/>
    <mergeCell ref="A1:C1"/>
    <mergeCell ref="L1:L3"/>
    <mergeCell ref="M1:R1"/>
    <mergeCell ref="S1:X1"/>
    <mergeCell ref="Q2:Q3"/>
    <mergeCell ref="R2:R3"/>
    <mergeCell ref="S2:S3"/>
    <mergeCell ref="T2:T3"/>
    <mergeCell ref="O2:O3"/>
    <mergeCell ref="P2:P3"/>
    <mergeCell ref="AO1:AS1"/>
    <mergeCell ref="Z1:AD1"/>
    <mergeCell ref="AE1:AI1"/>
    <mergeCell ref="A2:C3"/>
    <mergeCell ref="D2:E2"/>
    <mergeCell ref="F2:G2"/>
    <mergeCell ref="M2:M3"/>
    <mergeCell ref="N2:N3"/>
    <mergeCell ref="AP2:AP3"/>
    <mergeCell ref="AQ2:AQ3"/>
    <mergeCell ref="AJ2:AJ3"/>
    <mergeCell ref="AK2:AK3"/>
    <mergeCell ref="U2:U3"/>
    <mergeCell ref="V2:V3"/>
    <mergeCell ref="W2:W3"/>
    <mergeCell ref="X2:X3"/>
    <mergeCell ref="AC2:AC3"/>
    <mergeCell ref="AL2:AL3"/>
    <mergeCell ref="AM2:AM3"/>
    <mergeCell ref="AN2:AN3"/>
    <mergeCell ref="AO2:AO3"/>
    <mergeCell ref="BC2:BC3"/>
    <mergeCell ref="AT2:AT3"/>
    <mergeCell ref="AU2:AU3"/>
    <mergeCell ref="AV2:AV3"/>
    <mergeCell ref="AW2:AW3"/>
    <mergeCell ref="AX2:AX3"/>
    <mergeCell ref="AY2:AY3"/>
    <mergeCell ref="A4:C4"/>
    <mergeCell ref="A5:C5"/>
    <mergeCell ref="AZ2:AZ3"/>
    <mergeCell ref="BA2:BA3"/>
    <mergeCell ref="BB2:BB3"/>
    <mergeCell ref="AD2:AD3"/>
    <mergeCell ref="AE2:AE3"/>
    <mergeCell ref="AF2:AF3"/>
    <mergeCell ref="AG2:AG3"/>
    <mergeCell ref="AH2:AH3"/>
    <mergeCell ref="AI2:AI3"/>
    <mergeCell ref="AR2:AR3"/>
    <mergeCell ref="AS2:AS3"/>
    <mergeCell ref="Z2:Z3"/>
    <mergeCell ref="AA2:AA3"/>
    <mergeCell ref="AB2:AB3"/>
  </mergeCells>
  <conditionalFormatting sqref="M4:M63">
    <cfRule type="expression" dxfId="5" priority="6">
      <formula>M4&lt;&gt;S4</formula>
    </cfRule>
  </conditionalFormatting>
  <conditionalFormatting sqref="D4">
    <cfRule type="expression" dxfId="4" priority="5">
      <formula>D4&lt;E4</formula>
    </cfRule>
  </conditionalFormatting>
  <conditionalFormatting sqref="E4">
    <cfRule type="expression" dxfId="3" priority="4">
      <formula>E4&gt;D4</formula>
    </cfRule>
  </conditionalFormatting>
  <conditionalFormatting sqref="C28">
    <cfRule type="containsText" dxfId="2" priority="3" operator="containsText" text="OR(Error,Multiply)">
      <formula>NOT(ISERROR(SEARCH("OR(Error,Multiply)",C28)))</formula>
    </cfRule>
  </conditionalFormatting>
  <conditionalFormatting sqref="C52">
    <cfRule type="containsText" dxfId="1" priority="2" operator="containsText" text="OR(Error,Multiply)">
      <formula>NOT(ISERROR(SEARCH("OR(Error,Multiply)",C52)))</formula>
    </cfRule>
  </conditionalFormatting>
  <conditionalFormatting sqref="M59">
    <cfRule type="expression" dxfId="0" priority="1">
      <formula>M59&lt;&gt;S59</formula>
    </cfRule>
  </conditionalFormatting>
  <pageMargins left="0.7" right="0.7" top="0.75" bottom="0.75" header="0.3" footer="0.3"/>
  <pageSetup paperSize="5"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Risk per Trade Sample</vt:lpstr>
      <vt:lpstr>ORB Rules</vt:lpstr>
      <vt:lpstr>Base Data</vt:lpstr>
      <vt:lpstr>Gap Z, OH-OL &amp; Prev. BO Rules</vt:lpstr>
      <vt:lpstr>ORB</vt:lpstr>
      <vt:lpstr>BNF-Nifty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S. Pereira</dc:creator>
  <cp:lastModifiedBy>Vincent S. Pereira</cp:lastModifiedBy>
  <dcterms:created xsi:type="dcterms:W3CDTF">2016-06-17T06:01:36Z</dcterms:created>
  <dcterms:modified xsi:type="dcterms:W3CDTF">2024-03-02T01:16:34Z</dcterms:modified>
</cp:coreProperties>
</file>