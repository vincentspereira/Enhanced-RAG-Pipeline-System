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incent\Current Working Files\Trading Files - New\"/>
    </mc:Choice>
  </mc:AlternateContent>
  <xr:revisionPtr revIDLastSave="0" documentId="13_ncr:1_{AB806E0E-1FCB-4316-8328-4110244A1BF0}" xr6:coauthVersionLast="47" xr6:coauthVersionMax="47" xr10:uidLastSave="{00000000-0000-0000-0000-000000000000}"/>
  <bookViews>
    <workbookView xWindow="-118" yWindow="-118" windowWidth="33749" windowHeight="20474" xr2:uid="{00000000-000D-0000-FFFF-FFFF00000000}"/>
  </bookViews>
  <sheets>
    <sheet name="IntraDay - GAV" sheetId="1" r:id="rId1"/>
    <sheet name="Positional - GAV" sheetId="4" r:id="rId2"/>
    <sheet name="Sheet3" sheetId="3" r:id="rId3"/>
  </sheets>
  <externalReferences>
    <externalReference r:id="rId4"/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G23" i="1" l="1"/>
  <c r="AF23" i="1" s="1"/>
  <c r="AG22" i="1"/>
  <c r="AF22" i="1" s="1"/>
  <c r="AG21" i="1"/>
  <c r="AF21" i="1" s="1"/>
  <c r="AG20" i="1"/>
  <c r="AF20" i="1" s="1"/>
  <c r="AG19" i="1"/>
  <c r="AF19" i="1" s="1"/>
  <c r="AG18" i="1"/>
  <c r="AF18" i="1" s="1"/>
  <c r="AG17" i="1"/>
  <c r="AF17" i="1" s="1"/>
  <c r="AG16" i="1"/>
  <c r="AF16" i="1" s="1"/>
  <c r="AG15" i="1"/>
  <c r="AF15" i="1" s="1"/>
  <c r="AG14" i="1"/>
  <c r="AF14" i="1" s="1"/>
  <c r="AG13" i="1"/>
  <c r="AF13" i="1" s="1"/>
  <c r="AG12" i="1"/>
  <c r="AF12" i="1" s="1"/>
  <c r="AG11" i="1"/>
  <c r="AF11" i="1" s="1"/>
  <c r="AG10" i="1"/>
  <c r="AF10" i="1" s="1"/>
  <c r="AG9" i="1"/>
  <c r="AF9" i="1" s="1"/>
  <c r="AG8" i="1"/>
  <c r="AF8" i="1" s="1"/>
  <c r="AG7" i="1"/>
  <c r="AF7" i="1" s="1"/>
  <c r="R7" i="1"/>
  <c r="R18" i="4"/>
  <c r="R16" i="4"/>
  <c r="R14" i="4"/>
  <c r="R13" i="4"/>
  <c r="R11" i="4"/>
  <c r="R10" i="4"/>
  <c r="R9" i="4"/>
  <c r="R8" i="4"/>
  <c r="R7" i="4"/>
  <c r="R19" i="1"/>
  <c r="R9" i="1"/>
  <c r="R8" i="1"/>
  <c r="R12" i="1"/>
  <c r="R11" i="1"/>
  <c r="R17" i="1"/>
  <c r="R15" i="1"/>
  <c r="R14" i="1"/>
  <c r="R10" i="1"/>
  <c r="E4" i="1"/>
  <c r="D4" i="1"/>
  <c r="F4" i="4"/>
  <c r="E4" i="4"/>
  <c r="J17" i="4" l="1"/>
  <c r="I17" i="4"/>
  <c r="A17" i="4"/>
  <c r="B17" i="4" s="1"/>
  <c r="J16" i="4"/>
  <c r="I16" i="4" s="1"/>
  <c r="A16" i="4"/>
  <c r="B16" i="4" s="1"/>
  <c r="J15" i="4"/>
  <c r="I15" i="4"/>
  <c r="A15" i="4"/>
  <c r="B15" i="4" s="1"/>
  <c r="J14" i="4"/>
  <c r="I14" i="4"/>
  <c r="A14" i="4"/>
  <c r="B14" i="4" s="1"/>
  <c r="J13" i="4"/>
  <c r="I13" i="4"/>
  <c r="A13" i="4"/>
  <c r="B13" i="4" s="1"/>
  <c r="I12" i="4"/>
  <c r="B12" i="4"/>
  <c r="I11" i="4"/>
  <c r="B11" i="4"/>
  <c r="I10" i="4"/>
  <c r="B10" i="4"/>
  <c r="I9" i="4"/>
  <c r="B9" i="4"/>
  <c r="I8" i="4"/>
  <c r="B8" i="4"/>
  <c r="I7" i="4"/>
  <c r="B7" i="4"/>
  <c r="P4" i="4"/>
  <c r="O4" i="4"/>
  <c r="N4" i="4"/>
  <c r="M4" i="1" l="1"/>
  <c r="L4" i="1"/>
  <c r="N4" i="1"/>
  <c r="I4" i="4" l="1"/>
  <c r="G4" i="4"/>
  <c r="H4" i="4"/>
  <c r="J18" i="1"/>
  <c r="I18" i="1" s="1"/>
  <c r="A18" i="1"/>
  <c r="B18" i="1" s="1"/>
  <c r="J17" i="1"/>
  <c r="I17" i="1" s="1"/>
  <c r="A17" i="1"/>
  <c r="B17" i="1" s="1"/>
  <c r="J16" i="1"/>
  <c r="I16" i="1" s="1"/>
  <c r="A16" i="1"/>
  <c r="B16" i="1" s="1"/>
  <c r="J15" i="1"/>
  <c r="I15" i="1" s="1"/>
  <c r="A15" i="1"/>
  <c r="B15" i="1" s="1"/>
  <c r="J14" i="1"/>
  <c r="I14" i="1" s="1"/>
  <c r="A14" i="1"/>
  <c r="B14" i="1" s="1"/>
  <c r="I13" i="1"/>
  <c r="B13" i="1"/>
  <c r="I12" i="1"/>
  <c r="B12" i="1"/>
  <c r="I11" i="1"/>
  <c r="B11" i="1"/>
  <c r="I10" i="1"/>
  <c r="B10" i="1"/>
  <c r="I9" i="1"/>
  <c r="B9" i="1"/>
  <c r="I8" i="1"/>
  <c r="B8" i="1"/>
  <c r="H4" i="1" l="1"/>
  <c r="G4" i="1"/>
  <c r="C4" i="1" l="1"/>
  <c r="F4" i="1"/>
  <c r="I4" i="1"/>
  <c r="J4" i="4"/>
  <c r="K4" i="4" s="1"/>
  <c r="L4" i="4" s="1"/>
  <c r="J26" i="1" l="1"/>
  <c r="I26" i="1"/>
  <c r="I27" i="1"/>
  <c r="J4" i="1"/>
  <c r="C4" i="4" l="1"/>
  <c r="M4" i="4" s="1"/>
  <c r="S18" i="4" s="1"/>
  <c r="U18" i="4" s="1"/>
  <c r="O4" i="1"/>
  <c r="K4" i="1"/>
  <c r="AE7" i="1" l="1"/>
  <c r="AC7" i="1" s="1"/>
  <c r="AE23" i="1"/>
  <c r="AC23" i="1" s="1"/>
  <c r="AE22" i="1"/>
  <c r="AC22" i="1" s="1"/>
  <c r="AE21" i="1"/>
  <c r="AC21" i="1" s="1"/>
  <c r="AE20" i="1"/>
  <c r="AC20" i="1" s="1"/>
  <c r="AE19" i="1"/>
  <c r="AC19" i="1" s="1"/>
  <c r="AE18" i="1"/>
  <c r="AC18" i="1" s="1"/>
  <c r="AE17" i="1"/>
  <c r="AC17" i="1" s="1"/>
  <c r="AE16" i="1"/>
  <c r="AC16" i="1" s="1"/>
  <c r="AE15" i="1"/>
  <c r="AC15" i="1" s="1"/>
  <c r="AE14" i="1"/>
  <c r="AC14" i="1" s="1"/>
  <c r="AE13" i="1"/>
  <c r="AC13" i="1" s="1"/>
  <c r="AE12" i="1"/>
  <c r="AC12" i="1" s="1"/>
  <c r="AE11" i="1"/>
  <c r="AC11" i="1" s="1"/>
  <c r="AE10" i="1"/>
  <c r="AC10" i="1" s="1"/>
  <c r="AJ7" i="1" s="1"/>
  <c r="AE9" i="1"/>
  <c r="AC9" i="1" s="1"/>
  <c r="AE8" i="1"/>
  <c r="AC8" i="1" s="1"/>
  <c r="S7" i="1"/>
  <c r="U7" i="1" s="1"/>
  <c r="S15" i="4"/>
  <c r="U15" i="4" s="1"/>
  <c r="S22" i="4"/>
  <c r="U22" i="4" s="1"/>
  <c r="C17" i="4"/>
  <c r="S16" i="4"/>
  <c r="U16" i="4" s="1"/>
  <c r="W16" i="4" s="1"/>
  <c r="S10" i="4"/>
  <c r="U10" i="4" s="1"/>
  <c r="S21" i="4"/>
  <c r="U21" i="4" s="1"/>
  <c r="S14" i="4"/>
  <c r="U14" i="4" s="1"/>
  <c r="S17" i="4"/>
  <c r="U17" i="4" s="1"/>
  <c r="S7" i="4"/>
  <c r="U7" i="4" s="1"/>
  <c r="S12" i="4"/>
  <c r="U12" i="4" s="1"/>
  <c r="S11" i="4"/>
  <c r="U11" i="4" s="1"/>
  <c r="S9" i="4"/>
  <c r="U9" i="4" s="1"/>
  <c r="S13" i="4"/>
  <c r="U13" i="4" s="1"/>
  <c r="S8" i="4"/>
  <c r="U8" i="4" s="1"/>
  <c r="S20" i="4"/>
  <c r="U20" i="4" s="1"/>
  <c r="W18" i="4" s="1"/>
  <c r="S19" i="4"/>
  <c r="U19" i="4" s="1"/>
  <c r="S9" i="1"/>
  <c r="U9" i="1" s="1"/>
  <c r="S8" i="1"/>
  <c r="U8" i="1" s="1"/>
  <c r="S13" i="1"/>
  <c r="U13" i="1" s="1"/>
  <c r="S12" i="1"/>
  <c r="U12" i="1" s="1"/>
  <c r="S11" i="1"/>
  <c r="U11" i="1" s="1"/>
  <c r="S18" i="1"/>
  <c r="U18" i="1" s="1"/>
  <c r="S16" i="1"/>
  <c r="U16" i="1" s="1"/>
  <c r="S19" i="1"/>
  <c r="U19" i="1" s="1"/>
  <c r="S20" i="1"/>
  <c r="U20" i="1" s="1"/>
  <c r="S10" i="1"/>
  <c r="U10" i="1" s="1"/>
  <c r="S17" i="1"/>
  <c r="U17" i="1" s="1"/>
  <c r="S15" i="1"/>
  <c r="U15" i="1" s="1"/>
  <c r="S14" i="1"/>
  <c r="U14" i="1" s="1"/>
  <c r="C18" i="1"/>
  <c r="H17" i="1"/>
  <c r="F17" i="1" s="1"/>
  <c r="H15" i="1"/>
  <c r="F15" i="1" s="1"/>
  <c r="H10" i="1"/>
  <c r="F10" i="1" s="1"/>
  <c r="H12" i="1"/>
  <c r="F12" i="1" s="1"/>
  <c r="C13" i="1"/>
  <c r="E13" i="1" s="1"/>
  <c r="C17" i="1"/>
  <c r="H14" i="1"/>
  <c r="F14" i="1" s="1"/>
  <c r="H16" i="1"/>
  <c r="F16" i="1" s="1"/>
  <c r="H11" i="1"/>
  <c r="F11" i="1" s="1"/>
  <c r="C14" i="1"/>
  <c r="E14" i="1" s="1"/>
  <c r="H13" i="1"/>
  <c r="F13" i="1" s="1"/>
  <c r="C15" i="1"/>
  <c r="C16" i="1"/>
  <c r="S21" i="1" s="1"/>
  <c r="U21" i="1" s="1"/>
  <c r="C11" i="1"/>
  <c r="E11" i="1" s="1"/>
  <c r="C12" i="1"/>
  <c r="E12" i="1" s="1"/>
  <c r="H9" i="1"/>
  <c r="F9" i="1" s="1"/>
  <c r="C9" i="1"/>
  <c r="E9" i="1" s="1"/>
  <c r="H8" i="1"/>
  <c r="F8" i="1" s="1"/>
  <c r="J27" i="1" s="1"/>
  <c r="C8" i="1"/>
  <c r="E8" i="1" s="1"/>
  <c r="H18" i="1"/>
  <c r="F18" i="1" s="1"/>
  <c r="C10" i="1"/>
  <c r="E10" i="1" s="1"/>
  <c r="Q4" i="4"/>
  <c r="AJ17" i="1" l="1"/>
  <c r="AJ15" i="1"/>
  <c r="AJ14" i="1"/>
  <c r="AJ10" i="1"/>
  <c r="AH19" i="1"/>
  <c r="AH17" i="1"/>
  <c r="AH15" i="1"/>
  <c r="AH14" i="1"/>
  <c r="AH10" i="1"/>
  <c r="AH21" i="1" s="1"/>
  <c r="AB18" i="1"/>
  <c r="AB16" i="1"/>
  <c r="AB13" i="1"/>
  <c r="AB12" i="1"/>
  <c r="AB11" i="1"/>
  <c r="AB21" i="1" s="1"/>
  <c r="Z13" i="1"/>
  <c r="Z8" i="1"/>
  <c r="Z12" i="1"/>
  <c r="Z11" i="1"/>
  <c r="Z9" i="1"/>
  <c r="N8" i="4"/>
  <c r="X14" i="1"/>
  <c r="X15" i="1"/>
  <c r="X7" i="1"/>
  <c r="X17" i="1"/>
  <c r="X10" i="1"/>
  <c r="P16" i="1"/>
  <c r="V10" i="1"/>
  <c r="W9" i="4"/>
  <c r="P11" i="1"/>
  <c r="P21" i="1" s="1"/>
  <c r="P10" i="4"/>
  <c r="N10" i="4"/>
  <c r="P11" i="4"/>
  <c r="N11" i="4"/>
  <c r="P17" i="4"/>
  <c r="P12" i="4"/>
  <c r="N12" i="4"/>
  <c r="N7" i="4"/>
  <c r="P15" i="4"/>
  <c r="P12" i="1"/>
  <c r="P13" i="1"/>
  <c r="P18" i="1"/>
  <c r="N8" i="1"/>
  <c r="N11" i="1"/>
  <c r="N9" i="1"/>
  <c r="N12" i="1"/>
  <c r="N13" i="1"/>
  <c r="V19" i="1"/>
  <c r="W13" i="4"/>
  <c r="W14" i="4"/>
  <c r="V17" i="1"/>
  <c r="E18" i="1"/>
  <c r="S23" i="1"/>
  <c r="U23" i="1" s="1"/>
  <c r="E17" i="1"/>
  <c r="S22" i="1"/>
  <c r="U22" i="1" s="1"/>
  <c r="V14" i="1"/>
  <c r="E16" i="1"/>
  <c r="K26" i="1" s="1"/>
  <c r="E15" i="1"/>
  <c r="V15" i="1"/>
  <c r="E27" i="1"/>
  <c r="F27" i="1"/>
  <c r="H26" i="1"/>
  <c r="D27" i="1"/>
  <c r="F26" i="1"/>
  <c r="G27" i="1"/>
  <c r="H27" i="1"/>
  <c r="G26" i="1"/>
  <c r="D26" i="1"/>
  <c r="C8" i="4"/>
  <c r="E8" i="4" s="1"/>
  <c r="I25" i="4" s="1"/>
  <c r="H10" i="4"/>
  <c r="F10" i="4" s="1"/>
  <c r="C7" i="4"/>
  <c r="E7" i="4" s="1"/>
  <c r="J25" i="4" s="1"/>
  <c r="C12" i="4"/>
  <c r="E12" i="4" s="1"/>
  <c r="H13" i="4"/>
  <c r="F13" i="4" s="1"/>
  <c r="H11" i="4"/>
  <c r="F11" i="4" s="1"/>
  <c r="C16" i="4"/>
  <c r="E16" i="4" s="1"/>
  <c r="H14" i="4"/>
  <c r="F14" i="4" s="1"/>
  <c r="C9" i="4"/>
  <c r="E9" i="4" s="1"/>
  <c r="H15" i="4"/>
  <c r="F15" i="4" s="1"/>
  <c r="C13" i="4"/>
  <c r="E13" i="4" s="1"/>
  <c r="H17" i="4"/>
  <c r="F17" i="4" s="1"/>
  <c r="E17" i="4"/>
  <c r="C11" i="4"/>
  <c r="E11" i="4" s="1"/>
  <c r="H9" i="4"/>
  <c r="F9" i="4" s="1"/>
  <c r="H8" i="4"/>
  <c r="F8" i="4" s="1"/>
  <c r="I26" i="4" s="1"/>
  <c r="C15" i="4"/>
  <c r="E15" i="4" s="1"/>
  <c r="C10" i="4"/>
  <c r="E10" i="4" s="1"/>
  <c r="H7" i="4"/>
  <c r="F7" i="4" s="1"/>
  <c r="J26" i="4" s="1"/>
  <c r="H16" i="4"/>
  <c r="F16" i="4" s="1"/>
  <c r="C14" i="4"/>
  <c r="E14" i="4" s="1"/>
  <c r="H12" i="4"/>
  <c r="F12" i="4" s="1"/>
  <c r="B26" i="1"/>
  <c r="C27" i="1"/>
  <c r="B27" i="1"/>
  <c r="C26" i="1"/>
  <c r="E26" i="1"/>
  <c r="Z16" i="1" l="1"/>
  <c r="AJ19" i="1"/>
  <c r="N16" i="1"/>
  <c r="V21" i="1"/>
  <c r="X19" i="1"/>
  <c r="N15" i="4"/>
  <c r="W20" i="4"/>
  <c r="P20" i="4"/>
  <c r="K27" i="1"/>
  <c r="E26" i="4"/>
  <c r="C23" i="1"/>
  <c r="C29" i="1"/>
  <c r="L27" i="1"/>
  <c r="L26" i="1"/>
  <c r="H25" i="4"/>
  <c r="G25" i="4"/>
  <c r="F25" i="4"/>
  <c r="H26" i="4"/>
  <c r="D25" i="4"/>
  <c r="D26" i="4"/>
  <c r="F26" i="4"/>
  <c r="G26" i="4"/>
  <c r="H32" i="1"/>
  <c r="E29" i="1"/>
  <c r="E30" i="1" s="1"/>
  <c r="E31" i="1" s="1"/>
  <c r="H29" i="1"/>
  <c r="H30" i="1" s="1"/>
  <c r="H31" i="1" s="1"/>
  <c r="D32" i="1"/>
  <c r="G32" i="1"/>
  <c r="D29" i="1"/>
  <c r="D30" i="1" s="1"/>
  <c r="D31" i="1" s="1"/>
  <c r="G29" i="1"/>
  <c r="G30" i="1" s="1"/>
  <c r="G31" i="1" s="1"/>
  <c r="E32" i="1"/>
  <c r="F32" i="1"/>
  <c r="E20" i="1"/>
  <c r="E23" i="1"/>
  <c r="E22" i="1" s="1"/>
  <c r="E21" i="1" s="1"/>
  <c r="F20" i="1"/>
  <c r="I20" i="1"/>
  <c r="J20" i="1"/>
  <c r="H20" i="1"/>
  <c r="D23" i="1"/>
  <c r="D22" i="1" s="1"/>
  <c r="D21" i="1" s="1"/>
  <c r="G20" i="1"/>
  <c r="I32" i="1"/>
  <c r="J32" i="1"/>
  <c r="B25" i="4"/>
  <c r="C26" i="4"/>
  <c r="E25" i="4"/>
  <c r="K25" i="4"/>
  <c r="K26" i="4"/>
  <c r="B29" i="1"/>
  <c r="B30" i="1" s="1"/>
  <c r="B31" i="1" s="1"/>
  <c r="B32" i="1"/>
  <c r="F23" i="1"/>
  <c r="F22" i="1" s="1"/>
  <c r="F21" i="1" s="1"/>
  <c r="I23" i="1"/>
  <c r="I22" i="1" s="1"/>
  <c r="I21" i="1" s="1"/>
  <c r="J23" i="1"/>
  <c r="J22" i="1" s="1"/>
  <c r="J21" i="1" s="1"/>
  <c r="H23" i="1"/>
  <c r="H22" i="1" s="1"/>
  <c r="H21" i="1" s="1"/>
  <c r="F29" i="1"/>
  <c r="F30" i="1" s="1"/>
  <c r="F31" i="1" s="1"/>
  <c r="B20" i="1"/>
  <c r="B23" i="1"/>
  <c r="B22" i="1" s="1"/>
  <c r="B21" i="1" s="1"/>
  <c r="D20" i="1"/>
  <c r="G23" i="1"/>
  <c r="G22" i="1" s="1"/>
  <c r="G21" i="1" s="1"/>
  <c r="I29" i="1"/>
  <c r="I30" i="1" s="1"/>
  <c r="I31" i="1" s="1"/>
  <c r="J29" i="1"/>
  <c r="J30" i="1" s="1"/>
  <c r="J31" i="1" s="1"/>
  <c r="C25" i="4"/>
  <c r="B26" i="4"/>
  <c r="E31" i="4" l="1"/>
  <c r="H19" i="4"/>
  <c r="G28" i="4"/>
  <c r="G29" i="4" s="1"/>
  <c r="G30" i="4" s="1"/>
  <c r="H31" i="4"/>
  <c r="D28" i="4"/>
  <c r="D29" i="4" s="1"/>
  <c r="D30" i="4" s="1"/>
  <c r="J31" i="4"/>
  <c r="D22" i="4"/>
  <c r="D21" i="4" s="1"/>
  <c r="D20" i="4" s="1"/>
  <c r="D31" i="4"/>
  <c r="H28" i="4"/>
  <c r="H29" i="4" s="1"/>
  <c r="H30" i="4" s="1"/>
  <c r="J28" i="4"/>
  <c r="J29" i="4" s="1"/>
  <c r="J30" i="4" s="1"/>
  <c r="G31" i="4"/>
  <c r="J19" i="4"/>
  <c r="I22" i="4"/>
  <c r="I21" i="4" s="1"/>
  <c r="I20" i="4" s="1"/>
  <c r="I31" i="4"/>
  <c r="F31" i="4"/>
  <c r="G22" i="4"/>
  <c r="G21" i="4" s="1"/>
  <c r="G20" i="4" s="1"/>
  <c r="C19" i="4"/>
  <c r="C22" i="4"/>
  <c r="C21" i="4" s="1"/>
  <c r="C20" i="4" s="1"/>
  <c r="B19" i="4"/>
  <c r="B22" i="4"/>
  <c r="B21" i="4" s="1"/>
  <c r="B20" i="4" s="1"/>
  <c r="F22" i="4"/>
  <c r="F21" i="4" s="1"/>
  <c r="F20" i="4" s="1"/>
  <c r="I19" i="4"/>
  <c r="J22" i="4"/>
  <c r="J21" i="4" s="1"/>
  <c r="J20" i="4" s="1"/>
  <c r="H22" i="4"/>
  <c r="H21" i="4" s="1"/>
  <c r="H20" i="4" s="1"/>
  <c r="D19" i="4"/>
  <c r="B31" i="4"/>
  <c r="B28" i="4"/>
  <c r="B29" i="4" s="1"/>
  <c r="B30" i="4" s="1"/>
  <c r="E22" i="4"/>
  <c r="E21" i="4" s="1"/>
  <c r="E20" i="4" s="1"/>
  <c r="E19" i="4"/>
  <c r="F28" i="4"/>
  <c r="F29" i="4" s="1"/>
  <c r="F30" i="4" s="1"/>
  <c r="C31" i="4"/>
  <c r="C28" i="4"/>
  <c r="C29" i="4" s="1"/>
  <c r="C30" i="4" s="1"/>
  <c r="F19" i="4"/>
  <c r="I28" i="4"/>
  <c r="I29" i="4" s="1"/>
  <c r="I30" i="4" s="1"/>
  <c r="G19" i="4"/>
  <c r="E28" i="4"/>
  <c r="E29" i="4" s="1"/>
  <c r="E30" i="4" s="1"/>
</calcChain>
</file>

<file path=xl/sharedStrings.xml><?xml version="1.0" encoding="utf-8"?>
<sst xmlns="http://schemas.openxmlformats.org/spreadsheetml/2006/main" count="305" uniqueCount="105">
  <si>
    <t>Degree Factor</t>
  </si>
  <si>
    <t>Resistance</t>
  </si>
  <si>
    <t>16X1</t>
  </si>
  <si>
    <t>1X16</t>
  </si>
  <si>
    <t>8X1</t>
  </si>
  <si>
    <t>1X8</t>
  </si>
  <si>
    <t>4X1</t>
  </si>
  <si>
    <t>1X4</t>
  </si>
  <si>
    <t>3X1</t>
  </si>
  <si>
    <t>1X3</t>
  </si>
  <si>
    <t>2X1</t>
  </si>
  <si>
    <t>1X2</t>
  </si>
  <si>
    <t>1X1</t>
  </si>
  <si>
    <t>Support</t>
  </si>
  <si>
    <t>Angle Degree</t>
  </si>
  <si>
    <t>Trend Lines</t>
  </si>
  <si>
    <t>Mid Point</t>
  </si>
  <si>
    <t>Open Price</t>
  </si>
  <si>
    <t>High Price</t>
  </si>
  <si>
    <t>Low Price</t>
  </si>
  <si>
    <t>Price Range</t>
  </si>
  <si>
    <t>Entry</t>
  </si>
  <si>
    <t>Target 1</t>
  </si>
  <si>
    <t>Target 2</t>
  </si>
  <si>
    <t>Target 3</t>
  </si>
  <si>
    <t>Target 4</t>
  </si>
  <si>
    <t>Target 5</t>
  </si>
  <si>
    <t>Target 6</t>
  </si>
  <si>
    <t>Target 7</t>
  </si>
  <si>
    <t>Current Time</t>
  </si>
  <si>
    <t>Market Stabilisation Time</t>
  </si>
  <si>
    <t>Long</t>
  </si>
  <si>
    <t>Short</t>
  </si>
  <si>
    <t>Stop Loss</t>
  </si>
  <si>
    <t>Lot Size</t>
  </si>
  <si>
    <t>Scrip Name</t>
  </si>
  <si>
    <t>BankNifty</t>
  </si>
  <si>
    <t>Note :</t>
  </si>
  <si>
    <t>P&amp;L Amount</t>
  </si>
  <si>
    <t>Points</t>
  </si>
  <si>
    <t>Trade Type</t>
  </si>
  <si>
    <t>Long Entries, SL &amp; Targets</t>
  </si>
  <si>
    <t>Short Entries, SL &amp; Targets</t>
  </si>
  <si>
    <t>Entry 2</t>
  </si>
  <si>
    <t>Entry 1</t>
  </si>
  <si>
    <t>Stop Loss 1</t>
  </si>
  <si>
    <t>Stop Loss 2</t>
  </si>
  <si>
    <t>http://youtu.be/v2M8aVu1q9c</t>
  </si>
  <si>
    <t>P&amp;L % Returns</t>
  </si>
  <si>
    <t>Total Margin</t>
  </si>
  <si>
    <t>Intraday Trading - Gann Angle &amp; Volatility System :</t>
  </si>
  <si>
    <t>%</t>
  </si>
  <si>
    <t>Target 11</t>
  </si>
  <si>
    <t>Target 1 8</t>
  </si>
  <si>
    <t>Target 1 7</t>
  </si>
  <si>
    <t>Target 1 6</t>
  </si>
  <si>
    <t>Target 1 5</t>
  </si>
  <si>
    <t>Target 1 4</t>
  </si>
  <si>
    <t>Target 1 3</t>
  </si>
  <si>
    <t>Target 1 2</t>
  </si>
  <si>
    <t>Target 2 5</t>
  </si>
  <si>
    <t>Target 2 4</t>
  </si>
  <si>
    <t>Target 2 3</t>
  </si>
  <si>
    <t>Target 2 1</t>
  </si>
  <si>
    <t>Target 2 2</t>
  </si>
  <si>
    <t>Positional Trading - Gann Angle &amp; Volatility System :</t>
  </si>
  <si>
    <t>Trade Holding Period</t>
  </si>
  <si>
    <t>Close Price / LTP</t>
  </si>
  <si>
    <t>Use VWAP for finding trend as well as finding the Entry Price.</t>
  </si>
  <si>
    <t>Check how to calculate the Trend Finder</t>
  </si>
  <si>
    <t>1. If the Annual Volatility is &gt;= 50%, then Entry will be @ 45 Degree Angle, else it will be @ 15 Degree Angle.</t>
  </si>
  <si>
    <t>2. If the Annual Volatility is &gt;= 50%, then Target 1 will be @ 63.75 Degree Angle, else it will be @ 26.25 Degree Angle.</t>
  </si>
  <si>
    <t>3. The Final Target will be @ 0.48 Degree Factor.</t>
  </si>
  <si>
    <t>4. There are a total of 3 cycles. Once the first cycle is complete (all the targets met), then key in the latest LTP and recheck the new levels, till all the targets are met.</t>
  </si>
  <si>
    <t>5. Once Target 2 is achieved, raise the Stop Loss level to Entry Price and thereafter keep raising the SL on achieving the next Target Price.</t>
  </si>
  <si>
    <t>7. If the Position is to be kept open for 5 Days, multiply the Volatility by SQRT(5) to find the Volatility of 5 Days and then check the Gann Levels.</t>
  </si>
  <si>
    <t>8. After Step # 7, multiply the Price Range received with 3 (for 3 cycles ) and then use the calculations.</t>
  </si>
  <si>
    <t>9. For Positional Trades, use the SL of 45 Degree (1x1 level) instead of using the 1x4 or 4x1 level.</t>
  </si>
  <si>
    <t>Target 1 1</t>
  </si>
  <si>
    <t>6. Use the opening price from 9:15 AM to 10:00 AM and thereaafter, use the LTP.</t>
  </si>
  <si>
    <t>No. of Lots</t>
  </si>
  <si>
    <t>Daily Volatility
(%)</t>
  </si>
  <si>
    <t>Annual Volatility
(%)</t>
  </si>
  <si>
    <t>Message</t>
  </si>
  <si>
    <t>Initiation Price</t>
  </si>
  <si>
    <t>Fibonacci Golden Ratios</t>
  </si>
  <si>
    <t>E</t>
  </si>
  <si>
    <t>T1</t>
  </si>
  <si>
    <t>Entry / T2</t>
  </si>
  <si>
    <t>Target 1 / T3</t>
  </si>
  <si>
    <t>Target 2 / T4</t>
  </si>
  <si>
    <t>Target 3 / T5</t>
  </si>
  <si>
    <t>Gann Angles</t>
  </si>
  <si>
    <t>Target 1 / E</t>
  </si>
  <si>
    <t>Target 2 / T1</t>
  </si>
  <si>
    <t>Target 3 / T2</t>
  </si>
  <si>
    <t>Target 4 / T3</t>
  </si>
  <si>
    <t>Target 5 / T4</t>
  </si>
  <si>
    <t>T5</t>
  </si>
  <si>
    <t>High Volatility</t>
  </si>
  <si>
    <t>Low Volatility</t>
  </si>
  <si>
    <t>Targets &amp; Entry</t>
  </si>
  <si>
    <t>SL</t>
  </si>
  <si>
    <t>7. If the Price of the Instrument is a One or a Two digit number, then Multiply the Open, High and Low Prices by 1000. And, divide the SL, Entry and Targets by 1000.</t>
  </si>
  <si>
    <t>6. Use the Opening Price from 9:15 AM to 10:00 AM and thereaafter, use the Mid Point [(High - Low) / 2].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</si>
</sst>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(* #,##0.00_);_(* \(#,##0.00\);_(* &quot;-&quot;??_);_(@_)"/>
    <numFmt numFmtId="165" formatCode="_(* #,##0.000_);_(* \(#,##0.000\);_(* &quot;-&quot;??_);_(@_)"/>
    <numFmt numFmtId="166" formatCode="[$-409]h:mm\ AM/PM;@"/>
  </numFmts>
  <fonts count="9" x14ac:knownFonts="1">
    <font>
      <sz val="11"/>
      <color theme="1"/>
      <name val="Calibri"/>
      <family val="2"/>
      <scheme val="minor"/>
    </font>
    <font>
      <sz val="9"/>
      <color theme="1"/>
      <name val="Garamond"/>
      <family val="1"/>
    </font>
    <font>
      <b/>
      <sz val="9"/>
      <color theme="1"/>
      <name val="Garamond"/>
      <family val="1"/>
    </font>
    <font>
      <b/>
      <sz val="9"/>
      <name val="Garamond"/>
      <family val="1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rgb="FFFF0000"/>
      <name val="Garamond"/>
      <family val="1"/>
    </font>
    <font>
      <sz val="9"/>
      <color rgb="FFFF0000"/>
      <name val="Garamond"/>
      <family val="1"/>
    </font>
    <font>
      <b/>
      <sz val="9"/>
      <color rgb="FF3333FF"/>
      <name val="Garamond"/>
      <family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99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vertical="center" wrapText="1"/>
    </xf>
    <xf numFmtId="164" fontId="1" fillId="0" borderId="0" xfId="1" applyFont="1" applyAlignment="1">
      <alignment vertical="center" wrapText="1"/>
    </xf>
    <xf numFmtId="164" fontId="3" fillId="0" borderId="1" xfId="1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2" fillId="3" borderId="0" xfId="0" applyFont="1" applyFill="1" applyAlignment="1">
      <alignment vertical="center" wrapText="1"/>
    </xf>
    <xf numFmtId="0" fontId="2" fillId="3" borderId="1" xfId="0" applyNumberFormat="1" applyFont="1" applyFill="1" applyBorder="1" applyAlignment="1">
      <alignment horizontal="center" vertical="center" wrapText="1"/>
    </xf>
    <xf numFmtId="164" fontId="2" fillId="3" borderId="1" xfId="1" applyFont="1" applyFill="1" applyBorder="1" applyAlignment="1">
      <alignment vertical="center" wrapText="1"/>
    </xf>
    <xf numFmtId="0" fontId="2" fillId="3" borderId="0" xfId="0" applyFont="1" applyFill="1" applyAlignment="1">
      <alignment vertical="center"/>
    </xf>
    <xf numFmtId="0" fontId="1" fillId="3" borderId="0" xfId="0" applyFont="1" applyFill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164" fontId="1" fillId="3" borderId="0" xfId="0" applyNumberFormat="1" applyFont="1" applyFill="1" applyAlignment="1">
      <alignment vertical="center" wrapText="1"/>
    </xf>
    <xf numFmtId="166" fontId="1" fillId="0" borderId="0" xfId="0" applyNumberFormat="1" applyFont="1" applyAlignment="1">
      <alignment vertical="center" wrapText="1"/>
    </xf>
    <xf numFmtId="18" fontId="1" fillId="0" borderId="0" xfId="0" applyNumberFormat="1" applyFont="1" applyAlignment="1">
      <alignment vertical="center" wrapText="1"/>
    </xf>
    <xf numFmtId="164" fontId="3" fillId="4" borderId="1" xfId="1" applyFont="1" applyFill="1" applyBorder="1" applyAlignment="1">
      <alignment vertical="center" wrapText="1"/>
    </xf>
    <xf numFmtId="164" fontId="1" fillId="4" borderId="1" xfId="1" applyFont="1" applyFill="1" applyBorder="1" applyAlignment="1">
      <alignment vertical="center" wrapText="1"/>
    </xf>
    <xf numFmtId="164" fontId="2" fillId="4" borderId="1" xfId="1" applyFont="1" applyFill="1" applyBorder="1" applyAlignment="1">
      <alignment vertical="center" wrapText="1"/>
    </xf>
    <xf numFmtId="0" fontId="2" fillId="4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164" fontId="2" fillId="5" borderId="1" xfId="1" applyFont="1" applyFill="1" applyBorder="1" applyAlignment="1">
      <alignment vertical="center" wrapText="1"/>
    </xf>
    <xf numFmtId="164" fontId="1" fillId="5" borderId="1" xfId="1" applyFont="1" applyFill="1" applyBorder="1" applyAlignment="1">
      <alignment vertical="center" wrapText="1"/>
    </xf>
    <xf numFmtId="164" fontId="2" fillId="0" borderId="0" xfId="0" applyNumberFormat="1" applyFont="1" applyAlignment="1">
      <alignment vertical="center" wrapText="1"/>
    </xf>
    <xf numFmtId="165" fontId="3" fillId="6" borderId="1" xfId="1" applyNumberFormat="1" applyFont="1" applyFill="1" applyBorder="1" applyAlignment="1">
      <alignment vertical="center" wrapText="1"/>
    </xf>
    <xf numFmtId="164" fontId="3" fillId="2" borderId="1" xfId="1" applyFont="1" applyFill="1" applyBorder="1" applyAlignment="1">
      <alignment vertical="center" wrapText="1"/>
    </xf>
    <xf numFmtId="164" fontId="1" fillId="0" borderId="1" xfId="1" applyFont="1" applyBorder="1" applyAlignment="1">
      <alignment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166" fontId="1" fillId="6" borderId="1" xfId="0" applyNumberFormat="1" applyFont="1" applyFill="1" applyBorder="1" applyAlignment="1">
      <alignment horizontal="center" vertical="center" wrapText="1"/>
    </xf>
    <xf numFmtId="164" fontId="1" fillId="6" borderId="1" xfId="1" applyFont="1" applyFill="1" applyBorder="1" applyAlignment="1">
      <alignment vertical="center" wrapText="1"/>
    </xf>
    <xf numFmtId="164" fontId="2" fillId="6" borderId="1" xfId="1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1" fillId="2" borderId="1" xfId="1" applyFont="1" applyFill="1" applyBorder="1" applyAlignment="1">
      <alignment vertical="center" wrapText="1"/>
    </xf>
    <xf numFmtId="166" fontId="1" fillId="2" borderId="1" xfId="0" applyNumberFormat="1" applyFont="1" applyFill="1" applyBorder="1" applyAlignment="1">
      <alignment horizontal="center" vertical="center" wrapText="1"/>
    </xf>
    <xf numFmtId="164" fontId="3" fillId="0" borderId="1" xfId="1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164" fontId="2" fillId="0" borderId="1" xfId="1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 wrapText="1"/>
    </xf>
    <xf numFmtId="164" fontId="2" fillId="0" borderId="1" xfId="1" applyFont="1" applyFill="1" applyBorder="1" applyAlignment="1">
      <alignment vertical="center" wrapText="1"/>
    </xf>
    <xf numFmtId="0" fontId="2" fillId="3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5" fillId="0" borderId="0" xfId="3" applyAlignment="1">
      <alignment vertical="center"/>
    </xf>
    <xf numFmtId="164" fontId="1" fillId="0" borderId="0" xfId="1" applyFont="1" applyBorder="1" applyAlignment="1">
      <alignment vertical="center" wrapText="1"/>
    </xf>
    <xf numFmtId="164" fontId="1" fillId="0" borderId="0" xfId="0" applyNumberFormat="1" applyFont="1" applyAlignment="1">
      <alignment vertical="center"/>
    </xf>
    <xf numFmtId="10" fontId="1" fillId="0" borderId="0" xfId="2" applyNumberFormat="1" applyFont="1" applyAlignment="1">
      <alignment vertical="center"/>
    </xf>
    <xf numFmtId="10" fontId="1" fillId="0" borderId="1" xfId="2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2" fontId="3" fillId="0" borderId="1" xfId="1" applyNumberFormat="1" applyFont="1" applyBorder="1" applyAlignment="1">
      <alignment horizontal="center" vertical="center" wrapText="1"/>
    </xf>
    <xf numFmtId="2" fontId="2" fillId="0" borderId="1" xfId="1" applyNumberFormat="1" applyFont="1" applyBorder="1" applyAlignment="1">
      <alignment horizontal="center" vertical="center" wrapText="1"/>
    </xf>
    <xf numFmtId="2" fontId="1" fillId="4" borderId="1" xfId="1" applyNumberFormat="1" applyFont="1" applyFill="1" applyBorder="1" applyAlignment="1">
      <alignment horizontal="center" vertical="center" wrapText="1"/>
    </xf>
    <xf numFmtId="2" fontId="2" fillId="4" borderId="1" xfId="1" applyNumberFormat="1" applyFont="1" applyFill="1" applyBorder="1" applyAlignment="1">
      <alignment horizontal="center" vertical="center" wrapText="1"/>
    </xf>
    <xf numFmtId="2" fontId="2" fillId="3" borderId="1" xfId="1" applyNumberFormat="1" applyFont="1" applyFill="1" applyBorder="1" applyAlignment="1">
      <alignment horizontal="center" vertical="center" wrapText="1"/>
    </xf>
    <xf numFmtId="2" fontId="1" fillId="3" borderId="1" xfId="1" applyNumberFormat="1" applyFont="1" applyFill="1" applyBorder="1" applyAlignment="1">
      <alignment horizontal="center" vertical="center" wrapText="1"/>
    </xf>
    <xf numFmtId="2" fontId="2" fillId="5" borderId="1" xfId="1" applyNumberFormat="1" applyFont="1" applyFill="1" applyBorder="1" applyAlignment="1">
      <alignment horizontal="center" vertical="center" wrapText="1"/>
    </xf>
    <xf numFmtId="2" fontId="1" fillId="5" borderId="1" xfId="1" applyNumberFormat="1" applyFont="1" applyFill="1" applyBorder="1" applyAlignment="1">
      <alignment horizontal="center" vertical="center" wrapText="1"/>
    </xf>
    <xf numFmtId="164" fontId="3" fillId="5" borderId="1" xfId="1" applyFont="1" applyFill="1" applyBorder="1" applyAlignment="1">
      <alignment vertical="center" wrapText="1"/>
    </xf>
    <xf numFmtId="2" fontId="1" fillId="0" borderId="1" xfId="1" applyNumberFormat="1" applyFont="1" applyFill="1" applyBorder="1" applyAlignment="1">
      <alignment horizontal="center" vertical="center" wrapText="1"/>
    </xf>
    <xf numFmtId="2" fontId="2" fillId="0" borderId="1" xfId="1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10" fontId="1" fillId="0" borderId="0" xfId="2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0" fontId="1" fillId="0" borderId="1" xfId="2" applyNumberFormat="1" applyFont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3" fillId="6" borderId="1" xfId="1" applyNumberFormat="1" applyFont="1" applyFill="1" applyBorder="1" applyAlignment="1">
      <alignment horizontal="center" vertical="center" wrapText="1"/>
    </xf>
    <xf numFmtId="9" fontId="1" fillId="0" borderId="0" xfId="0" applyNumberFormat="1" applyFont="1" applyAlignment="1">
      <alignment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165" fontId="3" fillId="6" borderId="1" xfId="1" applyNumberFormat="1" applyFont="1" applyFill="1" applyBorder="1" applyAlignment="1">
      <alignment horizontal="right" vertical="center" wrapText="1"/>
    </xf>
    <xf numFmtId="43" fontId="1" fillId="0" borderId="0" xfId="0" applyNumberFormat="1" applyFont="1" applyAlignment="1">
      <alignment vertical="center"/>
    </xf>
    <xf numFmtId="2" fontId="1" fillId="0" borderId="0" xfId="0" applyNumberFormat="1" applyFont="1" applyAlignment="1">
      <alignment vertical="center" wrapText="1"/>
    </xf>
    <xf numFmtId="2" fontId="8" fillId="0" borderId="1" xfId="1" applyNumberFormat="1" applyFont="1" applyBorder="1" applyAlignment="1">
      <alignment horizontal="center" vertical="center" wrapText="1"/>
    </xf>
    <xf numFmtId="164" fontId="8" fillId="0" borderId="1" xfId="1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164" fontId="8" fillId="2" borderId="0" xfId="1" applyFont="1" applyFill="1" applyAlignment="1">
      <alignment vertical="center" wrapText="1"/>
    </xf>
    <xf numFmtId="164" fontId="8" fillId="2" borderId="1" xfId="1" applyFont="1" applyFill="1" applyBorder="1" applyAlignment="1">
      <alignment vertical="center" wrapText="1"/>
    </xf>
    <xf numFmtId="164" fontId="8" fillId="7" borderId="0" xfId="1" applyFont="1" applyFill="1" applyAlignment="1">
      <alignment vertical="center" wrapText="1"/>
    </xf>
    <xf numFmtId="164" fontId="8" fillId="7" borderId="1" xfId="1" applyFont="1" applyFill="1" applyBorder="1" applyAlignment="1">
      <alignment vertical="center" wrapText="1"/>
    </xf>
    <xf numFmtId="10" fontId="1" fillId="0" borderId="0" xfId="0" applyNumberFormat="1" applyFont="1" applyAlignment="1">
      <alignment horizontal="center" vertical="center" wrapText="1"/>
    </xf>
    <xf numFmtId="10" fontId="2" fillId="3" borderId="0" xfId="0" applyNumberFormat="1" applyFont="1" applyFill="1" applyAlignment="1">
      <alignment horizontal="center" vertical="center" wrapText="1"/>
    </xf>
    <xf numFmtId="9" fontId="2" fillId="3" borderId="0" xfId="0" applyNumberFormat="1" applyFont="1" applyFill="1" applyAlignment="1">
      <alignment horizontal="center" vertical="center" wrapText="1"/>
    </xf>
    <xf numFmtId="10" fontId="1" fillId="3" borderId="0" xfId="0" applyNumberFormat="1" applyFont="1" applyFill="1" applyAlignment="1">
      <alignment horizontal="center" vertical="center" wrapText="1"/>
    </xf>
    <xf numFmtId="43" fontId="2" fillId="3" borderId="0" xfId="0" applyNumberFormat="1" applyFont="1" applyFill="1" applyAlignment="1">
      <alignment vertical="center" wrapText="1"/>
    </xf>
    <xf numFmtId="43" fontId="1" fillId="0" borderId="0" xfId="0" applyNumberFormat="1" applyFont="1" applyAlignment="1">
      <alignment vertical="center" wrapText="1"/>
    </xf>
    <xf numFmtId="43" fontId="1" fillId="3" borderId="0" xfId="0" applyNumberFormat="1" applyFont="1" applyFill="1" applyAlignment="1">
      <alignment vertical="center" wrapText="1"/>
    </xf>
    <xf numFmtId="43" fontId="2" fillId="0" borderId="0" xfId="0" applyNumberFormat="1" applyFont="1" applyAlignment="1">
      <alignment vertical="center" wrapText="1"/>
    </xf>
    <xf numFmtId="43" fontId="2" fillId="0" borderId="0" xfId="0" applyNumberFormat="1" applyFont="1" applyAlignment="1">
      <alignment vertical="center"/>
    </xf>
    <xf numFmtId="164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2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3333FF"/>
      <color rgb="FF00FF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01.%20Directional%20Trading%20System%20with%20MM%20-%20Version%201.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04.%20Master%20Data%20-%20Margin%20Requiremen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e Data"/>
      <sheetName val="BNF-Nifty"/>
      <sheetName val="Updated"/>
      <sheetName val="Old"/>
    </sheetNames>
    <sheetDataSet>
      <sheetData sheetId="0"/>
      <sheetData sheetId="1">
        <row r="4">
          <cell r="D4">
            <v>20625.75</v>
          </cell>
          <cell r="E4">
            <v>20803.400000000001</v>
          </cell>
          <cell r="F4">
            <v>20610.2</v>
          </cell>
          <cell r="G4">
            <v>20739.8</v>
          </cell>
        </row>
        <row r="54">
          <cell r="F54">
            <v>5.1938328688817238E-2</v>
          </cell>
        </row>
      </sheetData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gin - NSE Fut (5Paisa)"/>
      <sheetName val="New Pairs"/>
      <sheetName val="Sector"/>
      <sheetName val="Old Pairs"/>
      <sheetName val="Pairs - Sep 14"/>
      <sheetName val="Pairs - August 14"/>
      <sheetName val="Pairs - July 14"/>
      <sheetName val="Pairs-May 14"/>
      <sheetName val="Pairs-March 14"/>
      <sheetName val="Pairs-February 14"/>
      <sheetName val="Pairs-June 13"/>
      <sheetName val="Pairs-December 12"/>
      <sheetName val="Pairs-October 12"/>
      <sheetName val="Margin - NSE Fut (Balaji)"/>
      <sheetName val="Margin - MCX (Balaji)"/>
      <sheetName val="Current Pairs"/>
    </sheetNames>
    <sheetDataSet>
      <sheetData sheetId="0">
        <row r="1">
          <cell r="A1" t="str">
            <v>Span Margin Requirement - NSE Futures :</v>
          </cell>
          <cell r="D1" t="str">
            <v>http://www.5paisa.com/5pit/spma.asp</v>
          </cell>
          <cell r="K1"/>
        </row>
        <row r="2">
          <cell r="A2" t="str">
            <v>Margin Calculator</v>
          </cell>
          <cell r="B2" t="str">
            <v>Span Margin Nov 22, 2018</v>
          </cell>
          <cell r="C2"/>
          <cell r="D2"/>
          <cell r="E2"/>
          <cell r="F2"/>
          <cell r="G2"/>
          <cell r="H2"/>
          <cell r="I2"/>
          <cell r="J2"/>
          <cell r="K2"/>
        </row>
        <row r="3">
          <cell r="A3"/>
          <cell r="B3"/>
          <cell r="C3"/>
          <cell r="D3"/>
          <cell r="E3"/>
          <cell r="F3"/>
          <cell r="G3"/>
          <cell r="H3"/>
          <cell r="I3"/>
          <cell r="J3"/>
          <cell r="K3"/>
        </row>
        <row r="4">
          <cell r="A4" t="str">
            <v>Symbol</v>
          </cell>
          <cell r="B4" t="str">
            <v>Mlot</v>
          </cell>
          <cell r="C4" t="str">
            <v>SpMgn%</v>
          </cell>
          <cell r="D4" t="str">
            <v>ExpMgn%</v>
          </cell>
          <cell r="E4" t="str">
            <v>TotMgn%</v>
          </cell>
          <cell r="F4" t="str">
            <v>SpMgnPerShare</v>
          </cell>
          <cell r="G4" t="str">
            <v>ExpMgnPerShr</v>
          </cell>
          <cell r="H4" t="str">
            <v>TotMgnPerShr</v>
          </cell>
          <cell r="I4" t="str">
            <v>SpMgnPerLt</v>
          </cell>
          <cell r="J4" t="str">
            <v>ExpMgnPerLt</v>
          </cell>
          <cell r="K4" t="str">
            <v>TotMgnPerLt</v>
          </cell>
        </row>
        <row r="5">
          <cell r="A5" t="str">
            <v>ACC</v>
          </cell>
          <cell r="B5">
            <v>400</v>
          </cell>
          <cell r="C5">
            <v>11.25</v>
          </cell>
          <cell r="D5">
            <v>5</v>
          </cell>
          <cell r="E5">
            <v>16.25</v>
          </cell>
          <cell r="F5">
            <v>165.95</v>
          </cell>
          <cell r="G5">
            <v>73.75</v>
          </cell>
          <cell r="H5">
            <v>239.7</v>
          </cell>
          <cell r="I5">
            <v>66380</v>
          </cell>
          <cell r="J5">
            <v>29500</v>
          </cell>
          <cell r="K5">
            <v>95880</v>
          </cell>
        </row>
        <row r="6">
          <cell r="A6" t="str">
            <v>ADANIENT</v>
          </cell>
          <cell r="B6">
            <v>4000</v>
          </cell>
          <cell r="C6">
            <v>11.25</v>
          </cell>
          <cell r="D6">
            <v>5.38</v>
          </cell>
          <cell r="E6">
            <v>16.63</v>
          </cell>
          <cell r="F6">
            <v>18.079999999999998</v>
          </cell>
          <cell r="G6">
            <v>8.6456999999999997</v>
          </cell>
          <cell r="H6">
            <v>26.7257</v>
          </cell>
          <cell r="I6">
            <v>72320</v>
          </cell>
          <cell r="J6">
            <v>34582.639999999999</v>
          </cell>
          <cell r="K6">
            <v>106902.64</v>
          </cell>
        </row>
        <row r="7">
          <cell r="A7" t="str">
            <v>ADANIPORTS</v>
          </cell>
          <cell r="B7">
            <v>2500</v>
          </cell>
          <cell r="C7">
            <v>11.3</v>
          </cell>
          <cell r="D7">
            <v>5</v>
          </cell>
          <cell r="E7">
            <v>16.3</v>
          </cell>
          <cell r="F7">
            <v>40.11</v>
          </cell>
          <cell r="G7">
            <v>17.739999999999998</v>
          </cell>
          <cell r="H7">
            <v>57.85</v>
          </cell>
          <cell r="I7">
            <v>100275</v>
          </cell>
          <cell r="J7">
            <v>44350</v>
          </cell>
          <cell r="K7">
            <v>144625</v>
          </cell>
        </row>
        <row r="8">
          <cell r="A8" t="str">
            <v>ADANIPOWER</v>
          </cell>
          <cell r="B8">
            <v>20000</v>
          </cell>
          <cell r="C8">
            <v>17.739999999999998</v>
          </cell>
          <cell r="D8">
            <v>17.54</v>
          </cell>
          <cell r="E8">
            <v>35.28</v>
          </cell>
          <cell r="F8">
            <v>8.42</v>
          </cell>
          <cell r="G8">
            <v>8.3226999999999993</v>
          </cell>
          <cell r="H8">
            <v>16.742699999999999</v>
          </cell>
          <cell r="I8">
            <v>168400</v>
          </cell>
          <cell r="J8">
            <v>166454.6</v>
          </cell>
          <cell r="K8">
            <v>334854.59999999998</v>
          </cell>
        </row>
        <row r="9">
          <cell r="A9" t="str">
            <v>AJANTPHARM</v>
          </cell>
          <cell r="B9">
            <v>500</v>
          </cell>
          <cell r="C9">
            <v>11.27</v>
          </cell>
          <cell r="D9">
            <v>5</v>
          </cell>
          <cell r="E9">
            <v>16.27</v>
          </cell>
          <cell r="F9">
            <v>125.08</v>
          </cell>
          <cell r="G9">
            <v>55.454999999999998</v>
          </cell>
          <cell r="H9">
            <v>180.535</v>
          </cell>
          <cell r="I9">
            <v>62540</v>
          </cell>
          <cell r="J9">
            <v>27727.5</v>
          </cell>
          <cell r="K9">
            <v>90267.5</v>
          </cell>
        </row>
        <row r="10">
          <cell r="A10" t="str">
            <v>ALBK</v>
          </cell>
          <cell r="B10">
            <v>11000</v>
          </cell>
          <cell r="C10">
            <v>17.25</v>
          </cell>
          <cell r="D10">
            <v>5</v>
          </cell>
          <cell r="E10">
            <v>22.25</v>
          </cell>
          <cell r="F10">
            <v>7.72</v>
          </cell>
          <cell r="G10">
            <v>2.2374999999999998</v>
          </cell>
          <cell r="H10">
            <v>9.9574999999999996</v>
          </cell>
          <cell r="I10">
            <v>84920</v>
          </cell>
          <cell r="J10">
            <v>24612.5</v>
          </cell>
          <cell r="K10">
            <v>109532.5</v>
          </cell>
        </row>
        <row r="11">
          <cell r="A11" t="str">
            <v>AMARAJABAT</v>
          </cell>
          <cell r="B11">
            <v>700</v>
          </cell>
          <cell r="C11">
            <v>11.3</v>
          </cell>
          <cell r="D11">
            <v>5</v>
          </cell>
          <cell r="E11">
            <v>16.3</v>
          </cell>
          <cell r="F11">
            <v>81.95</v>
          </cell>
          <cell r="G11">
            <v>36.24</v>
          </cell>
          <cell r="H11">
            <v>118.19</v>
          </cell>
          <cell r="I11">
            <v>57365</v>
          </cell>
          <cell r="J11">
            <v>25368</v>
          </cell>
          <cell r="K11">
            <v>82733</v>
          </cell>
        </row>
        <row r="12">
          <cell r="A12" t="str">
            <v>AMBUJACEM</v>
          </cell>
          <cell r="B12">
            <v>2500</v>
          </cell>
          <cell r="C12">
            <v>11.27</v>
          </cell>
          <cell r="D12">
            <v>5</v>
          </cell>
          <cell r="E12">
            <v>16.27</v>
          </cell>
          <cell r="F12">
            <v>24.27</v>
          </cell>
          <cell r="G12">
            <v>10.765000000000001</v>
          </cell>
          <cell r="H12">
            <v>35.034999999999997</v>
          </cell>
          <cell r="I12">
            <v>60675</v>
          </cell>
          <cell r="J12">
            <v>26912.5</v>
          </cell>
          <cell r="K12">
            <v>87587.5</v>
          </cell>
        </row>
        <row r="13">
          <cell r="A13" t="str">
            <v>APOLLOHOSP</v>
          </cell>
          <cell r="B13">
            <v>500</v>
          </cell>
          <cell r="C13">
            <v>11.24</v>
          </cell>
          <cell r="D13">
            <v>5</v>
          </cell>
          <cell r="E13">
            <v>16.239999999999998</v>
          </cell>
          <cell r="F13">
            <v>134.66</v>
          </cell>
          <cell r="G13">
            <v>59.872500000000002</v>
          </cell>
          <cell r="H13">
            <v>194.5325</v>
          </cell>
          <cell r="I13">
            <v>67330</v>
          </cell>
          <cell r="J13">
            <v>29936.25</v>
          </cell>
          <cell r="K13">
            <v>97266.25</v>
          </cell>
        </row>
        <row r="14">
          <cell r="A14" t="str">
            <v>APOLLOTYRE</v>
          </cell>
          <cell r="B14">
            <v>3000</v>
          </cell>
          <cell r="C14">
            <v>11.26</v>
          </cell>
          <cell r="D14">
            <v>5</v>
          </cell>
          <cell r="E14">
            <v>16.260000000000002</v>
          </cell>
          <cell r="F14">
            <v>25.43</v>
          </cell>
          <cell r="G14">
            <v>11.29</v>
          </cell>
          <cell r="H14">
            <v>36.72</v>
          </cell>
          <cell r="I14">
            <v>76290</v>
          </cell>
          <cell r="J14">
            <v>33870</v>
          </cell>
          <cell r="K14">
            <v>110160</v>
          </cell>
        </row>
        <row r="15">
          <cell r="A15" t="str">
            <v>ASHOKLEY</v>
          </cell>
          <cell r="B15">
            <v>4000</v>
          </cell>
          <cell r="C15">
            <v>11.46</v>
          </cell>
          <cell r="D15">
            <v>5</v>
          </cell>
          <cell r="E15">
            <v>16.46</v>
          </cell>
          <cell r="F15">
            <v>12.34</v>
          </cell>
          <cell r="G15">
            <v>5.3825000000000003</v>
          </cell>
          <cell r="H15">
            <v>17.7225</v>
          </cell>
          <cell r="I15">
            <v>49360</v>
          </cell>
          <cell r="J15">
            <v>21530</v>
          </cell>
          <cell r="K15">
            <v>70890</v>
          </cell>
        </row>
        <row r="16">
          <cell r="A16" t="str">
            <v>ASIANPAINT</v>
          </cell>
          <cell r="B16">
            <v>600</v>
          </cell>
          <cell r="C16">
            <v>11.25</v>
          </cell>
          <cell r="D16">
            <v>5</v>
          </cell>
          <cell r="E16">
            <v>16.25</v>
          </cell>
          <cell r="F16">
            <v>147.53</v>
          </cell>
          <cell r="G16">
            <v>65.55</v>
          </cell>
          <cell r="H16">
            <v>213.08</v>
          </cell>
          <cell r="I16">
            <v>88518</v>
          </cell>
          <cell r="J16">
            <v>39330</v>
          </cell>
          <cell r="K16">
            <v>127848</v>
          </cell>
        </row>
        <row r="17">
          <cell r="A17" t="str">
            <v>AUROPHARMA</v>
          </cell>
          <cell r="B17">
            <v>1000</v>
          </cell>
          <cell r="C17">
            <v>11.3</v>
          </cell>
          <cell r="D17">
            <v>5</v>
          </cell>
          <cell r="E17">
            <v>16.3</v>
          </cell>
          <cell r="F17">
            <v>87.93</v>
          </cell>
          <cell r="G17">
            <v>38.887500000000003</v>
          </cell>
          <cell r="H17">
            <v>126.8175</v>
          </cell>
          <cell r="I17">
            <v>87930</v>
          </cell>
          <cell r="J17">
            <v>38887.5</v>
          </cell>
          <cell r="K17">
            <v>126817.5</v>
          </cell>
        </row>
        <row r="18">
          <cell r="A18" t="str">
            <v>AXISBANK</v>
          </cell>
          <cell r="B18">
            <v>1200</v>
          </cell>
          <cell r="C18">
            <v>11.27</v>
          </cell>
          <cell r="D18">
            <v>5</v>
          </cell>
          <cell r="E18">
            <v>16.27</v>
          </cell>
          <cell r="F18">
            <v>69.16</v>
          </cell>
          <cell r="G18">
            <v>30.677499999999998</v>
          </cell>
          <cell r="H18">
            <v>99.837500000000006</v>
          </cell>
          <cell r="I18">
            <v>82992</v>
          </cell>
          <cell r="J18">
            <v>36813</v>
          </cell>
          <cell r="K18">
            <v>119805</v>
          </cell>
        </row>
        <row r="19">
          <cell r="A19" t="str">
            <v>BAJAJ-AUTO</v>
          </cell>
          <cell r="B19">
            <v>250</v>
          </cell>
          <cell r="C19">
            <v>11.26</v>
          </cell>
          <cell r="D19">
            <v>5</v>
          </cell>
          <cell r="E19">
            <v>16.260000000000002</v>
          </cell>
          <cell r="F19">
            <v>301.02999999999997</v>
          </cell>
          <cell r="G19">
            <v>133.66749999999999</v>
          </cell>
          <cell r="H19">
            <v>434.69749999999999</v>
          </cell>
          <cell r="I19">
            <v>75258</v>
          </cell>
          <cell r="J19">
            <v>33416.875</v>
          </cell>
          <cell r="K19">
            <v>108674.875</v>
          </cell>
        </row>
        <row r="20">
          <cell r="A20" t="str">
            <v>BAJAJFINSV</v>
          </cell>
          <cell r="B20">
            <v>125</v>
          </cell>
          <cell r="C20">
            <v>11.3</v>
          </cell>
          <cell r="D20">
            <v>5</v>
          </cell>
          <cell r="E20">
            <v>16.3</v>
          </cell>
          <cell r="F20">
            <v>642.20000000000005</v>
          </cell>
          <cell r="G20">
            <v>283.92750000000001</v>
          </cell>
          <cell r="H20">
            <v>926.12750000000005</v>
          </cell>
          <cell r="I20">
            <v>80275</v>
          </cell>
          <cell r="J20">
            <v>35490.9375</v>
          </cell>
          <cell r="K20">
            <v>115765.9375</v>
          </cell>
        </row>
        <row r="21">
          <cell r="A21" t="str">
            <v>BAJFINANCE</v>
          </cell>
          <cell r="B21">
            <v>250</v>
          </cell>
          <cell r="C21">
            <v>11.25</v>
          </cell>
          <cell r="D21">
            <v>6</v>
          </cell>
          <cell r="E21">
            <v>17.25</v>
          </cell>
          <cell r="F21">
            <v>268.7</v>
          </cell>
          <cell r="G21">
            <v>143.19300000000001</v>
          </cell>
          <cell r="H21">
            <v>411.89299999999997</v>
          </cell>
          <cell r="I21">
            <v>67175</v>
          </cell>
          <cell r="J21">
            <v>35798.25</v>
          </cell>
          <cell r="K21">
            <v>102973.25</v>
          </cell>
        </row>
        <row r="22">
          <cell r="A22" t="str">
            <v>BALKRISIND</v>
          </cell>
          <cell r="B22">
            <v>800</v>
          </cell>
          <cell r="C22">
            <v>11.28</v>
          </cell>
          <cell r="D22">
            <v>5</v>
          </cell>
          <cell r="E22">
            <v>16.28</v>
          </cell>
          <cell r="F22">
            <v>107.63</v>
          </cell>
          <cell r="G22">
            <v>47.685000000000002</v>
          </cell>
          <cell r="H22">
            <v>155.315</v>
          </cell>
          <cell r="I22">
            <v>86104</v>
          </cell>
          <cell r="J22">
            <v>38148</v>
          </cell>
          <cell r="K22">
            <v>124252</v>
          </cell>
        </row>
        <row r="23">
          <cell r="A23" t="str">
            <v>BANKBARODA</v>
          </cell>
          <cell r="B23">
            <v>4000</v>
          </cell>
          <cell r="C23">
            <v>11.24</v>
          </cell>
          <cell r="D23">
            <v>5</v>
          </cell>
          <cell r="E23">
            <v>16.239999999999998</v>
          </cell>
          <cell r="F23">
            <v>12.44</v>
          </cell>
          <cell r="G23">
            <v>5.53</v>
          </cell>
          <cell r="H23">
            <v>17.97</v>
          </cell>
          <cell r="I23">
            <v>49760</v>
          </cell>
          <cell r="J23">
            <v>22120</v>
          </cell>
          <cell r="K23">
            <v>71880</v>
          </cell>
        </row>
        <row r="24">
          <cell r="A24" t="str">
            <v>BANKINDIA</v>
          </cell>
          <cell r="B24">
            <v>6000</v>
          </cell>
          <cell r="C24">
            <v>12.13</v>
          </cell>
          <cell r="D24">
            <v>5</v>
          </cell>
          <cell r="E24">
            <v>17.13</v>
          </cell>
          <cell r="F24">
            <v>10.44</v>
          </cell>
          <cell r="G24">
            <v>4.3025000000000002</v>
          </cell>
          <cell r="H24">
            <v>14.7425</v>
          </cell>
          <cell r="I24">
            <v>62640</v>
          </cell>
          <cell r="J24">
            <v>25815</v>
          </cell>
          <cell r="K24">
            <v>88455</v>
          </cell>
        </row>
        <row r="25">
          <cell r="A25" t="str">
            <v>BANKNIFTY</v>
          </cell>
          <cell r="B25">
            <v>20</v>
          </cell>
          <cell r="C25">
            <v>6.52</v>
          </cell>
          <cell r="D25">
            <v>3</v>
          </cell>
          <cell r="E25">
            <v>9.52</v>
          </cell>
          <cell r="F25">
            <v>1705.6</v>
          </cell>
          <cell r="G25">
            <v>784.73699999999997</v>
          </cell>
          <cell r="H25">
            <v>2490.337</v>
          </cell>
          <cell r="I25">
            <v>34112</v>
          </cell>
          <cell r="J25">
            <v>15694.74</v>
          </cell>
          <cell r="K25">
            <v>49806.74</v>
          </cell>
        </row>
        <row r="26">
          <cell r="A26" t="str">
            <v>BATAINDIA</v>
          </cell>
          <cell r="B26">
            <v>550</v>
          </cell>
          <cell r="C26">
            <v>11.25</v>
          </cell>
          <cell r="D26">
            <v>5</v>
          </cell>
          <cell r="E26">
            <v>16.25</v>
          </cell>
          <cell r="F26">
            <v>111.18</v>
          </cell>
          <cell r="G26">
            <v>49.375</v>
          </cell>
          <cell r="H26">
            <v>160.55500000000001</v>
          </cell>
          <cell r="I26">
            <v>61149</v>
          </cell>
          <cell r="J26">
            <v>27156.25</v>
          </cell>
          <cell r="K26">
            <v>88305.25</v>
          </cell>
        </row>
        <row r="27">
          <cell r="A27" t="str">
            <v>BEL</v>
          </cell>
          <cell r="B27">
            <v>4950</v>
          </cell>
          <cell r="C27">
            <v>11.32</v>
          </cell>
          <cell r="D27">
            <v>5</v>
          </cell>
          <cell r="E27">
            <v>16.32</v>
          </cell>
          <cell r="F27">
            <v>10.49</v>
          </cell>
          <cell r="G27">
            <v>4.63</v>
          </cell>
          <cell r="H27">
            <v>15.12</v>
          </cell>
          <cell r="I27">
            <v>51926</v>
          </cell>
          <cell r="J27">
            <v>22918.5</v>
          </cell>
          <cell r="K27">
            <v>74844.5</v>
          </cell>
        </row>
        <row r="28">
          <cell r="A28" t="str">
            <v>BEML</v>
          </cell>
          <cell r="B28">
            <v>500</v>
          </cell>
          <cell r="C28">
            <v>12.6</v>
          </cell>
          <cell r="D28">
            <v>5</v>
          </cell>
          <cell r="E28">
            <v>17.600000000000001</v>
          </cell>
          <cell r="F28">
            <v>95.31</v>
          </cell>
          <cell r="G28">
            <v>37.797499999999999</v>
          </cell>
          <cell r="H28">
            <v>133.10749999999999</v>
          </cell>
          <cell r="I28">
            <v>47655</v>
          </cell>
          <cell r="J28">
            <v>18898.75</v>
          </cell>
          <cell r="K28">
            <v>66553.75</v>
          </cell>
        </row>
        <row r="29">
          <cell r="A29" t="str">
            <v>BERGEPAINT</v>
          </cell>
          <cell r="B29">
            <v>2200</v>
          </cell>
          <cell r="C29">
            <v>11.26</v>
          </cell>
          <cell r="D29">
            <v>5</v>
          </cell>
          <cell r="E29">
            <v>16.260000000000002</v>
          </cell>
          <cell r="F29">
            <v>35.32</v>
          </cell>
          <cell r="G29">
            <v>15.6775</v>
          </cell>
          <cell r="H29">
            <v>50.997500000000002</v>
          </cell>
          <cell r="I29">
            <v>77704</v>
          </cell>
          <cell r="J29">
            <v>34490.5</v>
          </cell>
          <cell r="K29">
            <v>112194.5</v>
          </cell>
        </row>
        <row r="30">
          <cell r="A30" t="str">
            <v>BHARATFIN</v>
          </cell>
          <cell r="B30">
            <v>500</v>
          </cell>
          <cell r="C30">
            <v>11.31</v>
          </cell>
          <cell r="D30">
            <v>5</v>
          </cell>
          <cell r="E30">
            <v>16.309999999999999</v>
          </cell>
          <cell r="F30">
            <v>108.96</v>
          </cell>
          <cell r="G30">
            <v>48.152500000000003</v>
          </cell>
          <cell r="H30">
            <v>157.11250000000001</v>
          </cell>
          <cell r="I30">
            <v>54480</v>
          </cell>
          <cell r="J30">
            <v>24076.25</v>
          </cell>
          <cell r="K30">
            <v>78556.25</v>
          </cell>
        </row>
        <row r="31">
          <cell r="A31" t="str">
            <v>BHARATFORG</v>
          </cell>
          <cell r="B31">
            <v>1200</v>
          </cell>
          <cell r="C31">
            <v>11.27</v>
          </cell>
          <cell r="D31">
            <v>5</v>
          </cell>
          <cell r="E31">
            <v>16.27</v>
          </cell>
          <cell r="F31">
            <v>65.150000000000006</v>
          </cell>
          <cell r="G31">
            <v>28.897500000000001</v>
          </cell>
          <cell r="H31">
            <v>94.047499999999999</v>
          </cell>
          <cell r="I31">
            <v>78180</v>
          </cell>
          <cell r="J31">
            <v>34677</v>
          </cell>
          <cell r="K31">
            <v>112857</v>
          </cell>
        </row>
        <row r="32">
          <cell r="A32" t="str">
            <v>BHARTIARTL</v>
          </cell>
          <cell r="B32">
            <v>1700</v>
          </cell>
          <cell r="C32">
            <v>11.29</v>
          </cell>
          <cell r="D32">
            <v>5</v>
          </cell>
          <cell r="E32">
            <v>16.29</v>
          </cell>
          <cell r="F32">
            <v>37.479999999999997</v>
          </cell>
          <cell r="G32">
            <v>16.585000000000001</v>
          </cell>
          <cell r="H32">
            <v>54.064999999999998</v>
          </cell>
          <cell r="I32">
            <v>63716</v>
          </cell>
          <cell r="J32">
            <v>28194.5</v>
          </cell>
          <cell r="K32">
            <v>91910.5</v>
          </cell>
        </row>
        <row r="33">
          <cell r="A33" t="str">
            <v>BHEL</v>
          </cell>
          <cell r="B33">
            <v>7500</v>
          </cell>
          <cell r="C33">
            <v>11.34</v>
          </cell>
          <cell r="D33">
            <v>5</v>
          </cell>
          <cell r="E33">
            <v>16.34</v>
          </cell>
          <cell r="F33">
            <v>7.61</v>
          </cell>
          <cell r="G33">
            <v>3.3525</v>
          </cell>
          <cell r="H33">
            <v>10.9625</v>
          </cell>
          <cell r="I33">
            <v>57075</v>
          </cell>
          <cell r="J33">
            <v>25143.75</v>
          </cell>
          <cell r="K33">
            <v>82218.75</v>
          </cell>
        </row>
        <row r="34">
          <cell r="A34" t="str">
            <v>BIOCON</v>
          </cell>
          <cell r="B34">
            <v>900</v>
          </cell>
          <cell r="C34">
            <v>11.27</v>
          </cell>
          <cell r="D34">
            <v>5</v>
          </cell>
          <cell r="E34">
            <v>16.27</v>
          </cell>
          <cell r="F34">
            <v>69.150000000000006</v>
          </cell>
          <cell r="G34">
            <v>30.657499999999999</v>
          </cell>
          <cell r="H34">
            <v>99.807500000000005</v>
          </cell>
          <cell r="I34">
            <v>62235</v>
          </cell>
          <cell r="J34">
            <v>27591.75</v>
          </cell>
          <cell r="K34">
            <v>89826.75</v>
          </cell>
        </row>
        <row r="35">
          <cell r="A35" t="str">
            <v>BOSCHLTD</v>
          </cell>
          <cell r="B35">
            <v>30</v>
          </cell>
          <cell r="C35">
            <v>11.27</v>
          </cell>
          <cell r="D35">
            <v>5</v>
          </cell>
          <cell r="E35">
            <v>16.27</v>
          </cell>
          <cell r="F35">
            <v>2099.3000000000002</v>
          </cell>
          <cell r="G35">
            <v>930.93</v>
          </cell>
          <cell r="H35">
            <v>3030.23</v>
          </cell>
          <cell r="I35">
            <v>62979</v>
          </cell>
          <cell r="J35">
            <v>27927.9</v>
          </cell>
          <cell r="K35">
            <v>90906.9</v>
          </cell>
        </row>
        <row r="36">
          <cell r="A36" t="str">
            <v>BPCL</v>
          </cell>
          <cell r="B36">
            <v>1800</v>
          </cell>
          <cell r="C36">
            <v>13.4</v>
          </cell>
          <cell r="D36">
            <v>5</v>
          </cell>
          <cell r="E36">
            <v>18.399999999999999</v>
          </cell>
          <cell r="F36">
            <v>43.24</v>
          </cell>
          <cell r="G36">
            <v>16.13</v>
          </cell>
          <cell r="H36">
            <v>59.37</v>
          </cell>
          <cell r="I36">
            <v>77832</v>
          </cell>
          <cell r="J36">
            <v>29034</v>
          </cell>
          <cell r="K36">
            <v>106866</v>
          </cell>
        </row>
        <row r="37">
          <cell r="A37" t="str">
            <v>BRITANNIA</v>
          </cell>
          <cell r="B37">
            <v>100</v>
          </cell>
          <cell r="C37">
            <v>11.26</v>
          </cell>
          <cell r="D37">
            <v>5</v>
          </cell>
          <cell r="E37">
            <v>16.260000000000002</v>
          </cell>
          <cell r="F37">
            <v>664.8</v>
          </cell>
          <cell r="G37">
            <v>295.0625</v>
          </cell>
          <cell r="H37">
            <v>959.86249999999995</v>
          </cell>
          <cell r="I37">
            <v>66480</v>
          </cell>
          <cell r="J37">
            <v>29506.25</v>
          </cell>
          <cell r="K37">
            <v>95986.25</v>
          </cell>
        </row>
        <row r="38">
          <cell r="A38" t="str">
            <v>CADILAHC</v>
          </cell>
          <cell r="B38">
            <v>1600</v>
          </cell>
          <cell r="C38">
            <v>11.27</v>
          </cell>
          <cell r="D38">
            <v>5</v>
          </cell>
          <cell r="E38">
            <v>16.27</v>
          </cell>
          <cell r="F38">
            <v>40.08</v>
          </cell>
          <cell r="G38">
            <v>17.774999999999999</v>
          </cell>
          <cell r="H38">
            <v>57.854999999999997</v>
          </cell>
          <cell r="I38">
            <v>64128</v>
          </cell>
          <cell r="J38">
            <v>28440</v>
          </cell>
          <cell r="K38">
            <v>92568</v>
          </cell>
        </row>
        <row r="39">
          <cell r="A39" t="str">
            <v>CANBK</v>
          </cell>
          <cell r="B39">
            <v>2000</v>
          </cell>
          <cell r="C39">
            <v>11.89</v>
          </cell>
          <cell r="D39">
            <v>5</v>
          </cell>
          <cell r="E39">
            <v>16.89</v>
          </cell>
          <cell r="F39">
            <v>30.6</v>
          </cell>
          <cell r="G39">
            <v>12.865</v>
          </cell>
          <cell r="H39">
            <v>43.465000000000003</v>
          </cell>
          <cell r="I39">
            <v>61200</v>
          </cell>
          <cell r="J39">
            <v>25730</v>
          </cell>
          <cell r="K39">
            <v>86930</v>
          </cell>
        </row>
        <row r="40">
          <cell r="A40" t="str">
            <v>CANFINHOME</v>
          </cell>
          <cell r="B40">
            <v>1250</v>
          </cell>
          <cell r="C40">
            <v>11.87</v>
          </cell>
          <cell r="D40">
            <v>5</v>
          </cell>
          <cell r="E40">
            <v>16.87</v>
          </cell>
          <cell r="F40">
            <v>30.6</v>
          </cell>
          <cell r="G40">
            <v>12.8825</v>
          </cell>
          <cell r="H40">
            <v>43.482500000000002</v>
          </cell>
          <cell r="I40">
            <v>38250</v>
          </cell>
          <cell r="J40">
            <v>16103.125</v>
          </cell>
          <cell r="K40">
            <v>54353.125</v>
          </cell>
        </row>
        <row r="41">
          <cell r="A41" t="str">
            <v>CAPF</v>
          </cell>
          <cell r="B41">
            <v>800</v>
          </cell>
          <cell r="C41">
            <v>11.27</v>
          </cell>
          <cell r="D41">
            <v>5</v>
          </cell>
          <cell r="E41">
            <v>16.27</v>
          </cell>
          <cell r="F41">
            <v>54.22</v>
          </cell>
          <cell r="G41">
            <v>24.05</v>
          </cell>
          <cell r="H41">
            <v>78.27</v>
          </cell>
          <cell r="I41">
            <v>43376</v>
          </cell>
          <cell r="J41">
            <v>19240</v>
          </cell>
          <cell r="K41">
            <v>62616</v>
          </cell>
        </row>
        <row r="42">
          <cell r="A42" t="str">
            <v>CASTROLIND</v>
          </cell>
          <cell r="B42">
            <v>2800</v>
          </cell>
          <cell r="C42">
            <v>11.39</v>
          </cell>
          <cell r="D42">
            <v>5</v>
          </cell>
          <cell r="E42">
            <v>16.39</v>
          </cell>
          <cell r="F42">
            <v>17.3</v>
          </cell>
          <cell r="G42">
            <v>7.5925000000000002</v>
          </cell>
          <cell r="H42">
            <v>24.892499999999998</v>
          </cell>
          <cell r="I42">
            <v>48440</v>
          </cell>
          <cell r="J42">
            <v>21259</v>
          </cell>
          <cell r="K42">
            <v>69699</v>
          </cell>
        </row>
        <row r="43">
          <cell r="A43" t="str">
            <v>CEATLTD</v>
          </cell>
          <cell r="B43">
            <v>350</v>
          </cell>
          <cell r="C43">
            <v>11.28</v>
          </cell>
          <cell r="D43">
            <v>5</v>
          </cell>
          <cell r="E43">
            <v>16.28</v>
          </cell>
          <cell r="F43">
            <v>140.5</v>
          </cell>
          <cell r="G43">
            <v>62.227499999999999</v>
          </cell>
          <cell r="H43">
            <v>202.72749999999999</v>
          </cell>
          <cell r="I43">
            <v>49175</v>
          </cell>
          <cell r="J43">
            <v>21779.625</v>
          </cell>
          <cell r="K43">
            <v>70954.625</v>
          </cell>
        </row>
        <row r="44">
          <cell r="A44" t="str">
            <v>CENTURYTEX</v>
          </cell>
          <cell r="B44">
            <v>550</v>
          </cell>
          <cell r="C44">
            <v>11.28</v>
          </cell>
          <cell r="D44">
            <v>5</v>
          </cell>
          <cell r="E44">
            <v>16.28</v>
          </cell>
          <cell r="F44">
            <v>101.43</v>
          </cell>
          <cell r="G44">
            <v>44.924999999999997</v>
          </cell>
          <cell r="H44">
            <v>146.35499999999999</v>
          </cell>
          <cell r="I44">
            <v>55787</v>
          </cell>
          <cell r="J44">
            <v>24708.75</v>
          </cell>
          <cell r="K44">
            <v>80495.75</v>
          </cell>
        </row>
        <row r="45">
          <cell r="A45" t="str">
            <v>CESC</v>
          </cell>
          <cell r="B45">
            <v>550</v>
          </cell>
          <cell r="C45">
            <v>11.28</v>
          </cell>
          <cell r="D45">
            <v>5</v>
          </cell>
          <cell r="E45">
            <v>16.28</v>
          </cell>
          <cell r="F45">
            <v>77.069999999999993</v>
          </cell>
          <cell r="G45">
            <v>34.142499999999998</v>
          </cell>
          <cell r="H45">
            <v>111.21250000000001</v>
          </cell>
          <cell r="I45">
            <v>42389</v>
          </cell>
          <cell r="J45">
            <v>18778.375</v>
          </cell>
          <cell r="K45">
            <v>61167.375</v>
          </cell>
        </row>
        <row r="46">
          <cell r="A46" t="str">
            <v>CGPOWER</v>
          </cell>
          <cell r="B46">
            <v>12000</v>
          </cell>
          <cell r="C46">
            <v>11.24</v>
          </cell>
          <cell r="D46">
            <v>5.14</v>
          </cell>
          <cell r="E46">
            <v>16.38</v>
          </cell>
          <cell r="F46">
            <v>4.28</v>
          </cell>
          <cell r="G46">
            <v>1.9558</v>
          </cell>
          <cell r="H46">
            <v>6.2358000000000002</v>
          </cell>
          <cell r="I46">
            <v>51360</v>
          </cell>
          <cell r="J46">
            <v>23469.24</v>
          </cell>
          <cell r="K46">
            <v>74829.240000000005</v>
          </cell>
        </row>
        <row r="47">
          <cell r="A47" t="str">
            <v>CHENNPETRO</v>
          </cell>
          <cell r="B47">
            <v>1500</v>
          </cell>
          <cell r="C47">
            <v>11.25</v>
          </cell>
          <cell r="D47">
            <v>5</v>
          </cell>
          <cell r="E47">
            <v>16.25</v>
          </cell>
          <cell r="F47">
            <v>29.59</v>
          </cell>
          <cell r="G47">
            <v>13.14</v>
          </cell>
          <cell r="H47">
            <v>42.73</v>
          </cell>
          <cell r="I47">
            <v>44385</v>
          </cell>
          <cell r="J47">
            <v>19710</v>
          </cell>
          <cell r="K47">
            <v>64095</v>
          </cell>
        </row>
        <row r="48">
          <cell r="A48" t="str">
            <v>CHOLAFIN</v>
          </cell>
          <cell r="B48">
            <v>500</v>
          </cell>
          <cell r="C48">
            <v>11.28</v>
          </cell>
          <cell r="D48">
            <v>5</v>
          </cell>
          <cell r="E48">
            <v>16.28</v>
          </cell>
          <cell r="F48">
            <v>142.27000000000001</v>
          </cell>
          <cell r="G48">
            <v>63.055</v>
          </cell>
          <cell r="H48">
            <v>205.32499999999999</v>
          </cell>
          <cell r="I48">
            <v>71135</v>
          </cell>
          <cell r="J48">
            <v>31527.5</v>
          </cell>
          <cell r="K48">
            <v>102662.5</v>
          </cell>
        </row>
        <row r="49">
          <cell r="A49" t="str">
            <v>CIPLA</v>
          </cell>
          <cell r="B49">
            <v>1000</v>
          </cell>
          <cell r="C49">
            <v>11.25</v>
          </cell>
          <cell r="D49">
            <v>5</v>
          </cell>
          <cell r="E49">
            <v>16.25</v>
          </cell>
          <cell r="F49">
            <v>58.78</v>
          </cell>
          <cell r="G49">
            <v>26.102499999999999</v>
          </cell>
          <cell r="H49">
            <v>84.882499999999993</v>
          </cell>
          <cell r="I49">
            <v>58780</v>
          </cell>
          <cell r="J49">
            <v>26102.5</v>
          </cell>
          <cell r="K49">
            <v>84882.5</v>
          </cell>
        </row>
        <row r="50">
          <cell r="A50" t="str">
            <v>COALINDIA</v>
          </cell>
          <cell r="B50">
            <v>2200</v>
          </cell>
          <cell r="C50">
            <v>11.31</v>
          </cell>
          <cell r="D50">
            <v>5</v>
          </cell>
          <cell r="E50">
            <v>16.309999999999999</v>
          </cell>
          <cell r="F50">
            <v>29.52</v>
          </cell>
          <cell r="G50">
            <v>13.05</v>
          </cell>
          <cell r="H50">
            <v>42.57</v>
          </cell>
          <cell r="I50">
            <v>64944</v>
          </cell>
          <cell r="J50">
            <v>28710</v>
          </cell>
          <cell r="K50">
            <v>93654</v>
          </cell>
        </row>
        <row r="51">
          <cell r="A51" t="str">
            <v>COLPAL</v>
          </cell>
          <cell r="B51">
            <v>700</v>
          </cell>
          <cell r="C51">
            <v>11.32</v>
          </cell>
          <cell r="D51">
            <v>5</v>
          </cell>
          <cell r="E51">
            <v>16.32</v>
          </cell>
          <cell r="F51">
            <v>130.72999999999999</v>
          </cell>
          <cell r="G51">
            <v>57.72</v>
          </cell>
          <cell r="H51">
            <v>188.45</v>
          </cell>
          <cell r="I51">
            <v>91511</v>
          </cell>
          <cell r="J51">
            <v>40404</v>
          </cell>
          <cell r="K51">
            <v>131915</v>
          </cell>
        </row>
        <row r="52">
          <cell r="A52" t="str">
            <v>CONCOR</v>
          </cell>
          <cell r="B52">
            <v>1250</v>
          </cell>
          <cell r="C52">
            <v>11.24</v>
          </cell>
          <cell r="D52">
            <v>5</v>
          </cell>
          <cell r="E52">
            <v>16.239999999999998</v>
          </cell>
          <cell r="F52">
            <v>76.36</v>
          </cell>
          <cell r="G52">
            <v>33.942500000000003</v>
          </cell>
          <cell r="H52">
            <v>110.30249999999999</v>
          </cell>
          <cell r="I52">
            <v>95450</v>
          </cell>
          <cell r="J52">
            <v>42428.125</v>
          </cell>
          <cell r="K52">
            <v>137878.125</v>
          </cell>
        </row>
        <row r="53">
          <cell r="A53" t="str">
            <v>CUMMINSIND</v>
          </cell>
          <cell r="B53">
            <v>700</v>
          </cell>
          <cell r="C53">
            <v>11.26</v>
          </cell>
          <cell r="D53">
            <v>5</v>
          </cell>
          <cell r="E53">
            <v>16.260000000000002</v>
          </cell>
          <cell r="F53">
            <v>88.65</v>
          </cell>
          <cell r="G53">
            <v>39.352499999999999</v>
          </cell>
          <cell r="H53">
            <v>128.0025</v>
          </cell>
          <cell r="I53">
            <v>62055</v>
          </cell>
          <cell r="J53">
            <v>27546.75</v>
          </cell>
          <cell r="K53">
            <v>89601.75</v>
          </cell>
        </row>
        <row r="54">
          <cell r="A54" t="str">
            <v>DABUR</v>
          </cell>
          <cell r="B54">
            <v>1250</v>
          </cell>
          <cell r="C54">
            <v>11.25</v>
          </cell>
          <cell r="D54">
            <v>5</v>
          </cell>
          <cell r="E54">
            <v>16.25</v>
          </cell>
          <cell r="F54">
            <v>44.49</v>
          </cell>
          <cell r="G54">
            <v>19.760000000000002</v>
          </cell>
          <cell r="H54">
            <v>64.25</v>
          </cell>
          <cell r="I54">
            <v>55613</v>
          </cell>
          <cell r="J54">
            <v>24700</v>
          </cell>
          <cell r="K54">
            <v>80313</v>
          </cell>
        </row>
        <row r="55">
          <cell r="A55" t="str">
            <v>DALMIABHA</v>
          </cell>
          <cell r="B55">
            <v>300</v>
          </cell>
          <cell r="C55">
            <v>11.3</v>
          </cell>
          <cell r="D55">
            <v>5</v>
          </cell>
          <cell r="E55">
            <v>16.3</v>
          </cell>
          <cell r="F55">
            <v>254.98</v>
          </cell>
          <cell r="G55">
            <v>112.82250000000001</v>
          </cell>
          <cell r="H55">
            <v>367.80250000000001</v>
          </cell>
          <cell r="I55">
            <v>76494</v>
          </cell>
          <cell r="J55">
            <v>33846.75</v>
          </cell>
          <cell r="K55">
            <v>110340.75</v>
          </cell>
        </row>
        <row r="56">
          <cell r="A56" t="str">
            <v>DCBBANK</v>
          </cell>
          <cell r="B56">
            <v>4500</v>
          </cell>
          <cell r="C56">
            <v>11.25</v>
          </cell>
          <cell r="D56">
            <v>5</v>
          </cell>
          <cell r="E56">
            <v>16.25</v>
          </cell>
          <cell r="F56">
            <v>17.68</v>
          </cell>
          <cell r="G56">
            <v>7.8525</v>
          </cell>
          <cell r="H56">
            <v>25.532499999999999</v>
          </cell>
          <cell r="I56">
            <v>79560</v>
          </cell>
          <cell r="J56">
            <v>35336.25</v>
          </cell>
          <cell r="K56">
            <v>114896.25</v>
          </cell>
        </row>
        <row r="57">
          <cell r="A57" t="str">
            <v>DHFL</v>
          </cell>
          <cell r="B57">
            <v>1500</v>
          </cell>
          <cell r="C57">
            <v>26.11</v>
          </cell>
          <cell r="D57">
            <v>29.28</v>
          </cell>
          <cell r="E57">
            <v>55.39</v>
          </cell>
          <cell r="F57">
            <v>58.24</v>
          </cell>
          <cell r="G57">
            <v>65.294399999999996</v>
          </cell>
          <cell r="H57">
            <v>123.53440000000001</v>
          </cell>
          <cell r="I57">
            <v>87360</v>
          </cell>
          <cell r="J57">
            <v>97941.6</v>
          </cell>
          <cell r="K57">
            <v>185301.6</v>
          </cell>
        </row>
        <row r="58">
          <cell r="A58" t="str">
            <v>DISHTV</v>
          </cell>
          <cell r="B58">
            <v>8000</v>
          </cell>
          <cell r="C58">
            <v>15.33</v>
          </cell>
          <cell r="D58">
            <v>7</v>
          </cell>
          <cell r="E58">
            <v>22.33</v>
          </cell>
          <cell r="F58">
            <v>5.82</v>
          </cell>
          <cell r="G58">
            <v>2.6564999999999999</v>
          </cell>
          <cell r="H58">
            <v>8.4764999999999997</v>
          </cell>
          <cell r="I58">
            <v>46560</v>
          </cell>
          <cell r="J58">
            <v>21252</v>
          </cell>
          <cell r="K58">
            <v>67812</v>
          </cell>
        </row>
        <row r="59">
          <cell r="A59" t="str">
            <v>DIVISLAB</v>
          </cell>
          <cell r="B59">
            <v>400</v>
          </cell>
          <cell r="C59">
            <v>11.28</v>
          </cell>
          <cell r="D59">
            <v>5</v>
          </cell>
          <cell r="E59">
            <v>16.28</v>
          </cell>
          <cell r="F59">
            <v>173.21</v>
          </cell>
          <cell r="G59">
            <v>76.752499999999998</v>
          </cell>
          <cell r="H59">
            <v>249.96250000000001</v>
          </cell>
          <cell r="I59">
            <v>69284</v>
          </cell>
          <cell r="J59">
            <v>30701</v>
          </cell>
          <cell r="K59">
            <v>99985</v>
          </cell>
        </row>
        <row r="60">
          <cell r="A60" t="str">
            <v>DLF</v>
          </cell>
          <cell r="B60">
            <v>2500</v>
          </cell>
          <cell r="C60">
            <v>11.29</v>
          </cell>
          <cell r="D60">
            <v>5</v>
          </cell>
          <cell r="E60">
            <v>16.29</v>
          </cell>
          <cell r="F60">
            <v>19.75</v>
          </cell>
          <cell r="G60">
            <v>8.74</v>
          </cell>
          <cell r="H60">
            <v>28.49</v>
          </cell>
          <cell r="I60">
            <v>49375</v>
          </cell>
          <cell r="J60">
            <v>21850</v>
          </cell>
          <cell r="K60">
            <v>71225</v>
          </cell>
        </row>
        <row r="61">
          <cell r="A61" t="str">
            <v>DRREDDY</v>
          </cell>
          <cell r="B61">
            <v>250</v>
          </cell>
          <cell r="C61">
            <v>11.27</v>
          </cell>
          <cell r="D61">
            <v>5</v>
          </cell>
          <cell r="E61">
            <v>16.27</v>
          </cell>
          <cell r="F61">
            <v>275.82</v>
          </cell>
          <cell r="G61">
            <v>122.33499999999999</v>
          </cell>
          <cell r="H61">
            <v>398.15499999999997</v>
          </cell>
          <cell r="I61">
            <v>68955</v>
          </cell>
          <cell r="J61">
            <v>30583.75</v>
          </cell>
          <cell r="K61">
            <v>99538.75</v>
          </cell>
        </row>
        <row r="62">
          <cell r="A62" t="str">
            <v>EICHERMOT</v>
          </cell>
          <cell r="B62">
            <v>25</v>
          </cell>
          <cell r="C62">
            <v>11.28</v>
          </cell>
          <cell r="D62">
            <v>5</v>
          </cell>
          <cell r="E62">
            <v>16.28</v>
          </cell>
          <cell r="F62">
            <v>2776.72</v>
          </cell>
          <cell r="G62">
            <v>1230.6324999999999</v>
          </cell>
          <cell r="H62">
            <v>4007.3525</v>
          </cell>
          <cell r="I62">
            <v>69418</v>
          </cell>
          <cell r="J62">
            <v>30765.8125</v>
          </cell>
          <cell r="K62">
            <v>100183.8125</v>
          </cell>
        </row>
        <row r="63">
          <cell r="A63" t="str">
            <v>ENGINERSIN</v>
          </cell>
          <cell r="B63">
            <v>3500</v>
          </cell>
          <cell r="C63">
            <v>11.26</v>
          </cell>
          <cell r="D63">
            <v>5</v>
          </cell>
          <cell r="E63">
            <v>16.260000000000002</v>
          </cell>
          <cell r="F63">
            <v>13.18</v>
          </cell>
          <cell r="G63">
            <v>5.85</v>
          </cell>
          <cell r="H63">
            <v>19.03</v>
          </cell>
          <cell r="I63">
            <v>46130</v>
          </cell>
          <cell r="J63">
            <v>20475</v>
          </cell>
          <cell r="K63">
            <v>66605</v>
          </cell>
        </row>
        <row r="64">
          <cell r="A64" t="str">
            <v>EQUITAS</v>
          </cell>
          <cell r="B64">
            <v>4000</v>
          </cell>
          <cell r="C64">
            <v>17.37</v>
          </cell>
          <cell r="D64">
            <v>16.059999999999999</v>
          </cell>
          <cell r="E64">
            <v>33.43</v>
          </cell>
          <cell r="F64">
            <v>18.850000000000001</v>
          </cell>
          <cell r="G64">
            <v>17.4251</v>
          </cell>
          <cell r="H64">
            <v>36.275100000000002</v>
          </cell>
          <cell r="I64">
            <v>75400</v>
          </cell>
          <cell r="J64">
            <v>69700.399999999994</v>
          </cell>
          <cell r="K64">
            <v>145100.4</v>
          </cell>
        </row>
        <row r="65">
          <cell r="A65" t="str">
            <v>ESCORTS</v>
          </cell>
          <cell r="B65">
            <v>1100</v>
          </cell>
          <cell r="C65">
            <v>11.27</v>
          </cell>
          <cell r="D65">
            <v>5</v>
          </cell>
          <cell r="E65">
            <v>16.27</v>
          </cell>
          <cell r="F65">
            <v>74.47</v>
          </cell>
          <cell r="G65">
            <v>33.017499999999998</v>
          </cell>
          <cell r="H65">
            <v>107.4875</v>
          </cell>
          <cell r="I65">
            <v>81917</v>
          </cell>
          <cell r="J65">
            <v>36319.25</v>
          </cell>
          <cell r="K65">
            <v>118236.25</v>
          </cell>
        </row>
        <row r="66">
          <cell r="A66" t="str">
            <v>EXIDEIND</v>
          </cell>
          <cell r="B66">
            <v>2000</v>
          </cell>
          <cell r="C66">
            <v>11.26</v>
          </cell>
          <cell r="D66">
            <v>5</v>
          </cell>
          <cell r="E66">
            <v>16.260000000000002</v>
          </cell>
          <cell r="F66">
            <v>26.97</v>
          </cell>
          <cell r="G66">
            <v>11.967499999999999</v>
          </cell>
          <cell r="H66">
            <v>38.9375</v>
          </cell>
          <cell r="I66">
            <v>53940</v>
          </cell>
          <cell r="J66">
            <v>23935</v>
          </cell>
          <cell r="K66">
            <v>77875</v>
          </cell>
        </row>
        <row r="67">
          <cell r="A67" t="str">
            <v>FEDERALBNK</v>
          </cell>
          <cell r="B67">
            <v>5500</v>
          </cell>
          <cell r="C67">
            <v>11.34</v>
          </cell>
          <cell r="D67">
            <v>5</v>
          </cell>
          <cell r="E67">
            <v>16.34</v>
          </cell>
          <cell r="F67">
            <v>9.0299999999999994</v>
          </cell>
          <cell r="G67">
            <v>3.98</v>
          </cell>
          <cell r="H67">
            <v>13.01</v>
          </cell>
          <cell r="I67">
            <v>49665</v>
          </cell>
          <cell r="J67">
            <v>21890</v>
          </cell>
          <cell r="K67">
            <v>71555</v>
          </cell>
        </row>
        <row r="68">
          <cell r="A68" t="str">
            <v>GAIL</v>
          </cell>
          <cell r="B68">
            <v>2667</v>
          </cell>
          <cell r="C68">
            <v>11.29</v>
          </cell>
          <cell r="D68">
            <v>5</v>
          </cell>
          <cell r="E68">
            <v>16.29</v>
          </cell>
          <cell r="F68">
            <v>38.840000000000003</v>
          </cell>
          <cell r="G68">
            <v>17.190000000000001</v>
          </cell>
          <cell r="H68">
            <v>56.03</v>
          </cell>
          <cell r="I68">
            <v>103586</v>
          </cell>
          <cell r="J68">
            <v>45845.73</v>
          </cell>
          <cell r="K68">
            <v>149431.73000000001</v>
          </cell>
        </row>
        <row r="69">
          <cell r="A69" t="str">
            <v>GLENMARK</v>
          </cell>
          <cell r="B69">
            <v>1000</v>
          </cell>
          <cell r="C69">
            <v>11.27</v>
          </cell>
          <cell r="D69">
            <v>5</v>
          </cell>
          <cell r="E69">
            <v>16.27</v>
          </cell>
          <cell r="F69">
            <v>71.73</v>
          </cell>
          <cell r="G69">
            <v>31.822500000000002</v>
          </cell>
          <cell r="H69">
            <v>103.55249999999999</v>
          </cell>
          <cell r="I69">
            <v>71730</v>
          </cell>
          <cell r="J69">
            <v>31822.5</v>
          </cell>
          <cell r="K69">
            <v>103552.5</v>
          </cell>
        </row>
        <row r="70">
          <cell r="A70" t="str">
            <v>GMRINFRA</v>
          </cell>
          <cell r="B70">
            <v>45000</v>
          </cell>
          <cell r="C70">
            <v>11.26</v>
          </cell>
          <cell r="D70">
            <v>5</v>
          </cell>
          <cell r="E70">
            <v>16.260000000000002</v>
          </cell>
          <cell r="F70">
            <v>1.83</v>
          </cell>
          <cell r="G70">
            <v>0.8125</v>
          </cell>
          <cell r="H70">
            <v>2.6425000000000001</v>
          </cell>
          <cell r="I70">
            <v>82350</v>
          </cell>
          <cell r="J70">
            <v>36562.5</v>
          </cell>
          <cell r="K70">
            <v>118912.5</v>
          </cell>
        </row>
        <row r="71">
          <cell r="A71" t="str">
            <v>GODFRYPHLP</v>
          </cell>
          <cell r="B71">
            <v>700</v>
          </cell>
          <cell r="C71">
            <v>11.25</v>
          </cell>
          <cell r="D71">
            <v>5</v>
          </cell>
          <cell r="E71">
            <v>16.25</v>
          </cell>
          <cell r="F71">
            <v>96.29</v>
          </cell>
          <cell r="G71">
            <v>42.762500000000003</v>
          </cell>
          <cell r="H71">
            <v>139.05250000000001</v>
          </cell>
          <cell r="I71">
            <v>67403</v>
          </cell>
          <cell r="J71">
            <v>29933.75</v>
          </cell>
          <cell r="K71">
            <v>97336.75</v>
          </cell>
        </row>
        <row r="72">
          <cell r="A72" t="str">
            <v>GODREJCP</v>
          </cell>
          <cell r="B72">
            <v>600</v>
          </cell>
          <cell r="C72">
            <v>11.26</v>
          </cell>
          <cell r="D72">
            <v>5</v>
          </cell>
          <cell r="E72">
            <v>16.260000000000002</v>
          </cell>
          <cell r="F72">
            <v>79.95</v>
          </cell>
          <cell r="G72">
            <v>35.494999999999997</v>
          </cell>
          <cell r="H72">
            <v>115.44499999999999</v>
          </cell>
          <cell r="I72">
            <v>47970</v>
          </cell>
          <cell r="J72">
            <v>21297</v>
          </cell>
          <cell r="K72">
            <v>69267</v>
          </cell>
        </row>
        <row r="73">
          <cell r="A73" t="str">
            <v>GODREJIND</v>
          </cell>
          <cell r="B73">
            <v>1500</v>
          </cell>
          <cell r="C73">
            <v>11.29</v>
          </cell>
          <cell r="D73">
            <v>5</v>
          </cell>
          <cell r="E73">
            <v>16.29</v>
          </cell>
          <cell r="F73">
            <v>59.2</v>
          </cell>
          <cell r="G73">
            <v>26.202500000000001</v>
          </cell>
          <cell r="H73">
            <v>85.402500000000003</v>
          </cell>
          <cell r="I73">
            <v>88800</v>
          </cell>
          <cell r="J73">
            <v>39303.75</v>
          </cell>
          <cell r="K73">
            <v>128103.75</v>
          </cell>
        </row>
        <row r="74">
          <cell r="A74" t="str">
            <v>GRANULES</v>
          </cell>
          <cell r="B74">
            <v>5000</v>
          </cell>
          <cell r="C74">
            <v>11.27</v>
          </cell>
          <cell r="D74">
            <v>5.08</v>
          </cell>
          <cell r="E74">
            <v>16.350000000000001</v>
          </cell>
          <cell r="F74">
            <v>11.08</v>
          </cell>
          <cell r="G74">
            <v>4.9935999999999998</v>
          </cell>
          <cell r="H74">
            <v>16.073599999999999</v>
          </cell>
          <cell r="I74">
            <v>55400</v>
          </cell>
          <cell r="J74">
            <v>24968.2</v>
          </cell>
          <cell r="K74">
            <v>80368.2</v>
          </cell>
        </row>
        <row r="75">
          <cell r="A75" t="str">
            <v>GRASIM</v>
          </cell>
          <cell r="B75">
            <v>750</v>
          </cell>
          <cell r="C75">
            <v>11.25</v>
          </cell>
          <cell r="D75">
            <v>5</v>
          </cell>
          <cell r="E75">
            <v>16.25</v>
          </cell>
          <cell r="F75">
            <v>94.6</v>
          </cell>
          <cell r="G75">
            <v>42.0075</v>
          </cell>
          <cell r="H75">
            <v>136.60749999999999</v>
          </cell>
          <cell r="I75">
            <v>70950</v>
          </cell>
          <cell r="J75">
            <v>31505.625</v>
          </cell>
          <cell r="K75">
            <v>102455.625</v>
          </cell>
        </row>
        <row r="76">
          <cell r="A76" t="str">
            <v>GSFC</v>
          </cell>
          <cell r="B76">
            <v>4500</v>
          </cell>
          <cell r="C76">
            <v>11.27</v>
          </cell>
          <cell r="D76">
            <v>5</v>
          </cell>
          <cell r="E76">
            <v>16.27</v>
          </cell>
          <cell r="F76">
            <v>11.77</v>
          </cell>
          <cell r="G76">
            <v>5.2175000000000002</v>
          </cell>
          <cell r="H76">
            <v>16.987500000000001</v>
          </cell>
          <cell r="I76">
            <v>52965</v>
          </cell>
          <cell r="J76">
            <v>23478.75</v>
          </cell>
          <cell r="K76">
            <v>76443.75</v>
          </cell>
        </row>
        <row r="77">
          <cell r="A77" t="str">
            <v>HAVELLS</v>
          </cell>
          <cell r="B77">
            <v>1000</v>
          </cell>
          <cell r="C77">
            <v>11.28</v>
          </cell>
          <cell r="D77">
            <v>5</v>
          </cell>
          <cell r="E77">
            <v>16.28</v>
          </cell>
          <cell r="F77">
            <v>76.510000000000005</v>
          </cell>
          <cell r="G77">
            <v>33.884999999999998</v>
          </cell>
          <cell r="H77">
            <v>110.395</v>
          </cell>
          <cell r="I77">
            <v>76510</v>
          </cell>
          <cell r="J77">
            <v>33885</v>
          </cell>
          <cell r="K77">
            <v>110395</v>
          </cell>
        </row>
        <row r="78">
          <cell r="A78" t="str">
            <v>HCC</v>
          </cell>
          <cell r="B78">
            <v>20063</v>
          </cell>
          <cell r="C78">
            <v>14.42</v>
          </cell>
          <cell r="D78">
            <v>7.88</v>
          </cell>
          <cell r="E78">
            <v>22.3</v>
          </cell>
          <cell r="F78">
            <v>1.81</v>
          </cell>
          <cell r="G78">
            <v>0.9889</v>
          </cell>
          <cell r="H78">
            <v>2.7989000000000002</v>
          </cell>
          <cell r="I78">
            <v>36314</v>
          </cell>
          <cell r="J78">
            <v>19841.103200000001</v>
          </cell>
          <cell r="K78">
            <v>56155.103199999998</v>
          </cell>
        </row>
        <row r="79">
          <cell r="A79" t="str">
            <v>HCLTECH</v>
          </cell>
          <cell r="B79">
            <v>700</v>
          </cell>
          <cell r="C79">
            <v>11.25</v>
          </cell>
          <cell r="D79">
            <v>5</v>
          </cell>
          <cell r="E79">
            <v>16.25</v>
          </cell>
          <cell r="F79">
            <v>113.9</v>
          </cell>
          <cell r="G79">
            <v>50.59</v>
          </cell>
          <cell r="H79">
            <v>164.49</v>
          </cell>
          <cell r="I79">
            <v>79730</v>
          </cell>
          <cell r="J79">
            <v>35413</v>
          </cell>
          <cell r="K79">
            <v>115143</v>
          </cell>
        </row>
        <row r="80">
          <cell r="A80" t="str">
            <v>HDFC</v>
          </cell>
          <cell r="B80">
            <v>500</v>
          </cell>
          <cell r="C80">
            <v>11.26</v>
          </cell>
          <cell r="D80">
            <v>5</v>
          </cell>
          <cell r="E80">
            <v>16.260000000000002</v>
          </cell>
          <cell r="F80">
            <v>211.88</v>
          </cell>
          <cell r="G80">
            <v>94.03</v>
          </cell>
          <cell r="H80">
            <v>305.91000000000003</v>
          </cell>
          <cell r="I80">
            <v>105940</v>
          </cell>
          <cell r="J80">
            <v>47015</v>
          </cell>
          <cell r="K80">
            <v>152955</v>
          </cell>
        </row>
        <row r="81">
          <cell r="A81" t="str">
            <v>HDFCBANK</v>
          </cell>
          <cell r="B81">
            <v>250</v>
          </cell>
          <cell r="C81">
            <v>11.27</v>
          </cell>
          <cell r="D81">
            <v>5</v>
          </cell>
          <cell r="E81">
            <v>16.27</v>
          </cell>
          <cell r="F81">
            <v>227.19</v>
          </cell>
          <cell r="G81">
            <v>100.78</v>
          </cell>
          <cell r="H81">
            <v>327.97</v>
          </cell>
          <cell r="I81">
            <v>56798</v>
          </cell>
          <cell r="J81">
            <v>25195</v>
          </cell>
          <cell r="K81">
            <v>81993</v>
          </cell>
        </row>
        <row r="82">
          <cell r="A82" t="str">
            <v>HEROMOTOCO</v>
          </cell>
          <cell r="B82">
            <v>200</v>
          </cell>
          <cell r="C82">
            <v>11.26</v>
          </cell>
          <cell r="D82">
            <v>5</v>
          </cell>
          <cell r="E82">
            <v>16.260000000000002</v>
          </cell>
          <cell r="F82">
            <v>334.18</v>
          </cell>
          <cell r="G82">
            <v>148.26750000000001</v>
          </cell>
          <cell r="H82">
            <v>482.44749999999999</v>
          </cell>
          <cell r="I82">
            <v>66836</v>
          </cell>
          <cell r="J82">
            <v>29653.5</v>
          </cell>
          <cell r="K82">
            <v>96489.5</v>
          </cell>
        </row>
        <row r="83">
          <cell r="A83" t="str">
            <v>HEXAWARE</v>
          </cell>
          <cell r="B83">
            <v>1500</v>
          </cell>
          <cell r="C83">
            <v>11.3</v>
          </cell>
          <cell r="D83">
            <v>5</v>
          </cell>
          <cell r="E83">
            <v>16.3</v>
          </cell>
          <cell r="F83">
            <v>34.86</v>
          </cell>
          <cell r="G83">
            <v>15.4125</v>
          </cell>
          <cell r="H83">
            <v>50.272500000000001</v>
          </cell>
          <cell r="I83">
            <v>52290</v>
          </cell>
          <cell r="J83">
            <v>23118.75</v>
          </cell>
          <cell r="K83">
            <v>75408.75</v>
          </cell>
        </row>
        <row r="84">
          <cell r="A84" t="str">
            <v>HINDALCO</v>
          </cell>
          <cell r="B84">
            <v>3500</v>
          </cell>
          <cell r="C84">
            <v>11.27</v>
          </cell>
          <cell r="D84">
            <v>5</v>
          </cell>
          <cell r="E84">
            <v>16.27</v>
          </cell>
          <cell r="F84">
            <v>25.06</v>
          </cell>
          <cell r="G84">
            <v>11.11</v>
          </cell>
          <cell r="H84">
            <v>36.17</v>
          </cell>
          <cell r="I84">
            <v>87710</v>
          </cell>
          <cell r="J84">
            <v>38885</v>
          </cell>
          <cell r="K84">
            <v>126595</v>
          </cell>
        </row>
        <row r="85">
          <cell r="A85" t="str">
            <v>HINDPETRO</v>
          </cell>
          <cell r="B85">
            <v>1575</v>
          </cell>
          <cell r="C85">
            <v>17.059999999999999</v>
          </cell>
          <cell r="D85">
            <v>8.09</v>
          </cell>
          <cell r="E85">
            <v>25.15</v>
          </cell>
          <cell r="F85">
            <v>41.62</v>
          </cell>
          <cell r="G85">
            <v>19.7315</v>
          </cell>
          <cell r="H85">
            <v>61.351500000000001</v>
          </cell>
          <cell r="I85">
            <v>65552</v>
          </cell>
          <cell r="J85">
            <v>31077.1283</v>
          </cell>
          <cell r="K85">
            <v>96629.128299999997</v>
          </cell>
        </row>
        <row r="86">
          <cell r="A86" t="str">
            <v>HINDUNILVR</v>
          </cell>
          <cell r="B86">
            <v>600</v>
          </cell>
          <cell r="C86">
            <v>11.26</v>
          </cell>
          <cell r="D86">
            <v>5</v>
          </cell>
          <cell r="E86">
            <v>16.260000000000002</v>
          </cell>
          <cell r="F86">
            <v>191.24</v>
          </cell>
          <cell r="G86">
            <v>84.89</v>
          </cell>
          <cell r="H86">
            <v>276.13</v>
          </cell>
          <cell r="I86">
            <v>114744</v>
          </cell>
          <cell r="J86">
            <v>50934</v>
          </cell>
          <cell r="K86">
            <v>165678</v>
          </cell>
        </row>
        <row r="87">
          <cell r="A87" t="str">
            <v>HINDZINC</v>
          </cell>
          <cell r="B87">
            <v>3200</v>
          </cell>
          <cell r="C87">
            <v>11.27</v>
          </cell>
          <cell r="D87">
            <v>5</v>
          </cell>
          <cell r="E87">
            <v>16.27</v>
          </cell>
          <cell r="F87">
            <v>29.75</v>
          </cell>
          <cell r="G87">
            <v>13.192500000000001</v>
          </cell>
          <cell r="H87">
            <v>42.942500000000003</v>
          </cell>
          <cell r="I87">
            <v>95200</v>
          </cell>
          <cell r="J87">
            <v>42216</v>
          </cell>
          <cell r="K87">
            <v>137416</v>
          </cell>
        </row>
        <row r="88">
          <cell r="A88" t="str">
            <v>IBULHSGFIN</v>
          </cell>
          <cell r="B88">
            <v>500</v>
          </cell>
          <cell r="C88">
            <v>18.260000000000002</v>
          </cell>
          <cell r="D88">
            <v>17.72</v>
          </cell>
          <cell r="E88">
            <v>35.979999999999997</v>
          </cell>
          <cell r="F88">
            <v>129.46</v>
          </cell>
          <cell r="G88">
            <v>125.5639</v>
          </cell>
          <cell r="H88">
            <v>255.0239</v>
          </cell>
          <cell r="I88">
            <v>64730</v>
          </cell>
          <cell r="J88">
            <v>62781.96</v>
          </cell>
          <cell r="K88">
            <v>127511.96</v>
          </cell>
        </row>
        <row r="89">
          <cell r="A89" t="str">
            <v>ICICIBANK</v>
          </cell>
          <cell r="B89">
            <v>2750</v>
          </cell>
          <cell r="C89">
            <v>11.25</v>
          </cell>
          <cell r="D89">
            <v>5</v>
          </cell>
          <cell r="E89">
            <v>16.25</v>
          </cell>
          <cell r="F89">
            <v>40.4</v>
          </cell>
          <cell r="G89">
            <v>17.947500000000002</v>
          </cell>
          <cell r="H89">
            <v>58.347499999999997</v>
          </cell>
          <cell r="I89">
            <v>111100</v>
          </cell>
          <cell r="J89">
            <v>49355.625</v>
          </cell>
          <cell r="K89">
            <v>160455.625</v>
          </cell>
        </row>
        <row r="90">
          <cell r="A90" t="str">
            <v>ICICIPRULI</v>
          </cell>
          <cell r="B90">
            <v>1300</v>
          </cell>
          <cell r="C90">
            <v>11.27</v>
          </cell>
          <cell r="D90">
            <v>5</v>
          </cell>
          <cell r="E90">
            <v>16.27</v>
          </cell>
          <cell r="F90">
            <v>36.24</v>
          </cell>
          <cell r="G90">
            <v>16.067499999999999</v>
          </cell>
          <cell r="H90">
            <v>52.307499999999997</v>
          </cell>
          <cell r="I90">
            <v>47112</v>
          </cell>
          <cell r="J90">
            <v>20887.75</v>
          </cell>
          <cell r="K90">
            <v>67999.75</v>
          </cell>
        </row>
        <row r="91">
          <cell r="A91" t="str">
            <v>IDBI</v>
          </cell>
          <cell r="B91">
            <v>10000</v>
          </cell>
          <cell r="C91">
            <v>11.27</v>
          </cell>
          <cell r="D91">
            <v>5</v>
          </cell>
          <cell r="E91">
            <v>16.27</v>
          </cell>
          <cell r="F91">
            <v>6.8</v>
          </cell>
          <cell r="G91">
            <v>3.0150000000000001</v>
          </cell>
          <cell r="H91">
            <v>9.8149999999999995</v>
          </cell>
          <cell r="I91">
            <v>68000</v>
          </cell>
          <cell r="J91">
            <v>30150</v>
          </cell>
          <cell r="K91">
            <v>98150</v>
          </cell>
        </row>
        <row r="92">
          <cell r="A92" t="str">
            <v>IDEA</v>
          </cell>
          <cell r="B92">
            <v>7000</v>
          </cell>
          <cell r="C92">
            <v>17.71</v>
          </cell>
          <cell r="D92">
            <v>5</v>
          </cell>
          <cell r="E92">
            <v>22.71</v>
          </cell>
          <cell r="F92">
            <v>7.52</v>
          </cell>
          <cell r="G92">
            <v>2.1225000000000001</v>
          </cell>
          <cell r="H92">
            <v>9.6425000000000001</v>
          </cell>
          <cell r="I92">
            <v>52640</v>
          </cell>
          <cell r="J92">
            <v>14857.5</v>
          </cell>
          <cell r="K92">
            <v>67497.5</v>
          </cell>
        </row>
        <row r="93">
          <cell r="A93" t="str">
            <v>IDFC</v>
          </cell>
          <cell r="B93">
            <v>13200</v>
          </cell>
          <cell r="C93">
            <v>11.26</v>
          </cell>
          <cell r="D93">
            <v>5</v>
          </cell>
          <cell r="E93">
            <v>16.260000000000002</v>
          </cell>
          <cell r="F93">
            <v>4.3099999999999996</v>
          </cell>
          <cell r="G93">
            <v>1.9125000000000001</v>
          </cell>
          <cell r="H93">
            <v>6.2225000000000001</v>
          </cell>
          <cell r="I93">
            <v>56892</v>
          </cell>
          <cell r="J93">
            <v>25245</v>
          </cell>
          <cell r="K93">
            <v>82137</v>
          </cell>
        </row>
        <row r="94">
          <cell r="A94" t="str">
            <v>IDFCBANK</v>
          </cell>
          <cell r="B94">
            <v>11000</v>
          </cell>
          <cell r="C94">
            <v>11.29</v>
          </cell>
          <cell r="D94">
            <v>5</v>
          </cell>
          <cell r="E94">
            <v>16.29</v>
          </cell>
          <cell r="F94">
            <v>4.01</v>
          </cell>
          <cell r="G94">
            <v>1.7749999999999999</v>
          </cell>
          <cell r="H94">
            <v>5.7850000000000001</v>
          </cell>
          <cell r="I94">
            <v>44110</v>
          </cell>
          <cell r="J94">
            <v>19525</v>
          </cell>
          <cell r="K94">
            <v>63635</v>
          </cell>
        </row>
        <row r="95">
          <cell r="A95" t="str">
            <v>IFCI</v>
          </cell>
          <cell r="B95">
            <v>25000</v>
          </cell>
          <cell r="C95">
            <v>11.21</v>
          </cell>
          <cell r="D95">
            <v>5</v>
          </cell>
          <cell r="E95">
            <v>16.21</v>
          </cell>
          <cell r="F95">
            <v>1.57</v>
          </cell>
          <cell r="G95">
            <v>0.7</v>
          </cell>
          <cell r="H95">
            <v>2.27</v>
          </cell>
          <cell r="I95">
            <v>39250</v>
          </cell>
          <cell r="J95">
            <v>17500</v>
          </cell>
          <cell r="K95">
            <v>56750</v>
          </cell>
        </row>
        <row r="96">
          <cell r="A96" t="str">
            <v>IGL</v>
          </cell>
          <cell r="B96">
            <v>2750</v>
          </cell>
          <cell r="C96">
            <v>11.34</v>
          </cell>
          <cell r="D96">
            <v>5</v>
          </cell>
          <cell r="E96">
            <v>16.34</v>
          </cell>
          <cell r="F96">
            <v>30.06</v>
          </cell>
          <cell r="G96">
            <v>13.2525</v>
          </cell>
          <cell r="H96">
            <v>43.3125</v>
          </cell>
          <cell r="I96">
            <v>82665</v>
          </cell>
          <cell r="J96">
            <v>36444.375</v>
          </cell>
          <cell r="K96">
            <v>119109.375</v>
          </cell>
        </row>
        <row r="97">
          <cell r="A97" t="str">
            <v>INDIACEM</v>
          </cell>
          <cell r="B97">
            <v>3500</v>
          </cell>
          <cell r="C97">
            <v>11.29</v>
          </cell>
          <cell r="D97">
            <v>5</v>
          </cell>
          <cell r="E97">
            <v>16.29</v>
          </cell>
          <cell r="F97">
            <v>10.39</v>
          </cell>
          <cell r="G97">
            <v>4.5975000000000001</v>
          </cell>
          <cell r="H97">
            <v>14.987500000000001</v>
          </cell>
          <cell r="I97">
            <v>36365</v>
          </cell>
          <cell r="J97">
            <v>16091.25</v>
          </cell>
          <cell r="K97">
            <v>52456.25</v>
          </cell>
        </row>
        <row r="98">
          <cell r="A98" t="str">
            <v>INDIANB</v>
          </cell>
          <cell r="B98">
            <v>2000</v>
          </cell>
          <cell r="C98">
            <v>13.93</v>
          </cell>
          <cell r="D98">
            <v>5</v>
          </cell>
          <cell r="E98">
            <v>18.93</v>
          </cell>
          <cell r="F98">
            <v>31.8</v>
          </cell>
          <cell r="G98">
            <v>11.4125</v>
          </cell>
          <cell r="H98">
            <v>43.212499999999999</v>
          </cell>
          <cell r="I98">
            <v>63600</v>
          </cell>
          <cell r="J98">
            <v>22825</v>
          </cell>
          <cell r="K98">
            <v>86425</v>
          </cell>
        </row>
        <row r="99">
          <cell r="A99" t="str">
            <v>INDIGO</v>
          </cell>
          <cell r="B99">
            <v>600</v>
          </cell>
          <cell r="C99">
            <v>11.28</v>
          </cell>
          <cell r="D99">
            <v>5</v>
          </cell>
          <cell r="E99">
            <v>16.28</v>
          </cell>
          <cell r="F99">
            <v>117.01</v>
          </cell>
          <cell r="G99">
            <v>51.852499999999999</v>
          </cell>
          <cell r="H99">
            <v>168.86250000000001</v>
          </cell>
          <cell r="I99">
            <v>70206</v>
          </cell>
          <cell r="J99">
            <v>31111.5</v>
          </cell>
          <cell r="K99">
            <v>101317.5</v>
          </cell>
        </row>
        <row r="100">
          <cell r="A100" t="str">
            <v>INDUSINDBK</v>
          </cell>
          <cell r="B100">
            <v>300</v>
          </cell>
          <cell r="C100">
            <v>11.29</v>
          </cell>
          <cell r="D100">
            <v>5</v>
          </cell>
          <cell r="E100">
            <v>16.29</v>
          </cell>
          <cell r="F100">
            <v>175.87</v>
          </cell>
          <cell r="G100">
            <v>77.882499999999993</v>
          </cell>
          <cell r="H100">
            <v>253.7525</v>
          </cell>
          <cell r="I100">
            <v>52761</v>
          </cell>
          <cell r="J100">
            <v>23364.75</v>
          </cell>
          <cell r="K100">
            <v>76125.75</v>
          </cell>
        </row>
        <row r="101">
          <cell r="A101" t="str">
            <v>INFIBEAM</v>
          </cell>
          <cell r="B101">
            <v>4000</v>
          </cell>
          <cell r="C101">
            <v>48.56</v>
          </cell>
          <cell r="D101">
            <v>37.39</v>
          </cell>
          <cell r="E101">
            <v>85.95</v>
          </cell>
          <cell r="F101">
            <v>22.85</v>
          </cell>
          <cell r="G101">
            <v>17.591999999999999</v>
          </cell>
          <cell r="H101">
            <v>40.442</v>
          </cell>
          <cell r="I101">
            <v>91400</v>
          </cell>
          <cell r="J101">
            <v>70367.98</v>
          </cell>
          <cell r="K101">
            <v>161767.98000000001</v>
          </cell>
        </row>
        <row r="102">
          <cell r="A102" t="str">
            <v>INFRATEL</v>
          </cell>
          <cell r="B102">
            <v>1700</v>
          </cell>
          <cell r="C102">
            <v>11.25</v>
          </cell>
          <cell r="D102">
            <v>5</v>
          </cell>
          <cell r="E102">
            <v>16.25</v>
          </cell>
          <cell r="F102">
            <v>29.39</v>
          </cell>
          <cell r="G102">
            <v>13.055</v>
          </cell>
          <cell r="H102">
            <v>42.445</v>
          </cell>
          <cell r="I102">
            <v>49963</v>
          </cell>
          <cell r="J102">
            <v>22193.5</v>
          </cell>
          <cell r="K102">
            <v>72156.5</v>
          </cell>
        </row>
        <row r="103">
          <cell r="A103" t="str">
            <v>INFY</v>
          </cell>
          <cell r="B103">
            <v>1200</v>
          </cell>
          <cell r="C103">
            <v>11.27</v>
          </cell>
          <cell r="D103">
            <v>5</v>
          </cell>
          <cell r="E103">
            <v>16.27</v>
          </cell>
          <cell r="F103">
            <v>72.41</v>
          </cell>
          <cell r="G103">
            <v>32.1175</v>
          </cell>
          <cell r="H103">
            <v>104.5275</v>
          </cell>
          <cell r="I103">
            <v>86892</v>
          </cell>
          <cell r="J103">
            <v>38541</v>
          </cell>
          <cell r="K103">
            <v>125433</v>
          </cell>
        </row>
        <row r="104">
          <cell r="A104" t="str">
            <v>IOC</v>
          </cell>
          <cell r="B104">
            <v>3000</v>
          </cell>
          <cell r="C104">
            <v>12.47</v>
          </cell>
          <cell r="D104">
            <v>8</v>
          </cell>
          <cell r="E104">
            <v>20.47</v>
          </cell>
          <cell r="F104">
            <v>17.36</v>
          </cell>
          <cell r="G104">
            <v>11.135999999999999</v>
          </cell>
          <cell r="H104">
            <v>28.495999999999999</v>
          </cell>
          <cell r="I104">
            <v>52080</v>
          </cell>
          <cell r="J104">
            <v>33408</v>
          </cell>
          <cell r="K104">
            <v>85488</v>
          </cell>
        </row>
        <row r="105">
          <cell r="A105" t="str">
            <v>IRB</v>
          </cell>
          <cell r="B105">
            <v>2500</v>
          </cell>
          <cell r="C105">
            <v>12.39</v>
          </cell>
          <cell r="D105">
            <v>5</v>
          </cell>
          <cell r="E105">
            <v>17.39</v>
          </cell>
          <cell r="F105">
            <v>16.96</v>
          </cell>
          <cell r="G105">
            <v>6.84</v>
          </cell>
          <cell r="H105">
            <v>23.8</v>
          </cell>
          <cell r="I105">
            <v>42400</v>
          </cell>
          <cell r="J105">
            <v>17100</v>
          </cell>
          <cell r="K105">
            <v>59500</v>
          </cell>
        </row>
        <row r="106">
          <cell r="A106" t="str">
            <v>ITC</v>
          </cell>
          <cell r="B106">
            <v>2400</v>
          </cell>
          <cell r="C106">
            <v>11.28</v>
          </cell>
          <cell r="D106">
            <v>5</v>
          </cell>
          <cell r="E106">
            <v>16.28</v>
          </cell>
          <cell r="F106">
            <v>32.04</v>
          </cell>
          <cell r="G106">
            <v>14.192500000000001</v>
          </cell>
          <cell r="H106">
            <v>46.232500000000002</v>
          </cell>
          <cell r="I106">
            <v>76896</v>
          </cell>
          <cell r="J106">
            <v>34062</v>
          </cell>
          <cell r="K106">
            <v>110958</v>
          </cell>
        </row>
        <row r="107">
          <cell r="A107" t="str">
            <v>JETAIRWAYS</v>
          </cell>
          <cell r="B107">
            <v>1200</v>
          </cell>
          <cell r="C107">
            <v>24.91</v>
          </cell>
          <cell r="D107">
            <v>6.03</v>
          </cell>
          <cell r="E107">
            <v>30.94</v>
          </cell>
          <cell r="F107">
            <v>76.09</v>
          </cell>
          <cell r="G107">
            <v>18.418600000000001</v>
          </cell>
          <cell r="H107">
            <v>94.508600000000001</v>
          </cell>
          <cell r="I107">
            <v>91308</v>
          </cell>
          <cell r="J107">
            <v>22102.362000000001</v>
          </cell>
          <cell r="K107">
            <v>113410.36199999999</v>
          </cell>
        </row>
        <row r="108">
          <cell r="A108" t="str">
            <v>JINDALSTEL</v>
          </cell>
          <cell r="B108">
            <v>2250</v>
          </cell>
          <cell r="C108">
            <v>12.38</v>
          </cell>
          <cell r="D108">
            <v>8.0399999999999991</v>
          </cell>
          <cell r="E108">
            <v>20.420000000000002</v>
          </cell>
          <cell r="F108">
            <v>21.17</v>
          </cell>
          <cell r="G108">
            <v>13.7484</v>
          </cell>
          <cell r="H108">
            <v>34.918399999999998</v>
          </cell>
          <cell r="I108">
            <v>47633</v>
          </cell>
          <cell r="J108">
            <v>30933.9</v>
          </cell>
          <cell r="K108">
            <v>78566.899999999994</v>
          </cell>
        </row>
        <row r="109">
          <cell r="A109" t="str">
            <v>JISLJALEQS</v>
          </cell>
          <cell r="B109">
            <v>9000</v>
          </cell>
          <cell r="C109">
            <v>11.3</v>
          </cell>
          <cell r="D109">
            <v>8</v>
          </cell>
          <cell r="E109">
            <v>19.3</v>
          </cell>
          <cell r="F109">
            <v>7.9</v>
          </cell>
          <cell r="G109">
            <v>5.5919999999999996</v>
          </cell>
          <cell r="H109">
            <v>13.492000000000001</v>
          </cell>
          <cell r="I109">
            <v>71100</v>
          </cell>
          <cell r="J109">
            <v>50328</v>
          </cell>
          <cell r="K109">
            <v>121428</v>
          </cell>
        </row>
        <row r="110">
          <cell r="A110" t="str">
            <v>JPASSOCIAT</v>
          </cell>
          <cell r="B110">
            <v>34000</v>
          </cell>
          <cell r="C110">
            <v>14.92</v>
          </cell>
          <cell r="D110">
            <v>6.8</v>
          </cell>
          <cell r="E110">
            <v>21.72</v>
          </cell>
          <cell r="F110">
            <v>1</v>
          </cell>
          <cell r="G110">
            <v>0.4556</v>
          </cell>
          <cell r="H110">
            <v>1.4556</v>
          </cell>
          <cell r="I110">
            <v>34000</v>
          </cell>
          <cell r="J110">
            <v>15490.4</v>
          </cell>
          <cell r="K110">
            <v>49490.400000000001</v>
          </cell>
        </row>
        <row r="111">
          <cell r="A111" t="str">
            <v>JSWSTEEL</v>
          </cell>
          <cell r="B111">
            <v>1500</v>
          </cell>
          <cell r="C111">
            <v>11.26</v>
          </cell>
          <cell r="D111">
            <v>5</v>
          </cell>
          <cell r="E111">
            <v>16.260000000000002</v>
          </cell>
          <cell r="F111">
            <v>37.06</v>
          </cell>
          <cell r="G111">
            <v>16.45</v>
          </cell>
          <cell r="H111">
            <v>53.51</v>
          </cell>
          <cell r="I111">
            <v>55590</v>
          </cell>
          <cell r="J111">
            <v>24675</v>
          </cell>
          <cell r="K111">
            <v>80265</v>
          </cell>
        </row>
        <row r="112">
          <cell r="A112" t="str">
            <v>JUBLFOOD</v>
          </cell>
          <cell r="B112">
            <v>500</v>
          </cell>
          <cell r="C112">
            <v>11.33</v>
          </cell>
          <cell r="D112">
            <v>5</v>
          </cell>
          <cell r="E112">
            <v>16.329999999999998</v>
          </cell>
          <cell r="F112">
            <v>137.08000000000001</v>
          </cell>
          <cell r="G112">
            <v>60.457500000000003</v>
          </cell>
          <cell r="H112">
            <v>197.53749999999999</v>
          </cell>
          <cell r="I112">
            <v>68540</v>
          </cell>
          <cell r="J112">
            <v>30228.75</v>
          </cell>
          <cell r="K112">
            <v>98768.75</v>
          </cell>
        </row>
        <row r="113">
          <cell r="A113" t="str">
            <v>JUSTDIAL</v>
          </cell>
          <cell r="B113">
            <v>1400</v>
          </cell>
          <cell r="C113">
            <v>13.97</v>
          </cell>
          <cell r="D113">
            <v>7.07</v>
          </cell>
          <cell r="E113">
            <v>21.04</v>
          </cell>
          <cell r="F113">
            <v>71.42</v>
          </cell>
          <cell r="G113">
            <v>36.138300000000001</v>
          </cell>
          <cell r="H113">
            <v>107.5583</v>
          </cell>
          <cell r="I113">
            <v>99988</v>
          </cell>
          <cell r="J113">
            <v>50593.627</v>
          </cell>
          <cell r="K113">
            <v>150581.62700000001</v>
          </cell>
        </row>
        <row r="114">
          <cell r="A114" t="str">
            <v>KAJARIACER</v>
          </cell>
          <cell r="B114">
            <v>1000</v>
          </cell>
          <cell r="C114">
            <v>11.28</v>
          </cell>
          <cell r="D114">
            <v>8</v>
          </cell>
          <cell r="E114">
            <v>19.28</v>
          </cell>
          <cell r="F114">
            <v>50.48</v>
          </cell>
          <cell r="G114">
            <v>35.795999999999999</v>
          </cell>
          <cell r="H114">
            <v>86.275999999999996</v>
          </cell>
          <cell r="I114">
            <v>50480</v>
          </cell>
          <cell r="J114">
            <v>35796</v>
          </cell>
          <cell r="K114">
            <v>86276</v>
          </cell>
        </row>
        <row r="115">
          <cell r="A115" t="str">
            <v>KOTAKBANK</v>
          </cell>
          <cell r="B115">
            <v>800</v>
          </cell>
          <cell r="C115">
            <v>11.26</v>
          </cell>
          <cell r="D115">
            <v>5</v>
          </cell>
          <cell r="E115">
            <v>16.260000000000002</v>
          </cell>
          <cell r="F115">
            <v>132.08000000000001</v>
          </cell>
          <cell r="G115">
            <v>58.612499999999997</v>
          </cell>
          <cell r="H115">
            <v>190.6925</v>
          </cell>
          <cell r="I115">
            <v>105664</v>
          </cell>
          <cell r="J115">
            <v>46890</v>
          </cell>
          <cell r="K115">
            <v>152554</v>
          </cell>
        </row>
        <row r="116">
          <cell r="A116" t="str">
            <v>KPIT</v>
          </cell>
          <cell r="B116">
            <v>2250</v>
          </cell>
          <cell r="C116">
            <v>11.31</v>
          </cell>
          <cell r="D116">
            <v>6</v>
          </cell>
          <cell r="E116">
            <v>17.309999999999999</v>
          </cell>
          <cell r="F116">
            <v>23.24</v>
          </cell>
          <cell r="G116">
            <v>12.321</v>
          </cell>
          <cell r="H116">
            <v>35.561</v>
          </cell>
          <cell r="I116">
            <v>52290</v>
          </cell>
          <cell r="J116">
            <v>27722.25</v>
          </cell>
          <cell r="K116">
            <v>80012.25</v>
          </cell>
        </row>
        <row r="117">
          <cell r="A117" t="str">
            <v>KSCL</v>
          </cell>
          <cell r="B117">
            <v>1500</v>
          </cell>
          <cell r="C117">
            <v>11.5</v>
          </cell>
          <cell r="D117">
            <v>6</v>
          </cell>
          <cell r="E117">
            <v>17.5</v>
          </cell>
          <cell r="F117">
            <v>58.2</v>
          </cell>
          <cell r="G117">
            <v>30.36</v>
          </cell>
          <cell r="H117">
            <v>88.56</v>
          </cell>
          <cell r="I117">
            <v>87300</v>
          </cell>
          <cell r="J117">
            <v>45540</v>
          </cell>
          <cell r="K117">
            <v>132840</v>
          </cell>
        </row>
        <row r="118">
          <cell r="A118" t="str">
            <v>KTKBANK</v>
          </cell>
          <cell r="B118">
            <v>4500</v>
          </cell>
          <cell r="C118">
            <v>11.27</v>
          </cell>
          <cell r="D118">
            <v>5</v>
          </cell>
          <cell r="E118">
            <v>16.27</v>
          </cell>
          <cell r="F118">
            <v>11.75</v>
          </cell>
          <cell r="G118">
            <v>5.21</v>
          </cell>
          <cell r="H118">
            <v>16.96</v>
          </cell>
          <cell r="I118">
            <v>52875</v>
          </cell>
          <cell r="J118">
            <v>23445</v>
          </cell>
          <cell r="K118">
            <v>76320</v>
          </cell>
        </row>
        <row r="119">
          <cell r="A119" t="str">
            <v>L&amp;TFH</v>
          </cell>
          <cell r="B119">
            <v>4500</v>
          </cell>
          <cell r="C119">
            <v>11.27</v>
          </cell>
          <cell r="D119">
            <v>7</v>
          </cell>
          <cell r="E119">
            <v>18.27</v>
          </cell>
          <cell r="F119">
            <v>14.86</v>
          </cell>
          <cell r="G119">
            <v>9.2225000000000001</v>
          </cell>
          <cell r="H119">
            <v>24.0825</v>
          </cell>
          <cell r="I119">
            <v>66870</v>
          </cell>
          <cell r="J119">
            <v>41501.25</v>
          </cell>
          <cell r="K119">
            <v>108371.25</v>
          </cell>
        </row>
        <row r="120">
          <cell r="A120" t="str">
            <v>LICHSGFIN</v>
          </cell>
          <cell r="B120">
            <v>1100</v>
          </cell>
          <cell r="C120">
            <v>11.3</v>
          </cell>
          <cell r="D120">
            <v>5</v>
          </cell>
          <cell r="E120">
            <v>16.3</v>
          </cell>
          <cell r="F120">
            <v>51.76</v>
          </cell>
          <cell r="G120">
            <v>22.885000000000002</v>
          </cell>
          <cell r="H120">
            <v>74.644999999999996</v>
          </cell>
          <cell r="I120">
            <v>56936</v>
          </cell>
          <cell r="J120">
            <v>25173.5</v>
          </cell>
          <cell r="K120">
            <v>82109.5</v>
          </cell>
        </row>
        <row r="121">
          <cell r="A121" t="str">
            <v>LT</v>
          </cell>
          <cell r="B121">
            <v>375</v>
          </cell>
          <cell r="C121">
            <v>11.27</v>
          </cell>
          <cell r="D121">
            <v>5</v>
          </cell>
          <cell r="E121">
            <v>16.27</v>
          </cell>
          <cell r="F121">
            <v>159.53</v>
          </cell>
          <cell r="G121">
            <v>70.734999999999999</v>
          </cell>
          <cell r="H121">
            <v>230.26499999999999</v>
          </cell>
          <cell r="I121">
            <v>59824</v>
          </cell>
          <cell r="J121">
            <v>26525.625</v>
          </cell>
          <cell r="K121">
            <v>86349.625</v>
          </cell>
        </row>
        <row r="122">
          <cell r="A122" t="str">
            <v>LUPIN</v>
          </cell>
          <cell r="B122">
            <v>700</v>
          </cell>
          <cell r="C122">
            <v>11.28</v>
          </cell>
          <cell r="D122">
            <v>5</v>
          </cell>
          <cell r="E122">
            <v>16.28</v>
          </cell>
          <cell r="F122">
            <v>95.8</v>
          </cell>
          <cell r="G122">
            <v>42.457500000000003</v>
          </cell>
          <cell r="H122">
            <v>138.25749999999999</v>
          </cell>
          <cell r="I122">
            <v>67060</v>
          </cell>
          <cell r="J122">
            <v>29720.25</v>
          </cell>
          <cell r="K122">
            <v>96780.25</v>
          </cell>
        </row>
        <row r="123">
          <cell r="A123" t="str">
            <v>M&amp;M</v>
          </cell>
          <cell r="B123">
            <v>1000</v>
          </cell>
          <cell r="C123">
            <v>11.29</v>
          </cell>
          <cell r="D123">
            <v>5</v>
          </cell>
          <cell r="E123">
            <v>16.29</v>
          </cell>
          <cell r="F123">
            <v>88.35</v>
          </cell>
          <cell r="G123">
            <v>39.122500000000002</v>
          </cell>
          <cell r="H123">
            <v>127.4725</v>
          </cell>
          <cell r="I123">
            <v>88350</v>
          </cell>
          <cell r="J123">
            <v>39122.5</v>
          </cell>
          <cell r="K123">
            <v>127472.5</v>
          </cell>
        </row>
        <row r="124">
          <cell r="A124" t="str">
            <v>M&amp;MFIN</v>
          </cell>
          <cell r="B124">
            <v>1250</v>
          </cell>
          <cell r="C124">
            <v>11.26</v>
          </cell>
          <cell r="D124">
            <v>7</v>
          </cell>
          <cell r="E124">
            <v>18.260000000000002</v>
          </cell>
          <cell r="F124">
            <v>48.1</v>
          </cell>
          <cell r="G124">
            <v>29.8795</v>
          </cell>
          <cell r="H124">
            <v>77.979500000000002</v>
          </cell>
          <cell r="I124">
            <v>60125</v>
          </cell>
          <cell r="J124">
            <v>37349.375</v>
          </cell>
          <cell r="K124">
            <v>97474.375</v>
          </cell>
        </row>
        <row r="125">
          <cell r="A125" t="str">
            <v>MANAPPURAM</v>
          </cell>
          <cell r="B125">
            <v>6000</v>
          </cell>
          <cell r="C125">
            <v>11.27</v>
          </cell>
          <cell r="D125">
            <v>5</v>
          </cell>
          <cell r="E125">
            <v>16.27</v>
          </cell>
          <cell r="F125">
            <v>9.58</v>
          </cell>
          <cell r="G125">
            <v>4.2474999999999996</v>
          </cell>
          <cell r="H125">
            <v>13.827500000000001</v>
          </cell>
          <cell r="I125">
            <v>57480</v>
          </cell>
          <cell r="J125">
            <v>25485</v>
          </cell>
          <cell r="K125">
            <v>82965</v>
          </cell>
        </row>
        <row r="126">
          <cell r="A126" t="str">
            <v>MARICO</v>
          </cell>
          <cell r="B126">
            <v>2600</v>
          </cell>
          <cell r="C126">
            <v>11.28</v>
          </cell>
          <cell r="D126">
            <v>5</v>
          </cell>
          <cell r="E126">
            <v>16.28</v>
          </cell>
          <cell r="F126">
            <v>39.64</v>
          </cell>
          <cell r="G126">
            <v>17.5625</v>
          </cell>
          <cell r="H126">
            <v>57.202500000000001</v>
          </cell>
          <cell r="I126">
            <v>103064</v>
          </cell>
          <cell r="J126">
            <v>45662.5</v>
          </cell>
          <cell r="K126">
            <v>148726.5</v>
          </cell>
        </row>
        <row r="127">
          <cell r="A127" t="str">
            <v>MARUTI</v>
          </cell>
          <cell r="B127">
            <v>75</v>
          </cell>
          <cell r="C127">
            <v>11.26</v>
          </cell>
          <cell r="D127">
            <v>5</v>
          </cell>
          <cell r="E127">
            <v>16.260000000000002</v>
          </cell>
          <cell r="F127">
            <v>827.96</v>
          </cell>
          <cell r="G127">
            <v>367.52749999999997</v>
          </cell>
          <cell r="H127">
            <v>1195.4875</v>
          </cell>
          <cell r="I127">
            <v>62097</v>
          </cell>
          <cell r="J127">
            <v>27564.5625</v>
          </cell>
          <cell r="K127">
            <v>89661.5625</v>
          </cell>
        </row>
        <row r="128">
          <cell r="A128" t="str">
            <v>MCDOWELL-N</v>
          </cell>
          <cell r="B128">
            <v>1250</v>
          </cell>
          <cell r="C128">
            <v>11.31</v>
          </cell>
          <cell r="D128">
            <v>5</v>
          </cell>
          <cell r="E128">
            <v>16.309999999999999</v>
          </cell>
          <cell r="F128">
            <v>70.930000000000007</v>
          </cell>
          <cell r="G128">
            <v>31.34</v>
          </cell>
          <cell r="H128">
            <v>102.27</v>
          </cell>
          <cell r="I128">
            <v>88663</v>
          </cell>
          <cell r="J128">
            <v>39175</v>
          </cell>
          <cell r="K128">
            <v>127838</v>
          </cell>
        </row>
        <row r="129">
          <cell r="A129" t="str">
            <v>MCX</v>
          </cell>
          <cell r="B129">
            <v>700</v>
          </cell>
          <cell r="C129">
            <v>12.47</v>
          </cell>
          <cell r="D129">
            <v>5</v>
          </cell>
          <cell r="E129">
            <v>17.47</v>
          </cell>
          <cell r="F129">
            <v>88.29</v>
          </cell>
          <cell r="G129">
            <v>35.395000000000003</v>
          </cell>
          <cell r="H129">
            <v>123.685</v>
          </cell>
          <cell r="I129">
            <v>61803</v>
          </cell>
          <cell r="J129">
            <v>24776.5</v>
          </cell>
          <cell r="K129">
            <v>86579.5</v>
          </cell>
        </row>
        <row r="130">
          <cell r="A130" t="str">
            <v>MFSL</v>
          </cell>
          <cell r="B130">
            <v>1200</v>
          </cell>
          <cell r="C130">
            <v>12.45</v>
          </cell>
          <cell r="D130">
            <v>5</v>
          </cell>
          <cell r="E130">
            <v>17.45</v>
          </cell>
          <cell r="F130">
            <v>53.48</v>
          </cell>
          <cell r="G130">
            <v>21.47</v>
          </cell>
          <cell r="H130">
            <v>74.95</v>
          </cell>
          <cell r="I130">
            <v>64176</v>
          </cell>
          <cell r="J130">
            <v>25764</v>
          </cell>
          <cell r="K130">
            <v>89940</v>
          </cell>
        </row>
        <row r="131">
          <cell r="A131" t="str">
            <v>MGL</v>
          </cell>
          <cell r="B131">
            <v>600</v>
          </cell>
          <cell r="C131">
            <v>11.32</v>
          </cell>
          <cell r="D131">
            <v>5</v>
          </cell>
          <cell r="E131">
            <v>16.32</v>
          </cell>
          <cell r="F131">
            <v>97.48</v>
          </cell>
          <cell r="G131">
            <v>43.027500000000003</v>
          </cell>
          <cell r="H131">
            <v>140.50749999999999</v>
          </cell>
          <cell r="I131">
            <v>58488</v>
          </cell>
          <cell r="J131">
            <v>25816.5</v>
          </cell>
          <cell r="K131">
            <v>84304.5</v>
          </cell>
        </row>
        <row r="132">
          <cell r="A132" t="str">
            <v>MINDTREE</v>
          </cell>
          <cell r="B132">
            <v>600</v>
          </cell>
          <cell r="C132">
            <v>11.3</v>
          </cell>
          <cell r="D132">
            <v>5</v>
          </cell>
          <cell r="E132">
            <v>16.3</v>
          </cell>
          <cell r="F132">
            <v>94.44</v>
          </cell>
          <cell r="G132">
            <v>41.7575</v>
          </cell>
          <cell r="H132">
            <v>136.19749999999999</v>
          </cell>
          <cell r="I132">
            <v>56664</v>
          </cell>
          <cell r="J132">
            <v>25054.5</v>
          </cell>
          <cell r="K132">
            <v>81718.5</v>
          </cell>
        </row>
        <row r="133">
          <cell r="A133" t="str">
            <v>MOTHERSUMI</v>
          </cell>
          <cell r="B133">
            <v>2400</v>
          </cell>
          <cell r="C133">
            <v>13.2</v>
          </cell>
          <cell r="D133">
            <v>5</v>
          </cell>
          <cell r="E133">
            <v>18.2</v>
          </cell>
          <cell r="F133">
            <v>20.16</v>
          </cell>
          <cell r="G133">
            <v>7.6349999999999998</v>
          </cell>
          <cell r="H133">
            <v>27.795000000000002</v>
          </cell>
          <cell r="I133">
            <v>48384</v>
          </cell>
          <cell r="J133">
            <v>18324</v>
          </cell>
          <cell r="K133">
            <v>66708</v>
          </cell>
        </row>
        <row r="134">
          <cell r="A134" t="str">
            <v>MRF</v>
          </cell>
          <cell r="B134">
            <v>10</v>
          </cell>
          <cell r="C134">
            <v>11.29</v>
          </cell>
          <cell r="D134">
            <v>5</v>
          </cell>
          <cell r="E134">
            <v>16.29</v>
          </cell>
          <cell r="F134">
            <v>7453.7</v>
          </cell>
          <cell r="G134">
            <v>3299.6125000000002</v>
          </cell>
          <cell r="H134">
            <v>10753.3125</v>
          </cell>
          <cell r="I134">
            <v>74537</v>
          </cell>
          <cell r="J134">
            <v>32996.125</v>
          </cell>
          <cell r="K134">
            <v>107533.125</v>
          </cell>
        </row>
        <row r="135">
          <cell r="A135" t="str">
            <v>MRPL</v>
          </cell>
          <cell r="B135">
            <v>4500</v>
          </cell>
          <cell r="C135">
            <v>11.32</v>
          </cell>
          <cell r="D135">
            <v>8</v>
          </cell>
          <cell r="E135">
            <v>19.32</v>
          </cell>
          <cell r="F135">
            <v>8.69</v>
          </cell>
          <cell r="G135">
            <v>6.14</v>
          </cell>
          <cell r="H135">
            <v>14.83</v>
          </cell>
          <cell r="I135">
            <v>39105</v>
          </cell>
          <cell r="J135">
            <v>27630</v>
          </cell>
          <cell r="K135">
            <v>66735</v>
          </cell>
        </row>
        <row r="136">
          <cell r="A136" t="str">
            <v>MUTHOOTFIN</v>
          </cell>
          <cell r="B136">
            <v>1500</v>
          </cell>
          <cell r="C136">
            <v>11.25</v>
          </cell>
          <cell r="D136">
            <v>5</v>
          </cell>
          <cell r="E136">
            <v>16.25</v>
          </cell>
          <cell r="F136">
            <v>51.15</v>
          </cell>
          <cell r="G136">
            <v>22.715</v>
          </cell>
          <cell r="H136">
            <v>73.864999999999995</v>
          </cell>
          <cell r="I136">
            <v>76725</v>
          </cell>
          <cell r="J136">
            <v>34072.5</v>
          </cell>
          <cell r="K136">
            <v>110797.5</v>
          </cell>
        </row>
        <row r="137">
          <cell r="A137" t="str">
            <v>NATIONALUM</v>
          </cell>
          <cell r="B137">
            <v>8000</v>
          </cell>
          <cell r="C137">
            <v>11.45</v>
          </cell>
          <cell r="D137">
            <v>5</v>
          </cell>
          <cell r="E137">
            <v>16.45</v>
          </cell>
          <cell r="F137">
            <v>7.49</v>
          </cell>
          <cell r="G137">
            <v>3.27</v>
          </cell>
          <cell r="H137">
            <v>10.76</v>
          </cell>
          <cell r="I137">
            <v>59920</v>
          </cell>
          <cell r="J137">
            <v>26160</v>
          </cell>
          <cell r="K137">
            <v>86080</v>
          </cell>
        </row>
        <row r="138">
          <cell r="A138" t="str">
            <v>NBCC</v>
          </cell>
          <cell r="B138">
            <v>6000</v>
          </cell>
          <cell r="C138">
            <v>11.66</v>
          </cell>
          <cell r="D138">
            <v>5</v>
          </cell>
          <cell r="E138">
            <v>16.66</v>
          </cell>
          <cell r="F138">
            <v>6.92</v>
          </cell>
          <cell r="G138">
            <v>2.9649999999999999</v>
          </cell>
          <cell r="H138">
            <v>9.8849999999999998</v>
          </cell>
          <cell r="I138">
            <v>41520</v>
          </cell>
          <cell r="J138">
            <v>17790</v>
          </cell>
          <cell r="K138">
            <v>59310</v>
          </cell>
        </row>
        <row r="139">
          <cell r="A139" t="str">
            <v>NCC</v>
          </cell>
          <cell r="B139">
            <v>8000</v>
          </cell>
          <cell r="C139">
            <v>12.4</v>
          </cell>
          <cell r="D139">
            <v>5.32</v>
          </cell>
          <cell r="E139">
            <v>17.72</v>
          </cell>
          <cell r="F139">
            <v>10.64</v>
          </cell>
          <cell r="G139">
            <v>4.5618999999999996</v>
          </cell>
          <cell r="H139">
            <v>15.2019</v>
          </cell>
          <cell r="I139">
            <v>85120</v>
          </cell>
          <cell r="J139">
            <v>36495.199999999997</v>
          </cell>
          <cell r="K139">
            <v>121615.2</v>
          </cell>
        </row>
        <row r="140">
          <cell r="A140" t="str">
            <v>NESTLEIND</v>
          </cell>
          <cell r="B140">
            <v>50</v>
          </cell>
          <cell r="C140">
            <v>11.25</v>
          </cell>
          <cell r="D140">
            <v>5</v>
          </cell>
          <cell r="E140">
            <v>16.25</v>
          </cell>
          <cell r="F140">
            <v>1157.68</v>
          </cell>
          <cell r="G140">
            <v>514.07500000000005</v>
          </cell>
          <cell r="H140">
            <v>1671.7550000000001</v>
          </cell>
          <cell r="I140">
            <v>57884</v>
          </cell>
          <cell r="J140">
            <v>25703.75</v>
          </cell>
          <cell r="K140">
            <v>83587.75</v>
          </cell>
        </row>
        <row r="141">
          <cell r="A141" t="str">
            <v>NHPC</v>
          </cell>
          <cell r="B141">
            <v>27000</v>
          </cell>
          <cell r="C141">
            <v>11.32</v>
          </cell>
          <cell r="D141">
            <v>5</v>
          </cell>
          <cell r="E141">
            <v>16.32</v>
          </cell>
          <cell r="F141">
            <v>2.94</v>
          </cell>
          <cell r="G141">
            <v>1.2975000000000001</v>
          </cell>
          <cell r="H141">
            <v>4.2374999999999998</v>
          </cell>
          <cell r="I141">
            <v>79380</v>
          </cell>
          <cell r="J141">
            <v>35032.5</v>
          </cell>
          <cell r="K141">
            <v>114412.5</v>
          </cell>
        </row>
        <row r="142">
          <cell r="A142" t="str">
            <v>NIFTY</v>
          </cell>
          <cell r="B142">
            <v>75</v>
          </cell>
          <cell r="C142">
            <v>6.52</v>
          </cell>
          <cell r="D142">
            <v>3</v>
          </cell>
          <cell r="E142">
            <v>9.52</v>
          </cell>
          <cell r="F142">
            <v>696.01</v>
          </cell>
          <cell r="G142">
            <v>320.1585</v>
          </cell>
          <cell r="H142">
            <v>1016.1685</v>
          </cell>
          <cell r="I142">
            <v>52201</v>
          </cell>
          <cell r="J142">
            <v>24011.887500000001</v>
          </cell>
          <cell r="K142">
            <v>76212.887499999997</v>
          </cell>
        </row>
        <row r="143">
          <cell r="A143" t="str">
            <v>NIFTYIT</v>
          </cell>
          <cell r="B143">
            <v>50</v>
          </cell>
          <cell r="C143">
            <v>6.51</v>
          </cell>
          <cell r="D143">
            <v>3</v>
          </cell>
          <cell r="E143">
            <v>9.51</v>
          </cell>
          <cell r="F143">
            <v>933.04</v>
          </cell>
          <cell r="G143">
            <v>429.36</v>
          </cell>
          <cell r="H143">
            <v>1362.4</v>
          </cell>
          <cell r="I143">
            <v>46652</v>
          </cell>
          <cell r="J143">
            <v>21468</v>
          </cell>
          <cell r="K143">
            <v>68120</v>
          </cell>
        </row>
        <row r="144">
          <cell r="A144" t="str">
            <v>NIFTYMID50</v>
          </cell>
          <cell r="B144">
            <v>110</v>
          </cell>
          <cell r="C144">
            <v>6.51</v>
          </cell>
          <cell r="D144">
            <v>3</v>
          </cell>
          <cell r="E144">
            <v>9.51</v>
          </cell>
          <cell r="F144">
            <v>312.64</v>
          </cell>
          <cell r="G144">
            <v>143.8545</v>
          </cell>
          <cell r="H144">
            <v>456.49450000000002</v>
          </cell>
          <cell r="I144">
            <v>34390</v>
          </cell>
          <cell r="J144">
            <v>15823.995000000001</v>
          </cell>
          <cell r="K144">
            <v>50213.995000000003</v>
          </cell>
        </row>
        <row r="145">
          <cell r="A145" t="str">
            <v>NIITTECH</v>
          </cell>
          <cell r="B145">
            <v>750</v>
          </cell>
          <cell r="C145">
            <v>11.25</v>
          </cell>
          <cell r="D145">
            <v>5</v>
          </cell>
          <cell r="E145">
            <v>16.25</v>
          </cell>
          <cell r="F145">
            <v>125.16</v>
          </cell>
          <cell r="G145">
            <v>55.604999999999997</v>
          </cell>
          <cell r="H145">
            <v>180.76499999999999</v>
          </cell>
          <cell r="I145">
            <v>93870</v>
          </cell>
          <cell r="J145">
            <v>41703.75</v>
          </cell>
          <cell r="K145">
            <v>135573.75</v>
          </cell>
        </row>
        <row r="146">
          <cell r="A146" t="str">
            <v>NMDC</v>
          </cell>
          <cell r="B146">
            <v>6000</v>
          </cell>
          <cell r="C146">
            <v>11.29</v>
          </cell>
          <cell r="D146">
            <v>5</v>
          </cell>
          <cell r="E146">
            <v>16.29</v>
          </cell>
          <cell r="F146">
            <v>11.22</v>
          </cell>
          <cell r="G146">
            <v>4.9649999999999999</v>
          </cell>
          <cell r="H146">
            <v>16.184999999999999</v>
          </cell>
          <cell r="I146">
            <v>67320</v>
          </cell>
          <cell r="J146">
            <v>29790</v>
          </cell>
          <cell r="K146">
            <v>97110</v>
          </cell>
        </row>
        <row r="147">
          <cell r="A147" t="str">
            <v>NTPC</v>
          </cell>
          <cell r="B147">
            <v>4000</v>
          </cell>
          <cell r="C147">
            <v>11.3</v>
          </cell>
          <cell r="D147">
            <v>5</v>
          </cell>
          <cell r="E147">
            <v>16.3</v>
          </cell>
          <cell r="F147">
            <v>16.84</v>
          </cell>
          <cell r="G147">
            <v>7.4474999999999998</v>
          </cell>
          <cell r="H147">
            <v>24.287500000000001</v>
          </cell>
          <cell r="I147">
            <v>67360</v>
          </cell>
          <cell r="J147">
            <v>29790</v>
          </cell>
          <cell r="K147">
            <v>97150</v>
          </cell>
        </row>
        <row r="148">
          <cell r="A148" t="str">
            <v>OFSS</v>
          </cell>
          <cell r="B148">
            <v>150</v>
          </cell>
          <cell r="C148">
            <v>11.34</v>
          </cell>
          <cell r="D148">
            <v>5</v>
          </cell>
          <cell r="E148">
            <v>16.34</v>
          </cell>
          <cell r="F148">
            <v>388.4</v>
          </cell>
          <cell r="G148">
            <v>171.23249999999999</v>
          </cell>
          <cell r="H148">
            <v>559.63250000000005</v>
          </cell>
          <cell r="I148">
            <v>58260</v>
          </cell>
          <cell r="J148">
            <v>25684.875</v>
          </cell>
          <cell r="K148">
            <v>83944.875</v>
          </cell>
        </row>
        <row r="149">
          <cell r="A149" t="str">
            <v>OIL</v>
          </cell>
          <cell r="B149">
            <v>3399</v>
          </cell>
          <cell r="C149">
            <v>11.4</v>
          </cell>
          <cell r="D149">
            <v>5</v>
          </cell>
          <cell r="E149">
            <v>16.399999999999999</v>
          </cell>
          <cell r="F149">
            <v>22.89</v>
          </cell>
          <cell r="G149">
            <v>10.035</v>
          </cell>
          <cell r="H149">
            <v>32.924999999999997</v>
          </cell>
          <cell r="I149">
            <v>77803</v>
          </cell>
          <cell r="J149">
            <v>34108.964999999997</v>
          </cell>
          <cell r="K149">
            <v>111911.965</v>
          </cell>
        </row>
        <row r="150">
          <cell r="A150" t="str">
            <v>ONGC</v>
          </cell>
          <cell r="B150">
            <v>3750</v>
          </cell>
          <cell r="C150">
            <v>11.33</v>
          </cell>
          <cell r="D150">
            <v>5</v>
          </cell>
          <cell r="E150">
            <v>16.329999999999998</v>
          </cell>
          <cell r="F150">
            <v>17.28</v>
          </cell>
          <cell r="G150">
            <v>7.6224999999999996</v>
          </cell>
          <cell r="H150">
            <v>24.9025</v>
          </cell>
          <cell r="I150">
            <v>64800</v>
          </cell>
          <cell r="J150">
            <v>28584.375</v>
          </cell>
          <cell r="K150">
            <v>93384.375</v>
          </cell>
        </row>
        <row r="151">
          <cell r="A151" t="str">
            <v>ORIENTBANK</v>
          </cell>
          <cell r="B151">
            <v>6000</v>
          </cell>
          <cell r="C151">
            <v>15.18</v>
          </cell>
          <cell r="D151">
            <v>5</v>
          </cell>
          <cell r="E151">
            <v>20.18</v>
          </cell>
          <cell r="F151">
            <v>13.24</v>
          </cell>
          <cell r="G151">
            <v>4.3600000000000003</v>
          </cell>
          <cell r="H151">
            <v>17.600000000000001</v>
          </cell>
          <cell r="I151">
            <v>79440</v>
          </cell>
          <cell r="J151">
            <v>26160</v>
          </cell>
          <cell r="K151">
            <v>105600</v>
          </cell>
        </row>
        <row r="152">
          <cell r="A152" t="str">
            <v>PAGEIND</v>
          </cell>
          <cell r="B152">
            <v>25</v>
          </cell>
          <cell r="C152">
            <v>11.38</v>
          </cell>
          <cell r="D152">
            <v>5</v>
          </cell>
          <cell r="E152">
            <v>16.38</v>
          </cell>
          <cell r="F152">
            <v>3131</v>
          </cell>
          <cell r="G152">
            <v>1375.42</v>
          </cell>
          <cell r="H152">
            <v>4506.42</v>
          </cell>
          <cell r="I152">
            <v>78275</v>
          </cell>
          <cell r="J152">
            <v>34385.5</v>
          </cell>
          <cell r="K152">
            <v>112660.5</v>
          </cell>
        </row>
        <row r="153">
          <cell r="A153" t="str">
            <v>PCJEWELLER</v>
          </cell>
          <cell r="B153">
            <v>1500</v>
          </cell>
          <cell r="C153">
            <v>26.57</v>
          </cell>
          <cell r="D153">
            <v>11.55</v>
          </cell>
          <cell r="E153">
            <v>38.119999999999997</v>
          </cell>
          <cell r="F153">
            <v>20.25</v>
          </cell>
          <cell r="G153">
            <v>8.8010999999999999</v>
          </cell>
          <cell r="H153">
            <v>29.051100000000002</v>
          </cell>
          <cell r="I153">
            <v>30375</v>
          </cell>
          <cell r="J153">
            <v>13201.65</v>
          </cell>
          <cell r="K153">
            <v>43576.65</v>
          </cell>
        </row>
        <row r="154">
          <cell r="A154" t="str">
            <v>PEL</v>
          </cell>
          <cell r="B154">
            <v>302</v>
          </cell>
          <cell r="C154">
            <v>12.33</v>
          </cell>
          <cell r="D154">
            <v>5</v>
          </cell>
          <cell r="E154">
            <v>17.329999999999998</v>
          </cell>
          <cell r="F154">
            <v>282.14</v>
          </cell>
          <cell r="G154">
            <v>114.4025</v>
          </cell>
          <cell r="H154">
            <v>396.54250000000002</v>
          </cell>
          <cell r="I154">
            <v>85206</v>
          </cell>
          <cell r="J154">
            <v>34549.555</v>
          </cell>
          <cell r="K154">
            <v>119755.55499999999</v>
          </cell>
        </row>
        <row r="155">
          <cell r="A155" t="str">
            <v>PETRONET</v>
          </cell>
          <cell r="B155">
            <v>3000</v>
          </cell>
          <cell r="C155">
            <v>11.25</v>
          </cell>
          <cell r="D155">
            <v>5</v>
          </cell>
          <cell r="E155">
            <v>16.25</v>
          </cell>
          <cell r="F155">
            <v>24.29</v>
          </cell>
          <cell r="G155">
            <v>10.795</v>
          </cell>
          <cell r="H155">
            <v>35.085000000000001</v>
          </cell>
          <cell r="I155">
            <v>72870</v>
          </cell>
          <cell r="J155">
            <v>32385</v>
          </cell>
          <cell r="K155">
            <v>105255</v>
          </cell>
        </row>
        <row r="156">
          <cell r="A156" t="str">
            <v>PFC</v>
          </cell>
          <cell r="B156">
            <v>6000</v>
          </cell>
          <cell r="C156">
            <v>11.29</v>
          </cell>
          <cell r="D156">
            <v>5</v>
          </cell>
          <cell r="E156">
            <v>16.29</v>
          </cell>
          <cell r="F156">
            <v>11.59</v>
          </cell>
          <cell r="G156">
            <v>5.13</v>
          </cell>
          <cell r="H156">
            <v>16.72</v>
          </cell>
          <cell r="I156">
            <v>69540</v>
          </cell>
          <cell r="J156">
            <v>30780</v>
          </cell>
          <cell r="K156">
            <v>100320</v>
          </cell>
        </row>
        <row r="157">
          <cell r="A157" t="str">
            <v>PIDILITIND</v>
          </cell>
          <cell r="B157">
            <v>500</v>
          </cell>
          <cell r="C157">
            <v>11.28</v>
          </cell>
          <cell r="D157">
            <v>5</v>
          </cell>
          <cell r="E157">
            <v>16.28</v>
          </cell>
          <cell r="F157">
            <v>127.36</v>
          </cell>
          <cell r="G157">
            <v>56.405000000000001</v>
          </cell>
          <cell r="H157">
            <v>183.76499999999999</v>
          </cell>
          <cell r="I157">
            <v>63680</v>
          </cell>
          <cell r="J157">
            <v>28202.5</v>
          </cell>
          <cell r="K157">
            <v>91882.5</v>
          </cell>
        </row>
        <row r="158">
          <cell r="A158" t="str">
            <v>PNB</v>
          </cell>
          <cell r="B158">
            <v>5500</v>
          </cell>
          <cell r="C158">
            <v>11.28</v>
          </cell>
          <cell r="D158">
            <v>5</v>
          </cell>
          <cell r="E158">
            <v>16.28</v>
          </cell>
          <cell r="F158">
            <v>8.0500000000000007</v>
          </cell>
          <cell r="G158">
            <v>3.5674999999999999</v>
          </cell>
          <cell r="H158">
            <v>11.6175</v>
          </cell>
          <cell r="I158">
            <v>44275</v>
          </cell>
          <cell r="J158">
            <v>19621.25</v>
          </cell>
          <cell r="K158">
            <v>63896.25</v>
          </cell>
        </row>
        <row r="159">
          <cell r="A159" t="str">
            <v>POWERGRID</v>
          </cell>
          <cell r="B159">
            <v>4000</v>
          </cell>
          <cell r="C159">
            <v>11.29</v>
          </cell>
          <cell r="D159">
            <v>5</v>
          </cell>
          <cell r="E159">
            <v>16.29</v>
          </cell>
          <cell r="F159">
            <v>21.27</v>
          </cell>
          <cell r="G159">
            <v>9.4175000000000004</v>
          </cell>
          <cell r="H159">
            <v>30.6875</v>
          </cell>
          <cell r="I159">
            <v>85080</v>
          </cell>
          <cell r="J159">
            <v>37670</v>
          </cell>
          <cell r="K159">
            <v>122750</v>
          </cell>
        </row>
        <row r="160">
          <cell r="A160" t="str">
            <v>PTC</v>
          </cell>
          <cell r="B160">
            <v>8000</v>
          </cell>
          <cell r="C160">
            <v>11.26</v>
          </cell>
          <cell r="D160">
            <v>5</v>
          </cell>
          <cell r="E160">
            <v>16.260000000000002</v>
          </cell>
          <cell r="F160">
            <v>9.0500000000000007</v>
          </cell>
          <cell r="G160">
            <v>4.0175000000000001</v>
          </cell>
          <cell r="H160">
            <v>13.067500000000001</v>
          </cell>
          <cell r="I160">
            <v>72400</v>
          </cell>
          <cell r="J160">
            <v>32140</v>
          </cell>
          <cell r="K160">
            <v>104540</v>
          </cell>
        </row>
        <row r="161">
          <cell r="A161" t="str">
            <v>PVR</v>
          </cell>
          <cell r="B161">
            <v>400</v>
          </cell>
          <cell r="C161">
            <v>11.25</v>
          </cell>
          <cell r="D161">
            <v>5</v>
          </cell>
          <cell r="E161">
            <v>16.25</v>
          </cell>
          <cell r="F161">
            <v>158.49</v>
          </cell>
          <cell r="G161">
            <v>70.392499999999998</v>
          </cell>
          <cell r="H161">
            <v>228.88249999999999</v>
          </cell>
          <cell r="I161">
            <v>63396</v>
          </cell>
          <cell r="J161">
            <v>28157</v>
          </cell>
          <cell r="K161">
            <v>91553</v>
          </cell>
        </row>
        <row r="162">
          <cell r="A162" t="str">
            <v>RAMCOCEM</v>
          </cell>
          <cell r="B162">
            <v>800</v>
          </cell>
          <cell r="C162">
            <v>11.25</v>
          </cell>
          <cell r="D162">
            <v>5</v>
          </cell>
          <cell r="E162">
            <v>16.25</v>
          </cell>
          <cell r="F162">
            <v>70.78</v>
          </cell>
          <cell r="G162">
            <v>31.445</v>
          </cell>
          <cell r="H162">
            <v>102.22499999999999</v>
          </cell>
          <cell r="I162">
            <v>56624</v>
          </cell>
          <cell r="J162">
            <v>25156</v>
          </cell>
          <cell r="K162">
            <v>81780</v>
          </cell>
        </row>
        <row r="163">
          <cell r="A163" t="str">
            <v>RAYMOND</v>
          </cell>
          <cell r="B163">
            <v>800</v>
          </cell>
          <cell r="C163">
            <v>11.3</v>
          </cell>
          <cell r="D163">
            <v>5</v>
          </cell>
          <cell r="E163">
            <v>16.3</v>
          </cell>
          <cell r="F163">
            <v>89.08</v>
          </cell>
          <cell r="G163">
            <v>39.414999999999999</v>
          </cell>
          <cell r="H163">
            <v>128.495</v>
          </cell>
          <cell r="I163">
            <v>71264</v>
          </cell>
          <cell r="J163">
            <v>31532</v>
          </cell>
          <cell r="K163">
            <v>102796</v>
          </cell>
        </row>
        <row r="164">
          <cell r="A164" t="str">
            <v>RBLBANK</v>
          </cell>
          <cell r="B164">
            <v>1200</v>
          </cell>
          <cell r="C164">
            <v>11.33</v>
          </cell>
          <cell r="D164">
            <v>5</v>
          </cell>
          <cell r="E164">
            <v>16.329999999999998</v>
          </cell>
          <cell r="F164">
            <v>62.76</v>
          </cell>
          <cell r="G164">
            <v>27.692499999999999</v>
          </cell>
          <cell r="H164">
            <v>90.452500000000001</v>
          </cell>
          <cell r="I164">
            <v>75312</v>
          </cell>
          <cell r="J164">
            <v>33231</v>
          </cell>
          <cell r="K164">
            <v>108543</v>
          </cell>
        </row>
        <row r="165">
          <cell r="A165" t="str">
            <v>RCOM</v>
          </cell>
          <cell r="B165">
            <v>28000</v>
          </cell>
          <cell r="C165">
            <v>15.51</v>
          </cell>
          <cell r="D165">
            <v>9.4700000000000006</v>
          </cell>
          <cell r="E165">
            <v>24.98</v>
          </cell>
          <cell r="F165">
            <v>2.11</v>
          </cell>
          <cell r="G165">
            <v>1.2879</v>
          </cell>
          <cell r="H165">
            <v>3.3978999999999999</v>
          </cell>
          <cell r="I165">
            <v>59080</v>
          </cell>
          <cell r="J165">
            <v>36061.760000000002</v>
          </cell>
          <cell r="K165">
            <v>95141.759999999995</v>
          </cell>
        </row>
        <row r="166">
          <cell r="A166" t="str">
            <v>RECLTD</v>
          </cell>
          <cell r="B166">
            <v>6000</v>
          </cell>
          <cell r="C166">
            <v>11.29</v>
          </cell>
          <cell r="D166">
            <v>5</v>
          </cell>
          <cell r="E166">
            <v>16.29</v>
          </cell>
          <cell r="F166">
            <v>13.87</v>
          </cell>
          <cell r="G166">
            <v>6.1375000000000002</v>
          </cell>
          <cell r="H166">
            <v>20.0075</v>
          </cell>
          <cell r="I166">
            <v>83220</v>
          </cell>
          <cell r="J166">
            <v>36825</v>
          </cell>
          <cell r="K166">
            <v>120045</v>
          </cell>
        </row>
        <row r="167">
          <cell r="A167" t="str">
            <v>RELCAPITAL</v>
          </cell>
          <cell r="B167">
            <v>1500</v>
          </cell>
          <cell r="C167">
            <v>11.74</v>
          </cell>
          <cell r="D167">
            <v>5</v>
          </cell>
          <cell r="E167">
            <v>16.739999999999998</v>
          </cell>
          <cell r="F167">
            <v>28.4</v>
          </cell>
          <cell r="G167">
            <v>12.09</v>
          </cell>
          <cell r="H167">
            <v>40.49</v>
          </cell>
          <cell r="I167">
            <v>42600</v>
          </cell>
          <cell r="J167">
            <v>18135</v>
          </cell>
          <cell r="K167">
            <v>60735</v>
          </cell>
        </row>
        <row r="168">
          <cell r="A168" t="str">
            <v>RELIANCE</v>
          </cell>
          <cell r="B168">
            <v>500</v>
          </cell>
          <cell r="C168">
            <v>11.28</v>
          </cell>
          <cell r="D168">
            <v>5</v>
          </cell>
          <cell r="E168">
            <v>16.28</v>
          </cell>
          <cell r="F168">
            <v>128.41</v>
          </cell>
          <cell r="G168">
            <v>56.887500000000003</v>
          </cell>
          <cell r="H168">
            <v>185.29750000000001</v>
          </cell>
          <cell r="I168">
            <v>64205</v>
          </cell>
          <cell r="J168">
            <v>28443.75</v>
          </cell>
          <cell r="K168">
            <v>92648.75</v>
          </cell>
        </row>
        <row r="169">
          <cell r="A169" t="str">
            <v>RELINFRA</v>
          </cell>
          <cell r="B169">
            <v>1300</v>
          </cell>
          <cell r="C169">
            <v>12.82</v>
          </cell>
          <cell r="D169">
            <v>5</v>
          </cell>
          <cell r="E169">
            <v>17.82</v>
          </cell>
          <cell r="F169">
            <v>45.75</v>
          </cell>
          <cell r="G169">
            <v>17.829999999999998</v>
          </cell>
          <cell r="H169">
            <v>63.58</v>
          </cell>
          <cell r="I169">
            <v>59475</v>
          </cell>
          <cell r="J169">
            <v>23179</v>
          </cell>
          <cell r="K169">
            <v>82654</v>
          </cell>
        </row>
        <row r="170">
          <cell r="A170" t="str">
            <v>REPCOHOME</v>
          </cell>
          <cell r="B170">
            <v>900</v>
          </cell>
          <cell r="C170">
            <v>11.97</v>
          </cell>
          <cell r="D170">
            <v>5</v>
          </cell>
          <cell r="E170">
            <v>16.97</v>
          </cell>
          <cell r="F170">
            <v>47.16</v>
          </cell>
          <cell r="G170">
            <v>19.695</v>
          </cell>
          <cell r="H170">
            <v>66.855000000000004</v>
          </cell>
          <cell r="I170">
            <v>42444</v>
          </cell>
          <cell r="J170">
            <v>17725.5</v>
          </cell>
          <cell r="K170">
            <v>60169.5</v>
          </cell>
        </row>
        <row r="171">
          <cell r="A171" t="str">
            <v>RPOWER</v>
          </cell>
          <cell r="B171">
            <v>13000</v>
          </cell>
          <cell r="C171">
            <v>11.27</v>
          </cell>
          <cell r="D171">
            <v>5</v>
          </cell>
          <cell r="E171">
            <v>16.27</v>
          </cell>
          <cell r="F171">
            <v>3.44</v>
          </cell>
          <cell r="G171">
            <v>1.5249999999999999</v>
          </cell>
          <cell r="H171">
            <v>4.9649999999999999</v>
          </cell>
          <cell r="I171">
            <v>44720</v>
          </cell>
          <cell r="J171">
            <v>19825</v>
          </cell>
          <cell r="K171">
            <v>64545</v>
          </cell>
        </row>
        <row r="172">
          <cell r="A172" t="str">
            <v>SAIL</v>
          </cell>
          <cell r="B172">
            <v>12000</v>
          </cell>
          <cell r="C172">
            <v>11.27</v>
          </cell>
          <cell r="D172">
            <v>5</v>
          </cell>
          <cell r="E172">
            <v>16.27</v>
          </cell>
          <cell r="F172">
            <v>7.04</v>
          </cell>
          <cell r="G172">
            <v>3.1225000000000001</v>
          </cell>
          <cell r="H172">
            <v>10.1625</v>
          </cell>
          <cell r="I172">
            <v>84480</v>
          </cell>
          <cell r="J172">
            <v>37470</v>
          </cell>
          <cell r="K172">
            <v>121950</v>
          </cell>
        </row>
        <row r="173">
          <cell r="A173" t="str">
            <v>SBIN</v>
          </cell>
          <cell r="B173">
            <v>3000</v>
          </cell>
          <cell r="C173">
            <v>11.28</v>
          </cell>
          <cell r="D173">
            <v>5</v>
          </cell>
          <cell r="E173">
            <v>16.28</v>
          </cell>
          <cell r="F173">
            <v>32</v>
          </cell>
          <cell r="G173">
            <v>14.172499999999999</v>
          </cell>
          <cell r="H173">
            <v>46.172499999999999</v>
          </cell>
          <cell r="I173">
            <v>96000</v>
          </cell>
          <cell r="J173">
            <v>42517.5</v>
          </cell>
          <cell r="K173">
            <v>138517.5</v>
          </cell>
        </row>
        <row r="174">
          <cell r="A174" t="str">
            <v>SHREECEM</v>
          </cell>
          <cell r="B174">
            <v>50</v>
          </cell>
          <cell r="C174">
            <v>11.29</v>
          </cell>
          <cell r="D174">
            <v>5</v>
          </cell>
          <cell r="E174">
            <v>16.29</v>
          </cell>
          <cell r="F174">
            <v>1795.58</v>
          </cell>
          <cell r="G174">
            <v>795.18499999999995</v>
          </cell>
          <cell r="H174">
            <v>2590.7649999999999</v>
          </cell>
          <cell r="I174">
            <v>89779</v>
          </cell>
          <cell r="J174">
            <v>39759.25</v>
          </cell>
          <cell r="K174">
            <v>129538.25</v>
          </cell>
        </row>
        <row r="175">
          <cell r="A175" t="str">
            <v>SIEMENS</v>
          </cell>
          <cell r="B175">
            <v>500</v>
          </cell>
          <cell r="C175">
            <v>11.4</v>
          </cell>
          <cell r="D175">
            <v>5</v>
          </cell>
          <cell r="E175">
            <v>16.399999999999999</v>
          </cell>
          <cell r="F175">
            <v>105.58</v>
          </cell>
          <cell r="G175">
            <v>46.295000000000002</v>
          </cell>
          <cell r="H175">
            <v>151.875</v>
          </cell>
          <cell r="I175">
            <v>52790</v>
          </cell>
          <cell r="J175">
            <v>23147.5</v>
          </cell>
          <cell r="K175">
            <v>75937.5</v>
          </cell>
        </row>
        <row r="176">
          <cell r="A176" t="str">
            <v>SOUTHBANK</v>
          </cell>
          <cell r="B176">
            <v>33141</v>
          </cell>
          <cell r="C176">
            <v>11.29</v>
          </cell>
          <cell r="D176">
            <v>5</v>
          </cell>
          <cell r="E176">
            <v>16.29</v>
          </cell>
          <cell r="F176">
            <v>1.61</v>
          </cell>
          <cell r="G176">
            <v>0.71250000000000002</v>
          </cell>
          <cell r="H176">
            <v>2.3224999999999998</v>
          </cell>
          <cell r="I176">
            <v>53357</v>
          </cell>
          <cell r="J176">
            <v>23612.962500000001</v>
          </cell>
          <cell r="K176">
            <v>76969.962499999994</v>
          </cell>
        </row>
        <row r="177">
          <cell r="A177" t="str">
            <v>SREINFRA</v>
          </cell>
          <cell r="B177">
            <v>7000</v>
          </cell>
          <cell r="C177">
            <v>17.57</v>
          </cell>
          <cell r="D177">
            <v>6.31</v>
          </cell>
          <cell r="E177">
            <v>23.88</v>
          </cell>
          <cell r="F177">
            <v>5.72</v>
          </cell>
          <cell r="G177">
            <v>2.0539000000000001</v>
          </cell>
          <cell r="H177">
            <v>7.7739000000000003</v>
          </cell>
          <cell r="I177">
            <v>40040</v>
          </cell>
          <cell r="J177">
            <v>14377.334999999999</v>
          </cell>
          <cell r="K177">
            <v>54417.334999999999</v>
          </cell>
        </row>
        <row r="178">
          <cell r="A178" t="str">
            <v>SRF</v>
          </cell>
          <cell r="B178">
            <v>500</v>
          </cell>
          <cell r="C178">
            <v>11.27</v>
          </cell>
          <cell r="D178">
            <v>5</v>
          </cell>
          <cell r="E178">
            <v>16.27</v>
          </cell>
          <cell r="F178">
            <v>234.99</v>
          </cell>
          <cell r="G178">
            <v>104.185</v>
          </cell>
          <cell r="H178">
            <v>339.17500000000001</v>
          </cell>
          <cell r="I178">
            <v>117495</v>
          </cell>
          <cell r="J178">
            <v>52092.5</v>
          </cell>
          <cell r="K178">
            <v>169587.5</v>
          </cell>
        </row>
        <row r="179">
          <cell r="A179" t="str">
            <v>SRTRANSFIN</v>
          </cell>
          <cell r="B179">
            <v>600</v>
          </cell>
          <cell r="C179">
            <v>11.26</v>
          </cell>
          <cell r="D179">
            <v>9</v>
          </cell>
          <cell r="E179">
            <v>20.260000000000002</v>
          </cell>
          <cell r="F179">
            <v>134.63999999999999</v>
          </cell>
          <cell r="G179">
            <v>107.541</v>
          </cell>
          <cell r="H179">
            <v>242.18100000000001</v>
          </cell>
          <cell r="I179">
            <v>80784</v>
          </cell>
          <cell r="J179">
            <v>64524.6</v>
          </cell>
          <cell r="K179">
            <v>145308.6</v>
          </cell>
        </row>
        <row r="180">
          <cell r="A180" t="str">
            <v>STAR</v>
          </cell>
          <cell r="B180">
            <v>800</v>
          </cell>
          <cell r="C180">
            <v>11.26</v>
          </cell>
          <cell r="D180">
            <v>6.06</v>
          </cell>
          <cell r="E180">
            <v>17.32</v>
          </cell>
          <cell r="F180">
            <v>51.83</v>
          </cell>
          <cell r="G180">
            <v>27.869900000000001</v>
          </cell>
          <cell r="H180">
            <v>79.6999</v>
          </cell>
          <cell r="I180">
            <v>41464</v>
          </cell>
          <cell r="J180">
            <v>22295.952000000001</v>
          </cell>
          <cell r="K180">
            <v>63759.951999999997</v>
          </cell>
        </row>
        <row r="181">
          <cell r="A181" t="str">
            <v>SUNPHARMA</v>
          </cell>
          <cell r="B181">
            <v>1100</v>
          </cell>
          <cell r="C181">
            <v>11.27</v>
          </cell>
          <cell r="D181">
            <v>5</v>
          </cell>
          <cell r="E181">
            <v>16.27</v>
          </cell>
          <cell r="F181">
            <v>59.32</v>
          </cell>
          <cell r="G181">
            <v>26.3</v>
          </cell>
          <cell r="H181">
            <v>85.62</v>
          </cell>
          <cell r="I181">
            <v>65252</v>
          </cell>
          <cell r="J181">
            <v>28930</v>
          </cell>
          <cell r="K181">
            <v>94182</v>
          </cell>
        </row>
        <row r="182">
          <cell r="A182" t="str">
            <v>SUNTV</v>
          </cell>
          <cell r="B182">
            <v>1000</v>
          </cell>
          <cell r="C182">
            <v>11.26</v>
          </cell>
          <cell r="D182">
            <v>5</v>
          </cell>
          <cell r="E182">
            <v>16.260000000000002</v>
          </cell>
          <cell r="F182">
            <v>68.760000000000005</v>
          </cell>
          <cell r="G182">
            <v>30.524999999999999</v>
          </cell>
          <cell r="H182">
            <v>99.284999999999997</v>
          </cell>
          <cell r="I182">
            <v>68760</v>
          </cell>
          <cell r="J182">
            <v>30525</v>
          </cell>
          <cell r="K182">
            <v>99285</v>
          </cell>
        </row>
        <row r="183">
          <cell r="A183" t="str">
            <v>SUZLON</v>
          </cell>
          <cell r="B183">
            <v>45000</v>
          </cell>
          <cell r="C183">
            <v>11.19</v>
          </cell>
          <cell r="D183">
            <v>5</v>
          </cell>
          <cell r="E183">
            <v>16.190000000000001</v>
          </cell>
          <cell r="F183">
            <v>0.61</v>
          </cell>
          <cell r="G183">
            <v>0.27250000000000002</v>
          </cell>
          <cell r="H183">
            <v>0.88249999999999995</v>
          </cell>
          <cell r="I183">
            <v>27450</v>
          </cell>
          <cell r="J183">
            <v>12262.5</v>
          </cell>
          <cell r="K183">
            <v>39712.5</v>
          </cell>
        </row>
        <row r="184">
          <cell r="A184" t="str">
            <v>SYNDIBANK</v>
          </cell>
          <cell r="B184">
            <v>9000</v>
          </cell>
          <cell r="C184">
            <v>11.3</v>
          </cell>
          <cell r="D184">
            <v>5</v>
          </cell>
          <cell r="E184">
            <v>16.3</v>
          </cell>
          <cell r="F184">
            <v>3.99</v>
          </cell>
          <cell r="G184">
            <v>1.7649999999999999</v>
          </cell>
          <cell r="H184">
            <v>5.7549999999999999</v>
          </cell>
          <cell r="I184">
            <v>35910</v>
          </cell>
          <cell r="J184">
            <v>15885</v>
          </cell>
          <cell r="K184">
            <v>51795</v>
          </cell>
        </row>
        <row r="185">
          <cell r="A185" t="str">
            <v>TATACHEM</v>
          </cell>
          <cell r="B185">
            <v>750</v>
          </cell>
          <cell r="C185">
            <v>11.28</v>
          </cell>
          <cell r="D185">
            <v>5</v>
          </cell>
          <cell r="E185">
            <v>16.28</v>
          </cell>
          <cell r="F185">
            <v>78.069999999999993</v>
          </cell>
          <cell r="G185">
            <v>34.577500000000001</v>
          </cell>
          <cell r="H185">
            <v>112.64749999999999</v>
          </cell>
          <cell r="I185">
            <v>58553</v>
          </cell>
          <cell r="J185">
            <v>25933.125</v>
          </cell>
          <cell r="K185">
            <v>84486.125</v>
          </cell>
        </row>
        <row r="186">
          <cell r="A186" t="str">
            <v>TATACOMM</v>
          </cell>
          <cell r="B186">
            <v>800</v>
          </cell>
          <cell r="C186">
            <v>11.25</v>
          </cell>
          <cell r="D186">
            <v>5</v>
          </cell>
          <cell r="E186">
            <v>16.25</v>
          </cell>
          <cell r="F186">
            <v>59.95</v>
          </cell>
          <cell r="G186">
            <v>26.635000000000002</v>
          </cell>
          <cell r="H186">
            <v>86.584999999999994</v>
          </cell>
          <cell r="I186">
            <v>47960</v>
          </cell>
          <cell r="J186">
            <v>21308</v>
          </cell>
          <cell r="K186">
            <v>69268</v>
          </cell>
        </row>
        <row r="187">
          <cell r="A187" t="str">
            <v>TATAELXSI</v>
          </cell>
          <cell r="B187">
            <v>400</v>
          </cell>
          <cell r="C187">
            <v>11.26</v>
          </cell>
          <cell r="D187">
            <v>5</v>
          </cell>
          <cell r="E187">
            <v>16.260000000000002</v>
          </cell>
          <cell r="F187">
            <v>111.66</v>
          </cell>
          <cell r="G187">
            <v>49.57</v>
          </cell>
          <cell r="H187">
            <v>161.22999999999999</v>
          </cell>
          <cell r="I187">
            <v>44664</v>
          </cell>
          <cell r="J187">
            <v>19828</v>
          </cell>
          <cell r="K187">
            <v>64492</v>
          </cell>
        </row>
        <row r="188">
          <cell r="A188" t="str">
            <v>TATAGLOBAL</v>
          </cell>
          <cell r="B188">
            <v>2250</v>
          </cell>
          <cell r="C188">
            <v>11.26</v>
          </cell>
          <cell r="D188">
            <v>5</v>
          </cell>
          <cell r="E188">
            <v>16.260000000000002</v>
          </cell>
          <cell r="F188">
            <v>24.38</v>
          </cell>
          <cell r="G188">
            <v>10.817500000000001</v>
          </cell>
          <cell r="H188">
            <v>35.197499999999998</v>
          </cell>
          <cell r="I188">
            <v>54855</v>
          </cell>
          <cell r="J188">
            <v>24339.375</v>
          </cell>
          <cell r="K188">
            <v>79194.375</v>
          </cell>
        </row>
        <row r="189">
          <cell r="A189" t="str">
            <v>TATAMOTORS</v>
          </cell>
          <cell r="B189">
            <v>1500</v>
          </cell>
          <cell r="C189">
            <v>11.28</v>
          </cell>
          <cell r="D189">
            <v>5</v>
          </cell>
          <cell r="E189">
            <v>16.28</v>
          </cell>
          <cell r="F189">
            <v>20.74</v>
          </cell>
          <cell r="G189">
            <v>9.19</v>
          </cell>
          <cell r="H189">
            <v>29.93</v>
          </cell>
          <cell r="I189">
            <v>31110</v>
          </cell>
          <cell r="J189">
            <v>13785</v>
          </cell>
          <cell r="K189">
            <v>44895</v>
          </cell>
        </row>
        <row r="190">
          <cell r="A190" t="str">
            <v>TATAMTRDVR</v>
          </cell>
          <cell r="B190">
            <v>2800</v>
          </cell>
          <cell r="C190">
            <v>11.25</v>
          </cell>
          <cell r="D190">
            <v>5</v>
          </cell>
          <cell r="E190">
            <v>16.25</v>
          </cell>
          <cell r="F190">
            <v>11.28</v>
          </cell>
          <cell r="G190">
            <v>5.0125000000000002</v>
          </cell>
          <cell r="H190">
            <v>16.2925</v>
          </cell>
          <cell r="I190">
            <v>31584</v>
          </cell>
          <cell r="J190">
            <v>14035</v>
          </cell>
          <cell r="K190">
            <v>45619</v>
          </cell>
        </row>
        <row r="191">
          <cell r="A191" t="str">
            <v>TATAPOWER</v>
          </cell>
          <cell r="B191">
            <v>9000</v>
          </cell>
          <cell r="C191">
            <v>11.29</v>
          </cell>
          <cell r="D191">
            <v>5</v>
          </cell>
          <cell r="E191">
            <v>16.29</v>
          </cell>
          <cell r="F191">
            <v>8.84</v>
          </cell>
          <cell r="G191">
            <v>3.9125000000000001</v>
          </cell>
          <cell r="H191">
            <v>12.7525</v>
          </cell>
          <cell r="I191">
            <v>79560</v>
          </cell>
          <cell r="J191">
            <v>35212.5</v>
          </cell>
          <cell r="K191">
            <v>114772.5</v>
          </cell>
        </row>
        <row r="192">
          <cell r="A192" t="str">
            <v>TATASTEEL</v>
          </cell>
          <cell r="B192">
            <v>1061</v>
          </cell>
          <cell r="C192">
            <v>11.26</v>
          </cell>
          <cell r="D192">
            <v>5</v>
          </cell>
          <cell r="E192">
            <v>16.260000000000002</v>
          </cell>
          <cell r="F192">
            <v>63.59</v>
          </cell>
          <cell r="G192">
            <v>28.212499999999999</v>
          </cell>
          <cell r="H192">
            <v>91.802499999999995</v>
          </cell>
          <cell r="I192">
            <v>67469</v>
          </cell>
          <cell r="J192">
            <v>29933.462500000001</v>
          </cell>
          <cell r="K192">
            <v>97402.462499999994</v>
          </cell>
        </row>
        <row r="193">
          <cell r="A193" t="str">
            <v>TCS</v>
          </cell>
          <cell r="B193">
            <v>250</v>
          </cell>
          <cell r="C193">
            <v>11.26</v>
          </cell>
          <cell r="D193">
            <v>5</v>
          </cell>
          <cell r="E193">
            <v>16.260000000000002</v>
          </cell>
          <cell r="F193">
            <v>212.04</v>
          </cell>
          <cell r="G193">
            <v>94.132499999999993</v>
          </cell>
          <cell r="H193">
            <v>306.17250000000001</v>
          </cell>
          <cell r="I193">
            <v>53010</v>
          </cell>
          <cell r="J193">
            <v>23533.125</v>
          </cell>
          <cell r="K193">
            <v>76543.125</v>
          </cell>
        </row>
        <row r="194">
          <cell r="A194" t="str">
            <v>TECHM</v>
          </cell>
          <cell r="B194">
            <v>1200</v>
          </cell>
          <cell r="C194">
            <v>11.25</v>
          </cell>
          <cell r="D194">
            <v>5</v>
          </cell>
          <cell r="E194">
            <v>16.25</v>
          </cell>
          <cell r="F194">
            <v>80.12</v>
          </cell>
          <cell r="G194">
            <v>35.582500000000003</v>
          </cell>
          <cell r="H194">
            <v>115.7025</v>
          </cell>
          <cell r="I194">
            <v>96144</v>
          </cell>
          <cell r="J194">
            <v>42699</v>
          </cell>
          <cell r="K194">
            <v>138843</v>
          </cell>
        </row>
        <row r="195">
          <cell r="A195" t="str">
            <v>TITAN</v>
          </cell>
          <cell r="B195">
            <v>750</v>
          </cell>
          <cell r="C195">
            <v>11.26</v>
          </cell>
          <cell r="D195">
            <v>5</v>
          </cell>
          <cell r="E195">
            <v>16.260000000000002</v>
          </cell>
          <cell r="F195">
            <v>103.35</v>
          </cell>
          <cell r="G195">
            <v>45.875</v>
          </cell>
          <cell r="H195">
            <v>149.22499999999999</v>
          </cell>
          <cell r="I195">
            <v>77513</v>
          </cell>
          <cell r="J195">
            <v>34406.25</v>
          </cell>
          <cell r="K195">
            <v>111919.25</v>
          </cell>
        </row>
        <row r="196">
          <cell r="A196" t="str">
            <v>TORNTPHARM</v>
          </cell>
          <cell r="B196">
            <v>500</v>
          </cell>
          <cell r="C196">
            <v>11.29</v>
          </cell>
          <cell r="D196">
            <v>5</v>
          </cell>
          <cell r="E196">
            <v>16.29</v>
          </cell>
          <cell r="F196">
            <v>185.66</v>
          </cell>
          <cell r="G196">
            <v>82.192499999999995</v>
          </cell>
          <cell r="H196">
            <v>267.85250000000002</v>
          </cell>
          <cell r="I196">
            <v>92830</v>
          </cell>
          <cell r="J196">
            <v>41096.25</v>
          </cell>
          <cell r="K196">
            <v>133926.25</v>
          </cell>
        </row>
        <row r="197">
          <cell r="A197" t="str">
            <v>TORNTPOWER</v>
          </cell>
          <cell r="B197">
            <v>3000</v>
          </cell>
          <cell r="C197">
            <v>11.25</v>
          </cell>
          <cell r="D197">
            <v>5</v>
          </cell>
          <cell r="E197">
            <v>16.25</v>
          </cell>
          <cell r="F197">
            <v>29.08</v>
          </cell>
          <cell r="G197">
            <v>12.922499999999999</v>
          </cell>
          <cell r="H197">
            <v>42.002499999999998</v>
          </cell>
          <cell r="I197">
            <v>87240</v>
          </cell>
          <cell r="J197">
            <v>38767.5</v>
          </cell>
          <cell r="K197">
            <v>126007.5</v>
          </cell>
        </row>
        <row r="198">
          <cell r="A198" t="str">
            <v>TV18BRDCST</v>
          </cell>
          <cell r="B198">
            <v>8500</v>
          </cell>
          <cell r="C198">
            <v>11.33</v>
          </cell>
          <cell r="D198">
            <v>5</v>
          </cell>
          <cell r="E198">
            <v>16.329999999999998</v>
          </cell>
          <cell r="F198">
            <v>4.16</v>
          </cell>
          <cell r="G198">
            <v>1.835</v>
          </cell>
          <cell r="H198">
            <v>5.9950000000000001</v>
          </cell>
          <cell r="I198">
            <v>35360</v>
          </cell>
          <cell r="J198">
            <v>15597.5</v>
          </cell>
          <cell r="K198">
            <v>50957.5</v>
          </cell>
        </row>
        <row r="199">
          <cell r="A199" t="str">
            <v>TVSMOTOR</v>
          </cell>
          <cell r="B199">
            <v>1000</v>
          </cell>
          <cell r="C199">
            <v>11.28</v>
          </cell>
          <cell r="D199">
            <v>5</v>
          </cell>
          <cell r="E199">
            <v>16.28</v>
          </cell>
          <cell r="F199">
            <v>60.75</v>
          </cell>
          <cell r="G199">
            <v>26.922499999999999</v>
          </cell>
          <cell r="H199">
            <v>87.672499999999999</v>
          </cell>
          <cell r="I199">
            <v>60750</v>
          </cell>
          <cell r="J199">
            <v>26922.5</v>
          </cell>
          <cell r="K199">
            <v>87672.5</v>
          </cell>
        </row>
        <row r="200">
          <cell r="A200" t="str">
            <v>UBL</v>
          </cell>
          <cell r="B200">
            <v>700</v>
          </cell>
          <cell r="C200">
            <v>11.3</v>
          </cell>
          <cell r="D200">
            <v>5</v>
          </cell>
          <cell r="E200">
            <v>16.3</v>
          </cell>
          <cell r="F200">
            <v>145.93</v>
          </cell>
          <cell r="G200">
            <v>64.517499999999998</v>
          </cell>
          <cell r="H200">
            <v>210.44749999999999</v>
          </cell>
          <cell r="I200">
            <v>102151</v>
          </cell>
          <cell r="J200">
            <v>45162.25</v>
          </cell>
          <cell r="K200">
            <v>147313.25</v>
          </cell>
        </row>
        <row r="201">
          <cell r="A201" t="str">
            <v>UJJIVAN</v>
          </cell>
          <cell r="B201">
            <v>1600</v>
          </cell>
          <cell r="C201">
            <v>16.78</v>
          </cell>
          <cell r="D201">
            <v>5</v>
          </cell>
          <cell r="E201">
            <v>21.78</v>
          </cell>
          <cell r="F201">
            <v>36.51</v>
          </cell>
          <cell r="G201">
            <v>10.875</v>
          </cell>
          <cell r="H201">
            <v>47.384999999999998</v>
          </cell>
          <cell r="I201">
            <v>58416</v>
          </cell>
          <cell r="J201">
            <v>17400</v>
          </cell>
          <cell r="K201">
            <v>75816</v>
          </cell>
        </row>
        <row r="202">
          <cell r="A202" t="str">
            <v>ULTRACEMCO</v>
          </cell>
          <cell r="B202">
            <v>200</v>
          </cell>
          <cell r="C202">
            <v>11.31</v>
          </cell>
          <cell r="D202">
            <v>5</v>
          </cell>
          <cell r="E202">
            <v>16.309999999999999</v>
          </cell>
          <cell r="F202">
            <v>448.92</v>
          </cell>
          <cell r="G202">
            <v>198.44749999999999</v>
          </cell>
          <cell r="H202">
            <v>647.36749999999995</v>
          </cell>
          <cell r="I202">
            <v>89784</v>
          </cell>
          <cell r="J202">
            <v>39689.5</v>
          </cell>
          <cell r="K202">
            <v>129473.5</v>
          </cell>
        </row>
        <row r="203">
          <cell r="A203" t="str">
            <v>UNIONBANK</v>
          </cell>
          <cell r="B203">
            <v>6000</v>
          </cell>
          <cell r="C203">
            <v>12.17</v>
          </cell>
          <cell r="D203">
            <v>5</v>
          </cell>
          <cell r="E203">
            <v>17.170000000000002</v>
          </cell>
          <cell r="F203">
            <v>9.73</v>
          </cell>
          <cell r="G203">
            <v>3.9975000000000001</v>
          </cell>
          <cell r="H203">
            <v>13.727499999999999</v>
          </cell>
          <cell r="I203">
            <v>58380</v>
          </cell>
          <cell r="J203">
            <v>23985</v>
          </cell>
          <cell r="K203">
            <v>82365</v>
          </cell>
        </row>
        <row r="204">
          <cell r="A204" t="str">
            <v>UPL</v>
          </cell>
          <cell r="B204">
            <v>1200</v>
          </cell>
          <cell r="C204">
            <v>11.25</v>
          </cell>
          <cell r="D204">
            <v>5</v>
          </cell>
          <cell r="E204">
            <v>16.25</v>
          </cell>
          <cell r="F204">
            <v>85.71</v>
          </cell>
          <cell r="G204">
            <v>38.0625</v>
          </cell>
          <cell r="H204">
            <v>123.77249999999999</v>
          </cell>
          <cell r="I204">
            <v>102852</v>
          </cell>
          <cell r="J204">
            <v>45675</v>
          </cell>
          <cell r="K204">
            <v>148527</v>
          </cell>
        </row>
        <row r="205">
          <cell r="A205" t="str">
            <v>VEDL</v>
          </cell>
          <cell r="B205">
            <v>1750</v>
          </cell>
          <cell r="C205">
            <v>11.31</v>
          </cell>
          <cell r="D205">
            <v>5</v>
          </cell>
          <cell r="E205">
            <v>16.309999999999999</v>
          </cell>
          <cell r="F205">
            <v>23.17</v>
          </cell>
          <cell r="G205">
            <v>10.2425</v>
          </cell>
          <cell r="H205">
            <v>33.412500000000001</v>
          </cell>
          <cell r="I205">
            <v>40548</v>
          </cell>
          <cell r="J205">
            <v>17924.375</v>
          </cell>
          <cell r="K205">
            <v>58472.375</v>
          </cell>
        </row>
        <row r="206">
          <cell r="A206" t="str">
            <v>VGUARD</v>
          </cell>
          <cell r="B206">
            <v>3000</v>
          </cell>
          <cell r="C206">
            <v>11.29</v>
          </cell>
          <cell r="D206">
            <v>5</v>
          </cell>
          <cell r="E206">
            <v>16.29</v>
          </cell>
          <cell r="F206">
            <v>21.79</v>
          </cell>
          <cell r="G206">
            <v>9.6449999999999996</v>
          </cell>
          <cell r="H206">
            <v>31.434999999999999</v>
          </cell>
          <cell r="I206">
            <v>65370</v>
          </cell>
          <cell r="J206">
            <v>28935</v>
          </cell>
          <cell r="K206">
            <v>94305</v>
          </cell>
        </row>
        <row r="207">
          <cell r="A207" t="str">
            <v>VOLTAS</v>
          </cell>
          <cell r="B207">
            <v>1000</v>
          </cell>
          <cell r="C207">
            <v>11.3</v>
          </cell>
          <cell r="D207">
            <v>5</v>
          </cell>
          <cell r="E207">
            <v>16.3</v>
          </cell>
          <cell r="F207">
            <v>61.75</v>
          </cell>
          <cell r="G207">
            <v>27.315000000000001</v>
          </cell>
          <cell r="H207">
            <v>89.064999999999998</v>
          </cell>
          <cell r="I207">
            <v>61750</v>
          </cell>
          <cell r="J207">
            <v>27315</v>
          </cell>
          <cell r="K207">
            <v>89065</v>
          </cell>
        </row>
        <row r="208">
          <cell r="A208" t="str">
            <v>WIPRO</v>
          </cell>
          <cell r="B208">
            <v>2400</v>
          </cell>
          <cell r="C208">
            <v>11.26</v>
          </cell>
          <cell r="D208">
            <v>5</v>
          </cell>
          <cell r="E208">
            <v>16.260000000000002</v>
          </cell>
          <cell r="F208">
            <v>36.270000000000003</v>
          </cell>
          <cell r="G208">
            <v>16.105</v>
          </cell>
          <cell r="H208">
            <v>52.375</v>
          </cell>
          <cell r="I208">
            <v>87048</v>
          </cell>
          <cell r="J208">
            <v>38652</v>
          </cell>
          <cell r="K208">
            <v>125700</v>
          </cell>
        </row>
        <row r="209">
          <cell r="A209" t="str">
            <v>WOCKPHARMA</v>
          </cell>
          <cell r="B209">
            <v>900</v>
          </cell>
          <cell r="C209">
            <v>12.69</v>
          </cell>
          <cell r="D209">
            <v>5</v>
          </cell>
          <cell r="E209">
            <v>17.690000000000001</v>
          </cell>
          <cell r="F209">
            <v>65.11</v>
          </cell>
          <cell r="G209">
            <v>25.65</v>
          </cell>
          <cell r="H209">
            <v>90.76</v>
          </cell>
          <cell r="I209">
            <v>58599</v>
          </cell>
          <cell r="J209">
            <v>23085</v>
          </cell>
          <cell r="K209">
            <v>81684</v>
          </cell>
        </row>
        <row r="210">
          <cell r="A210" t="str">
            <v>YESBANK</v>
          </cell>
          <cell r="B210">
            <v>1750</v>
          </cell>
          <cell r="C210">
            <v>19.010000000000002</v>
          </cell>
          <cell r="D210">
            <v>6.17</v>
          </cell>
          <cell r="E210">
            <v>25.18</v>
          </cell>
          <cell r="F210">
            <v>36.6</v>
          </cell>
          <cell r="G210">
            <v>11.8773</v>
          </cell>
          <cell r="H210">
            <v>48.4773</v>
          </cell>
          <cell r="I210">
            <v>64050</v>
          </cell>
          <cell r="J210">
            <v>20785.1875</v>
          </cell>
          <cell r="K210">
            <v>84835.1875</v>
          </cell>
        </row>
        <row r="211">
          <cell r="A211" t="str">
            <v>ZEEL</v>
          </cell>
          <cell r="B211">
            <v>1300</v>
          </cell>
          <cell r="C211">
            <v>11.26</v>
          </cell>
          <cell r="D211">
            <v>5</v>
          </cell>
          <cell r="E211">
            <v>16.260000000000002</v>
          </cell>
          <cell r="F211">
            <v>50.59</v>
          </cell>
          <cell r="G211">
            <v>22.452500000000001</v>
          </cell>
          <cell r="H211">
            <v>73.042500000000004</v>
          </cell>
          <cell r="I211">
            <v>65767</v>
          </cell>
          <cell r="J211">
            <v>29188.25</v>
          </cell>
          <cell r="K211">
            <v>94955.25</v>
          </cell>
        </row>
        <row r="212">
          <cell r="A212" t="str">
            <v>About Us</v>
          </cell>
          <cell r="B212"/>
          <cell r="C212"/>
          <cell r="D212"/>
          <cell r="E212"/>
          <cell r="F212"/>
          <cell r="G212"/>
          <cell r="H212"/>
          <cell r="I212"/>
          <cell r="J212"/>
          <cell r="K212"/>
        </row>
        <row r="213">
          <cell r="A213" t="str">
            <v>Contact Us</v>
          </cell>
          <cell r="B213"/>
          <cell r="C213"/>
          <cell r="D213"/>
          <cell r="E213"/>
          <cell r="F213"/>
          <cell r="G213"/>
          <cell r="H213"/>
          <cell r="I213"/>
          <cell r="J213"/>
          <cell r="K213"/>
        </row>
        <row r="214">
          <cell r="A214" t="str">
            <v>Disclaimer</v>
          </cell>
          <cell r="B214"/>
          <cell r="C214"/>
          <cell r="D214"/>
          <cell r="E214"/>
          <cell r="F214"/>
          <cell r="G214"/>
          <cell r="H214"/>
          <cell r="I214"/>
          <cell r="J214"/>
          <cell r="K214"/>
        </row>
        <row r="215">
          <cell r="A215" t="str">
            <v>.</v>
          </cell>
          <cell r="B215"/>
          <cell r="C215"/>
          <cell r="D215"/>
          <cell r="E215"/>
          <cell r="F215"/>
          <cell r="G215"/>
          <cell r="H215"/>
          <cell r="I215"/>
          <cell r="J215"/>
          <cell r="K215"/>
        </row>
        <row r="216">
          <cell r="A216" t="str">
            <v>Privacy Policy</v>
          </cell>
          <cell r="B216"/>
          <cell r="C216"/>
          <cell r="D216"/>
          <cell r="E216"/>
          <cell r="F216"/>
          <cell r="G216"/>
          <cell r="H216"/>
          <cell r="I216"/>
          <cell r="J216"/>
          <cell r="K216"/>
        </row>
        <row r="217">
          <cell r="A217" t="str">
            <v>.</v>
          </cell>
          <cell r="B217"/>
          <cell r="C217"/>
          <cell r="D217"/>
          <cell r="E217"/>
          <cell r="F217"/>
          <cell r="G217"/>
          <cell r="H217"/>
          <cell r="I217"/>
          <cell r="J217"/>
          <cell r="K217"/>
        </row>
        <row r="218">
          <cell r="A218" t="str">
            <v>Terms &amp; Conditions</v>
          </cell>
          <cell r="B218"/>
          <cell r="C218"/>
          <cell r="D218"/>
          <cell r="E218"/>
          <cell r="F218"/>
          <cell r="G218"/>
          <cell r="H218"/>
          <cell r="I218"/>
          <cell r="J218"/>
          <cell r="K218"/>
        </row>
        <row r="219">
          <cell r="A219" t="str">
            <v>.</v>
          </cell>
          <cell r="B219"/>
          <cell r="C219"/>
          <cell r="D219"/>
          <cell r="E219"/>
          <cell r="F219"/>
          <cell r="G219"/>
          <cell r="H219"/>
          <cell r="I219"/>
          <cell r="J219"/>
          <cell r="K219"/>
        </row>
        <row r="220">
          <cell r="A220" t="str">
            <v>Downloads</v>
          </cell>
          <cell r="B220"/>
          <cell r="C220"/>
          <cell r="D220"/>
          <cell r="E220"/>
          <cell r="F220"/>
          <cell r="G220"/>
          <cell r="H220"/>
          <cell r="I220"/>
          <cell r="J220"/>
          <cell r="K220"/>
        </row>
        <row r="221">
          <cell r="A221" t="str">
            <v>SEBI Registration Number : INZ000010231, IN DP CDSL | MAFI REGN No.: ARN-104096</v>
          </cell>
          <cell r="B221"/>
          <cell r="C221"/>
          <cell r="D221"/>
          <cell r="E221"/>
          <cell r="F221"/>
          <cell r="G221"/>
          <cell r="H221"/>
          <cell r="I221"/>
          <cell r="J221"/>
          <cell r="K221"/>
        </row>
        <row r="222">
          <cell r="A222" t="str">
            <v>Copyright 2015 Paisa. All Rights Reserved.</v>
          </cell>
          <cell r="B222"/>
          <cell r="C222"/>
          <cell r="D222"/>
          <cell r="E222"/>
          <cell r="F222"/>
          <cell r="G222"/>
          <cell r="H222"/>
          <cell r="I222"/>
          <cell r="J222"/>
          <cell r="K222"/>
        </row>
        <row r="223">
          <cell r="A223" t="str">
            <v>EURINR</v>
          </cell>
          <cell r="B223">
            <v>1</v>
          </cell>
          <cell r="K223">
            <v>1000</v>
          </cell>
        </row>
        <row r="224">
          <cell r="A224" t="str">
            <v>GBPINR</v>
          </cell>
          <cell r="B224">
            <v>1</v>
          </cell>
          <cell r="K224">
            <v>1000</v>
          </cell>
        </row>
        <row r="225">
          <cell r="A225" t="str">
            <v>JPYINR</v>
          </cell>
          <cell r="B225">
            <v>1</v>
          </cell>
          <cell r="K225">
            <v>1000</v>
          </cell>
        </row>
        <row r="226">
          <cell r="A226" t="str">
            <v>USDINR</v>
          </cell>
          <cell r="B226">
            <v>1</v>
          </cell>
          <cell r="K226">
            <v>1000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youtu.be/v2M8aVu1q9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52"/>
  <sheetViews>
    <sheetView tabSelected="1" zoomScale="149" zoomScaleNormal="130" workbookViewId="0">
      <pane ySplit="4" topLeftCell="A5" activePane="bottomLeft" state="frozen"/>
      <selection pane="bottomLeft" activeCell="T24" sqref="T24"/>
    </sheetView>
  </sheetViews>
  <sheetFormatPr defaultColWidth="9.109375" defaultRowHeight="12.45" x14ac:dyDescent="0.3"/>
  <cols>
    <col min="1" max="1" width="12.77734375" style="1" customWidth="1"/>
    <col min="2" max="12" width="10.6640625" style="1" customWidth="1"/>
    <col min="13" max="13" width="10.33203125" style="1" bestFit="1" customWidth="1"/>
    <col min="14" max="14" width="10.6640625" style="1" customWidth="1"/>
    <col min="15" max="15" width="10.44140625" style="1" customWidth="1"/>
    <col min="16" max="16" width="9.109375" style="1"/>
    <col min="17" max="20" width="10" style="1" bestFit="1" customWidth="1"/>
    <col min="21" max="21" width="9.109375" style="1"/>
    <col min="22" max="23" width="10.77734375" style="1" customWidth="1"/>
    <col min="24" max="24" width="9.109375" style="1"/>
    <col min="25" max="25" width="3.77734375" style="1" customWidth="1"/>
    <col min="26" max="26" width="9.109375" style="1"/>
    <col min="27" max="27" width="12.21875" style="1" customWidth="1"/>
    <col min="28" max="34" width="9.109375" style="1"/>
    <col min="35" max="35" width="13.44140625" style="1" customWidth="1"/>
    <col min="36" max="16384" width="9.109375" style="1"/>
  </cols>
  <sheetData>
    <row r="1" spans="1:36" x14ac:dyDescent="0.3">
      <c r="A1" s="3" t="s">
        <v>50</v>
      </c>
      <c r="F1" s="9"/>
      <c r="J1" s="3"/>
    </row>
    <row r="2" spans="1:36" x14ac:dyDescent="0.3">
      <c r="E2" s="19"/>
      <c r="F2" s="20"/>
    </row>
    <row r="3" spans="1:36" ht="37.35" x14ac:dyDescent="0.3">
      <c r="A3" s="4" t="s">
        <v>35</v>
      </c>
      <c r="B3" s="5" t="s">
        <v>80</v>
      </c>
      <c r="C3" s="6" t="s">
        <v>81</v>
      </c>
      <c r="D3" s="96" t="s">
        <v>30</v>
      </c>
      <c r="E3" s="96"/>
      <c r="F3" s="5" t="s">
        <v>17</v>
      </c>
      <c r="G3" s="5" t="s">
        <v>18</v>
      </c>
      <c r="H3" s="5" t="s">
        <v>19</v>
      </c>
      <c r="I3" s="5" t="s">
        <v>16</v>
      </c>
      <c r="J3" s="5" t="s">
        <v>84</v>
      </c>
      <c r="K3" s="6" t="s">
        <v>20</v>
      </c>
      <c r="L3" s="32" t="s">
        <v>34</v>
      </c>
      <c r="M3" s="32" t="s">
        <v>49</v>
      </c>
      <c r="N3" s="32" t="s">
        <v>29</v>
      </c>
      <c r="O3" s="75" t="s">
        <v>82</v>
      </c>
      <c r="S3" s="8"/>
      <c r="T3" s="8"/>
    </row>
    <row r="4" spans="1:36" x14ac:dyDescent="0.3">
      <c r="A4" s="33" t="s">
        <v>36</v>
      </c>
      <c r="B4" s="34">
        <v>2</v>
      </c>
      <c r="C4" s="77">
        <f>'[1]BNF-Nifty'!$F$54*100</f>
        <v>5.1938328688817235</v>
      </c>
      <c r="D4" s="35">
        <f ca="1">DATE(YEAR(NOW()),MONTH(NOW()),DAY(NOW()))+TIME(9,15,0)</f>
        <v>45357.385416666664</v>
      </c>
      <c r="E4" s="35">
        <f ca="1">DATE(YEAR(NOW()),MONTH(NOW()),DAY(NOW()))+TIME(10,0,0)</f>
        <v>45357.416666666664</v>
      </c>
      <c r="F4" s="36">
        <f>'Positional - GAV'!G4</f>
        <v>20625.75</v>
      </c>
      <c r="G4" s="37">
        <f>'Positional - GAV'!H4</f>
        <v>20803.400000000001</v>
      </c>
      <c r="H4" s="37">
        <f>'Positional - GAV'!I4</f>
        <v>20610.2</v>
      </c>
      <c r="I4" s="30">
        <f>(G4+H4)/2</f>
        <v>20706.800000000003</v>
      </c>
      <c r="J4" s="30">
        <f ca="1">IF(AND(N4&gt;=D4,N4&lt;=E4),$F$4,$I$4)</f>
        <v>20706.800000000003</v>
      </c>
      <c r="K4" s="30">
        <f ca="1">J4*(C4/100)</f>
        <v>1075.4765844936007</v>
      </c>
      <c r="L4" s="38">
        <f>VLOOKUP(A4,'[2]Margin - NSE Fut (5Paisa)'!$A:$K,2,FALSE)</f>
        <v>20</v>
      </c>
      <c r="M4" s="39">
        <f>VLOOKUP(A4,'[2]Margin - NSE Fut (5Paisa)'!$A:$K,11,FALSE)*$B$4</f>
        <v>99613.48</v>
      </c>
      <c r="N4" s="40">
        <f ca="1">NOW()</f>
        <v>45357.08674953704</v>
      </c>
      <c r="O4" s="39">
        <f>C4*SQRT(365)</f>
        <v>99.228037633043996</v>
      </c>
      <c r="S4" s="8"/>
      <c r="T4" s="8"/>
    </row>
    <row r="5" spans="1:36" x14ac:dyDescent="0.3">
      <c r="E5" s="8"/>
      <c r="F5" s="8"/>
      <c r="H5" s="8"/>
      <c r="N5" s="97" t="s">
        <v>92</v>
      </c>
      <c r="O5" s="97"/>
      <c r="P5" s="97"/>
      <c r="S5" s="8"/>
      <c r="T5" s="8"/>
      <c r="V5" s="98" t="s">
        <v>85</v>
      </c>
      <c r="W5" s="98"/>
      <c r="X5" s="98"/>
      <c r="Z5" s="97" t="s">
        <v>92</v>
      </c>
      <c r="AA5" s="97"/>
      <c r="AB5" s="97"/>
      <c r="AH5" s="98" t="s">
        <v>85</v>
      </c>
      <c r="AI5" s="98"/>
      <c r="AJ5" s="98"/>
    </row>
    <row r="6" spans="1:36" ht="37.35" x14ac:dyDescent="0.3">
      <c r="E6" s="8"/>
      <c r="F6" s="8"/>
      <c r="H6" s="8"/>
      <c r="N6" s="2" t="s">
        <v>99</v>
      </c>
      <c r="O6" s="2" t="s">
        <v>101</v>
      </c>
      <c r="P6" s="2" t="s">
        <v>100</v>
      </c>
      <c r="Q6" s="6" t="s">
        <v>14</v>
      </c>
      <c r="R6" s="6" t="s">
        <v>0</v>
      </c>
      <c r="S6" s="6" t="s">
        <v>1</v>
      </c>
      <c r="T6" s="6" t="s">
        <v>15</v>
      </c>
      <c r="U6" s="6" t="s">
        <v>41</v>
      </c>
      <c r="V6" s="2" t="s">
        <v>100</v>
      </c>
      <c r="W6" s="2" t="s">
        <v>101</v>
      </c>
      <c r="X6" s="2" t="s">
        <v>99</v>
      </c>
      <c r="Z6" s="2" t="s">
        <v>99</v>
      </c>
      <c r="AA6" s="2" t="s">
        <v>101</v>
      </c>
      <c r="AB6" s="2" t="s">
        <v>100</v>
      </c>
      <c r="AC6" s="6" t="s">
        <v>42</v>
      </c>
      <c r="AD6" s="6" t="s">
        <v>15</v>
      </c>
      <c r="AE6" s="6" t="s">
        <v>13</v>
      </c>
      <c r="AF6" s="6" t="s">
        <v>0</v>
      </c>
      <c r="AG6" s="6" t="s">
        <v>14</v>
      </c>
      <c r="AH6" s="2" t="s">
        <v>100</v>
      </c>
      <c r="AI6" s="2" t="s">
        <v>101</v>
      </c>
      <c r="AJ6" s="2" t="s">
        <v>99</v>
      </c>
    </row>
    <row r="7" spans="1:36" ht="24.9" x14ac:dyDescent="0.3">
      <c r="A7" s="6" t="s">
        <v>14</v>
      </c>
      <c r="B7" s="6" t="s">
        <v>0</v>
      </c>
      <c r="C7" s="6" t="s">
        <v>1</v>
      </c>
      <c r="D7" s="6" t="s">
        <v>15</v>
      </c>
      <c r="E7" s="6" t="s">
        <v>41</v>
      </c>
      <c r="F7" s="6" t="s">
        <v>42</v>
      </c>
      <c r="G7" s="6" t="s">
        <v>15</v>
      </c>
      <c r="H7" s="6" t="s">
        <v>13</v>
      </c>
      <c r="I7" s="6" t="s">
        <v>0</v>
      </c>
      <c r="J7" s="6" t="s">
        <v>14</v>
      </c>
      <c r="Q7" s="83">
        <v>100</v>
      </c>
      <c r="R7" s="83">
        <f>Q7/180</f>
        <v>0.55555555555555558</v>
      </c>
      <c r="S7" s="84">
        <f t="shared" ref="S7" ca="1" si="0">POWER(SQRT($K$4)+R7,2)</f>
        <v>1112.2235149817523</v>
      </c>
      <c r="T7" s="87">
        <v>1</v>
      </c>
      <c r="U7" s="84">
        <f t="shared" ref="U7" ca="1" si="1">$J$4+(S7*R7)</f>
        <v>21324.701952767642</v>
      </c>
      <c r="V7" s="92"/>
      <c r="W7" s="16" t="s">
        <v>98</v>
      </c>
      <c r="X7" s="92">
        <f ca="1">U7-U10</f>
        <v>135.68756552576087</v>
      </c>
      <c r="AC7" s="84">
        <f ca="1">$J$4-(AE7*AF7)</f>
        <v>20129.385034468854</v>
      </c>
      <c r="AD7" s="87">
        <v>1</v>
      </c>
      <c r="AE7" s="84">
        <f ca="1">POWER(SQRT($K$4)-AF7,2)</f>
        <v>1039.3469379560661</v>
      </c>
      <c r="AF7" s="83">
        <f>AG7/180</f>
        <v>0.55555555555555558</v>
      </c>
      <c r="AG7" s="83">
        <f>Q7</f>
        <v>100</v>
      </c>
      <c r="AH7" s="92"/>
      <c r="AI7" s="16" t="s">
        <v>98</v>
      </c>
      <c r="AJ7" s="92">
        <f ca="1">AC10-AC7</f>
        <v>120.2132770560238</v>
      </c>
    </row>
    <row r="8" spans="1:36" x14ac:dyDescent="0.3">
      <c r="A8" s="56">
        <v>86.25</v>
      </c>
      <c r="B8" s="56">
        <f>A8/180</f>
        <v>0.47916666666666669</v>
      </c>
      <c r="C8" s="10">
        <f t="shared" ref="C8:C17" ca="1" si="2">POWER(SQRT($K$4)+B8,2)</f>
        <v>1107.1342090303719</v>
      </c>
      <c r="D8" s="6" t="s">
        <v>2</v>
      </c>
      <c r="E8" s="10">
        <f ca="1">$J$4+(C8*B8)</f>
        <v>21237.301808493721</v>
      </c>
      <c r="F8" s="10">
        <f ca="1">$J$4-(H8*I8)</f>
        <v>20206.416714355179</v>
      </c>
      <c r="G8" s="6" t="s">
        <v>3</v>
      </c>
      <c r="H8" s="10">
        <f t="shared" ref="H8:H18" ca="1" si="3">POWER(SQRT($K$4)-I8,2)</f>
        <v>1044.2781613457182</v>
      </c>
      <c r="I8" s="56">
        <f t="shared" ref="I8:I18" si="4">J8/180</f>
        <v>0.47916666666666669</v>
      </c>
      <c r="J8" s="56">
        <v>86.25</v>
      </c>
      <c r="K8" s="49" t="s">
        <v>53</v>
      </c>
      <c r="L8" s="49" t="s">
        <v>60</v>
      </c>
      <c r="N8" s="92">
        <f ca="1">U8-U9</f>
        <v>23.700530928195803</v>
      </c>
      <c r="O8" s="79" t="s">
        <v>26</v>
      </c>
      <c r="Q8" s="85">
        <v>86.25</v>
      </c>
      <c r="R8" s="85">
        <f>Q8/180</f>
        <v>0.47916666666666669</v>
      </c>
      <c r="S8" s="86">
        <f t="shared" ref="S8:S9" ca="1" si="5">POWER(SQRT($K$4)+R8,2)</f>
        <v>1107.1342090303719</v>
      </c>
      <c r="T8" s="6" t="s">
        <v>2</v>
      </c>
      <c r="U8" s="86">
        <f t="shared" ref="U8:U23" ca="1" si="6">$J$4+(S8*R8)</f>
        <v>21237.301808493721</v>
      </c>
      <c r="Z8" s="92">
        <f ca="1">AC9-AC8</f>
        <v>21.13846376713991</v>
      </c>
      <c r="AA8" s="79" t="s">
        <v>26</v>
      </c>
      <c r="AB8" s="92"/>
      <c r="AC8" s="86">
        <f t="shared" ref="AC8:AC23" ca="1" si="7">$J$4-(AE8*AF8)</f>
        <v>20206.416714355179</v>
      </c>
      <c r="AD8" s="6" t="s">
        <v>3</v>
      </c>
      <c r="AE8" s="86">
        <f t="shared" ref="AE8:AE23" ca="1" si="8">POWER(SQRT($K$4)-AF8,2)</f>
        <v>1044.2781613457182</v>
      </c>
      <c r="AF8" s="85">
        <f t="shared" ref="AF8:AF23" si="9">AG8/180</f>
        <v>0.47916666666666669</v>
      </c>
      <c r="AG8" s="85">
        <f t="shared" ref="AG8:AG23" si="10">Q8</f>
        <v>86.25</v>
      </c>
    </row>
    <row r="9" spans="1:36" x14ac:dyDescent="0.3">
      <c r="A9" s="57">
        <v>82.5</v>
      </c>
      <c r="B9" s="57">
        <f t="shared" ref="B9:B18" si="11">A9/180</f>
        <v>0.45833333333333331</v>
      </c>
      <c r="C9" s="44">
        <f t="shared" ca="1" si="2"/>
        <v>1105.7482419611406</v>
      </c>
      <c r="D9" s="5" t="s">
        <v>4</v>
      </c>
      <c r="E9" s="10">
        <f t="shared" ref="E9:E18" ca="1" si="12">$J$4+(C9*B9)</f>
        <v>21213.601277565525</v>
      </c>
      <c r="F9" s="10">
        <f t="shared" ref="F9:F18" ca="1" si="13">$J$4-(H9*I9)</f>
        <v>20227.555178122318</v>
      </c>
      <c r="G9" s="5" t="s">
        <v>5</v>
      </c>
      <c r="H9" s="44">
        <f t="shared" ca="1" si="3"/>
        <v>1045.6250659149493</v>
      </c>
      <c r="I9" s="57">
        <f t="shared" si="4"/>
        <v>0.45833333333333331</v>
      </c>
      <c r="J9" s="57">
        <v>82.5</v>
      </c>
      <c r="K9" s="49" t="s">
        <v>54</v>
      </c>
      <c r="L9" s="49" t="s">
        <v>61</v>
      </c>
      <c r="N9" s="92">
        <f ca="1">U9-U11</f>
        <v>47.226730903297721</v>
      </c>
      <c r="O9" s="79" t="s">
        <v>25</v>
      </c>
      <c r="Q9" s="85">
        <v>82.5</v>
      </c>
      <c r="R9" s="85">
        <f t="shared" ref="R9" si="14">Q9/180</f>
        <v>0.45833333333333331</v>
      </c>
      <c r="S9" s="86">
        <f t="shared" ca="1" si="5"/>
        <v>1105.7482419611406</v>
      </c>
      <c r="T9" s="5" t="s">
        <v>4</v>
      </c>
      <c r="U9" s="86">
        <f t="shared" ca="1" si="6"/>
        <v>21213.601277565525</v>
      </c>
      <c r="Y9" s="92"/>
      <c r="Z9" s="92">
        <f ca="1">AC11-AC9</f>
        <v>42.444205535983201</v>
      </c>
      <c r="AA9" s="79" t="s">
        <v>25</v>
      </c>
      <c r="AB9" s="92"/>
      <c r="AC9" s="86">
        <f t="shared" ca="1" si="7"/>
        <v>20227.555178122318</v>
      </c>
      <c r="AD9" s="5" t="s">
        <v>5</v>
      </c>
      <c r="AE9" s="86">
        <f t="shared" ca="1" si="8"/>
        <v>1045.6250659149493</v>
      </c>
      <c r="AF9" s="85">
        <f t="shared" si="9"/>
        <v>0.45833333333333331</v>
      </c>
      <c r="AG9" s="85">
        <f t="shared" si="10"/>
        <v>82.5</v>
      </c>
    </row>
    <row r="10" spans="1:36" x14ac:dyDescent="0.3">
      <c r="A10" s="80">
        <v>75</v>
      </c>
      <c r="B10" s="80">
        <f t="shared" si="11"/>
        <v>0.41666666666666669</v>
      </c>
      <c r="C10" s="81">
        <f t="shared" ca="1" si="2"/>
        <v>1102.9789119893437</v>
      </c>
      <c r="D10" s="82" t="s">
        <v>6</v>
      </c>
      <c r="E10" s="81">
        <f t="shared" ca="1" si="12"/>
        <v>21166.374546662228</v>
      </c>
      <c r="F10" s="81">
        <f t="shared" ca="1" si="13"/>
        <v>20269.999383658302</v>
      </c>
      <c r="G10" s="82" t="s">
        <v>7</v>
      </c>
      <c r="H10" s="81">
        <f t="shared" ca="1" si="3"/>
        <v>1048.3214792200797</v>
      </c>
      <c r="I10" s="80">
        <f t="shared" si="4"/>
        <v>0.41666666666666669</v>
      </c>
      <c r="J10" s="80">
        <v>75</v>
      </c>
      <c r="K10" s="49" t="s">
        <v>55</v>
      </c>
      <c r="L10" s="49" t="s">
        <v>62</v>
      </c>
      <c r="Q10" s="83">
        <v>78.599999999999994</v>
      </c>
      <c r="R10" s="83">
        <f>Q10/180</f>
        <v>0.43666666666666665</v>
      </c>
      <c r="S10" s="84">
        <f t="shared" ref="S10:S13" ca="1" si="15">POWER(SQRT($K$4)+R10,2)</f>
        <v>1104.307757042473</v>
      </c>
      <c r="T10" s="87">
        <v>0.78600000000000003</v>
      </c>
      <c r="U10" s="84">
        <f t="shared" ca="1" si="6"/>
        <v>21189.014387241881</v>
      </c>
      <c r="V10" s="92">
        <f ca="1">U10-U14</f>
        <v>105.19547913871793</v>
      </c>
      <c r="W10" s="16" t="s">
        <v>97</v>
      </c>
      <c r="X10" s="92">
        <f ca="1">U10-U14</f>
        <v>105.19547913871793</v>
      </c>
      <c r="AC10" s="84">
        <f t="shared" ca="1" si="7"/>
        <v>20249.598311524878</v>
      </c>
      <c r="AD10" s="87">
        <v>0.78600000000000003</v>
      </c>
      <c r="AE10" s="84">
        <f t="shared" ca="1" si="8"/>
        <v>1047.0267675002838</v>
      </c>
      <c r="AF10" s="83">
        <f t="shared" si="9"/>
        <v>0.43666666666666665</v>
      </c>
      <c r="AG10" s="83">
        <f t="shared" si="10"/>
        <v>78.599999999999994</v>
      </c>
      <c r="AH10" s="92">
        <f ca="1">AC14-AC10</f>
        <v>95.645732485274493</v>
      </c>
      <c r="AI10" s="16" t="s">
        <v>97</v>
      </c>
      <c r="AJ10" s="92">
        <f ca="1">AC14-AC10</f>
        <v>95.645732485274493</v>
      </c>
    </row>
    <row r="11" spans="1:36" x14ac:dyDescent="0.3">
      <c r="A11" s="57">
        <v>71.25</v>
      </c>
      <c r="B11" s="57">
        <f t="shared" si="11"/>
        <v>0.39583333333333331</v>
      </c>
      <c r="C11" s="44">
        <f t="shared" ca="1" si="2"/>
        <v>1101.5955490867791</v>
      </c>
      <c r="D11" s="5" t="s">
        <v>8</v>
      </c>
      <c r="E11" s="10">
        <f t="shared" ca="1" si="12"/>
        <v>21142.848238180188</v>
      </c>
      <c r="F11" s="10">
        <f t="shared" ca="1" si="13"/>
        <v>20291.305233934094</v>
      </c>
      <c r="G11" s="5" t="s">
        <v>9</v>
      </c>
      <c r="H11" s="44">
        <f t="shared" ca="1" si="3"/>
        <v>1049.6709879559776</v>
      </c>
      <c r="I11" s="57">
        <f t="shared" si="4"/>
        <v>0.39583333333333331</v>
      </c>
      <c r="J11" s="57">
        <v>71.25</v>
      </c>
      <c r="K11" s="49" t="s">
        <v>56</v>
      </c>
      <c r="L11" s="49" t="s">
        <v>64</v>
      </c>
      <c r="N11" s="92">
        <f ca="1">U11-U12</f>
        <v>23.526308482039894</v>
      </c>
      <c r="O11" s="79" t="s">
        <v>91</v>
      </c>
      <c r="P11" s="92">
        <f ca="1">U11-U12</f>
        <v>23.526308482039894</v>
      </c>
      <c r="Q11" s="85">
        <v>75</v>
      </c>
      <c r="R11" s="85">
        <f t="shared" ref="R11:R12" si="16">Q11/180</f>
        <v>0.41666666666666669</v>
      </c>
      <c r="S11" s="86">
        <f t="shared" ca="1" si="15"/>
        <v>1102.9789119893437</v>
      </c>
      <c r="T11" s="82" t="s">
        <v>6</v>
      </c>
      <c r="U11" s="86">
        <f t="shared" ca="1" si="6"/>
        <v>21166.374546662228</v>
      </c>
      <c r="Z11" s="92">
        <f ca="1">AC12-AC11</f>
        <v>21.305850275792181</v>
      </c>
      <c r="AA11" s="79" t="s">
        <v>91</v>
      </c>
      <c r="AB11" s="92">
        <f ca="1">AC12-AC11</f>
        <v>21.305850275792181</v>
      </c>
      <c r="AC11" s="86">
        <f t="shared" ca="1" si="7"/>
        <v>20269.999383658302</v>
      </c>
      <c r="AD11" s="82" t="s">
        <v>7</v>
      </c>
      <c r="AE11" s="86">
        <f t="shared" ca="1" si="8"/>
        <v>1048.3214792200797</v>
      </c>
      <c r="AF11" s="85">
        <f t="shared" si="9"/>
        <v>0.41666666666666669</v>
      </c>
      <c r="AG11" s="85">
        <f t="shared" si="10"/>
        <v>75</v>
      </c>
    </row>
    <row r="12" spans="1:36" x14ac:dyDescent="0.3">
      <c r="A12" s="57">
        <v>63.75</v>
      </c>
      <c r="B12" s="57">
        <f t="shared" si="11"/>
        <v>0.35416666666666669</v>
      </c>
      <c r="C12" s="44">
        <f t="shared" ca="1" si="2"/>
        <v>1098.8314274483157</v>
      </c>
      <c r="D12" s="45" t="s">
        <v>10</v>
      </c>
      <c r="E12" s="10">
        <f t="shared" ca="1" si="12"/>
        <v>21095.969463887948</v>
      </c>
      <c r="F12" s="10">
        <f t="shared" ca="1" si="13"/>
        <v>20334.084700768639</v>
      </c>
      <c r="G12" s="45" t="s">
        <v>11</v>
      </c>
      <c r="H12" s="44">
        <f t="shared" ca="1" si="3"/>
        <v>1052.3726095944412</v>
      </c>
      <c r="I12" s="57">
        <f t="shared" si="4"/>
        <v>0.35416666666666669</v>
      </c>
      <c r="J12" s="57">
        <v>63.75</v>
      </c>
      <c r="K12" s="49" t="s">
        <v>57</v>
      </c>
      <c r="L12" s="49" t="s">
        <v>63</v>
      </c>
      <c r="N12" s="93">
        <f ca="1">U12-U13</f>
        <v>46.878774292239541</v>
      </c>
      <c r="O12" s="79" t="s">
        <v>90</v>
      </c>
      <c r="P12" s="92">
        <f ca="1">U12-U13</f>
        <v>46.878774292239541</v>
      </c>
      <c r="Q12" s="85">
        <v>71.25</v>
      </c>
      <c r="R12" s="85">
        <f t="shared" si="16"/>
        <v>0.39583333333333331</v>
      </c>
      <c r="S12" s="86">
        <f t="shared" ca="1" si="15"/>
        <v>1101.5955490867791</v>
      </c>
      <c r="T12" s="5" t="s">
        <v>8</v>
      </c>
      <c r="U12" s="86">
        <f t="shared" ca="1" si="6"/>
        <v>21142.848238180188</v>
      </c>
      <c r="Z12" s="92">
        <f ca="1">AC13-AC12</f>
        <v>42.779466834545019</v>
      </c>
      <c r="AA12" s="79" t="s">
        <v>90</v>
      </c>
      <c r="AB12" s="92">
        <f ca="1">AC13-AC12</f>
        <v>42.779466834545019</v>
      </c>
      <c r="AC12" s="86">
        <f t="shared" ca="1" si="7"/>
        <v>20291.305233934094</v>
      </c>
      <c r="AD12" s="5" t="s">
        <v>9</v>
      </c>
      <c r="AE12" s="86">
        <f t="shared" ca="1" si="8"/>
        <v>1049.6709879559776</v>
      </c>
      <c r="AF12" s="85">
        <f t="shared" si="9"/>
        <v>0.39583333333333331</v>
      </c>
      <c r="AG12" s="85">
        <f t="shared" si="10"/>
        <v>71.25</v>
      </c>
    </row>
    <row r="13" spans="1:36" x14ac:dyDescent="0.3">
      <c r="A13" s="59">
        <v>45</v>
      </c>
      <c r="B13" s="59">
        <f t="shared" si="11"/>
        <v>0.25</v>
      </c>
      <c r="C13" s="23">
        <f t="shared" ca="1" si="2"/>
        <v>1091.93631432438</v>
      </c>
      <c r="D13" s="24" t="s">
        <v>12</v>
      </c>
      <c r="E13" s="21">
        <f t="shared" ca="1" si="12"/>
        <v>20979.784078581099</v>
      </c>
      <c r="F13" s="64">
        <f t="shared" ca="1" si="13"/>
        <v>20442.014536334296</v>
      </c>
      <c r="G13" s="25" t="s">
        <v>12</v>
      </c>
      <c r="H13" s="26">
        <f t="shared" ca="1" si="3"/>
        <v>1059.1418546628213</v>
      </c>
      <c r="I13" s="62">
        <f t="shared" si="4"/>
        <v>0.25</v>
      </c>
      <c r="J13" s="63">
        <v>45</v>
      </c>
      <c r="K13" s="49" t="s">
        <v>58</v>
      </c>
      <c r="L13" s="48" t="s">
        <v>43</v>
      </c>
      <c r="M13" s="7" t="s">
        <v>46</v>
      </c>
      <c r="N13" s="93">
        <f ca="1">U13-U16</f>
        <v>116.18538530684964</v>
      </c>
      <c r="O13" s="79" t="s">
        <v>89</v>
      </c>
      <c r="P13" s="92">
        <f ca="1">U13-U16</f>
        <v>116.18538530684964</v>
      </c>
      <c r="Q13" s="85">
        <v>63.75</v>
      </c>
      <c r="R13" s="85">
        <v>0.35416666666666669</v>
      </c>
      <c r="S13" s="86">
        <f t="shared" ca="1" si="15"/>
        <v>1098.8314274483157</v>
      </c>
      <c r="T13" s="45" t="s">
        <v>10</v>
      </c>
      <c r="U13" s="86">
        <f t="shared" ca="1" si="6"/>
        <v>21095.969463887948</v>
      </c>
      <c r="Y13" s="12"/>
      <c r="Z13" s="93">
        <f ca="1">AC16-AC13</f>
        <v>107.92983556565741</v>
      </c>
      <c r="AA13" s="79" t="s">
        <v>89</v>
      </c>
      <c r="AB13" s="93">
        <f ca="1">AC16-AC13</f>
        <v>107.92983556565741</v>
      </c>
      <c r="AC13" s="86">
        <f t="shared" ca="1" si="7"/>
        <v>20334.084700768639</v>
      </c>
      <c r="AD13" s="45" t="s">
        <v>11</v>
      </c>
      <c r="AE13" s="86">
        <f t="shared" ca="1" si="8"/>
        <v>1052.3726095944412</v>
      </c>
      <c r="AF13" s="85">
        <f t="shared" si="9"/>
        <v>0.35416666666666669</v>
      </c>
      <c r="AG13" s="85">
        <f t="shared" si="10"/>
        <v>63.75</v>
      </c>
    </row>
    <row r="14" spans="1:36" s="12" customFormat="1" x14ac:dyDescent="0.3">
      <c r="A14" s="66">
        <f>90-A12</f>
        <v>26.25</v>
      </c>
      <c r="B14" s="66">
        <f t="shared" si="11"/>
        <v>0.14583333333333334</v>
      </c>
      <c r="C14" s="46">
        <f t="shared" ca="1" si="2"/>
        <v>1085.0629025893331</v>
      </c>
      <c r="D14" s="67" t="s">
        <v>11</v>
      </c>
      <c r="E14" s="41">
        <f t="shared" ca="1" si="12"/>
        <v>20865.038339960949</v>
      </c>
      <c r="F14" s="41">
        <f t="shared" ca="1" si="13"/>
        <v>20551.351466503322</v>
      </c>
      <c r="G14" s="42" t="s">
        <v>10</v>
      </c>
      <c r="H14" s="46">
        <f t="shared" ca="1" si="3"/>
        <v>1065.9328011200903</v>
      </c>
      <c r="I14" s="66">
        <f t="shared" si="4"/>
        <v>0.14583333333333334</v>
      </c>
      <c r="J14" s="65">
        <f>90-J12</f>
        <v>26.25</v>
      </c>
      <c r="K14" s="49" t="s">
        <v>59</v>
      </c>
      <c r="Q14" s="83">
        <v>61.8</v>
      </c>
      <c r="R14" s="83">
        <f t="shared" ref="R14" si="17">Q14/180</f>
        <v>0.34333333333333332</v>
      </c>
      <c r="S14" s="84">
        <f t="shared" ref="S14" ca="1" si="18">POWER(SQRT($K$4)+R14,2)</f>
        <v>1098.1133245723154</v>
      </c>
      <c r="T14" s="88">
        <v>0.61799999999999999</v>
      </c>
      <c r="U14" s="84">
        <f t="shared" ca="1" si="6"/>
        <v>21083.818908103163</v>
      </c>
      <c r="V14" s="93">
        <f ca="1">U14-U15</f>
        <v>73.193105535425275</v>
      </c>
      <c r="W14" s="16" t="s">
        <v>96</v>
      </c>
      <c r="X14" s="93">
        <f ca="1">U14-U15</f>
        <v>73.193105535425275</v>
      </c>
      <c r="AC14" s="84">
        <f t="shared" ca="1" si="7"/>
        <v>20345.244044010153</v>
      </c>
      <c r="AD14" s="88">
        <v>0.61799999999999999</v>
      </c>
      <c r="AE14" s="84">
        <f t="shared" ca="1" si="8"/>
        <v>1053.0755999704413</v>
      </c>
      <c r="AF14" s="83">
        <f t="shared" si="9"/>
        <v>0.34333333333333332</v>
      </c>
      <c r="AG14" s="83">
        <f t="shared" si="10"/>
        <v>61.8</v>
      </c>
      <c r="AH14" s="93">
        <f ca="1">AC15-AC14</f>
        <v>67.851900231238687</v>
      </c>
      <c r="AI14" s="16" t="s">
        <v>96</v>
      </c>
      <c r="AJ14" s="93">
        <f ca="1">AC15-AC14</f>
        <v>67.851900231238687</v>
      </c>
    </row>
    <row r="15" spans="1:36" s="12" customFormat="1" x14ac:dyDescent="0.3">
      <c r="A15" s="60">
        <f>90-A11</f>
        <v>18.75</v>
      </c>
      <c r="B15" s="60">
        <f t="shared" si="11"/>
        <v>0.10416666666666667</v>
      </c>
      <c r="C15" s="14">
        <f t="shared" ca="1" si="2"/>
        <v>1082.319614284203</v>
      </c>
      <c r="D15" s="13" t="s">
        <v>9</v>
      </c>
      <c r="E15" s="10">
        <f t="shared" ca="1" si="12"/>
        <v>20819.541626487942</v>
      </c>
      <c r="F15" s="10">
        <f t="shared" ca="1" si="13"/>
        <v>20595.481744157099</v>
      </c>
      <c r="G15" s="17" t="s">
        <v>8</v>
      </c>
      <c r="H15" s="14">
        <f t="shared" ca="1" si="3"/>
        <v>1068.6552560918872</v>
      </c>
      <c r="I15" s="60">
        <f t="shared" si="4"/>
        <v>0.10416666666666667</v>
      </c>
      <c r="J15" s="60">
        <f>90-J11</f>
        <v>18.75</v>
      </c>
      <c r="K15" s="49" t="s">
        <v>52</v>
      </c>
      <c r="L15" s="47"/>
      <c r="M15" s="15"/>
      <c r="Q15" s="83">
        <v>50</v>
      </c>
      <c r="R15" s="83">
        <f>Q15/180</f>
        <v>0.27777777777777779</v>
      </c>
      <c r="S15" s="84">
        <f t="shared" ref="S15:S20" ca="1" si="19">POWER(SQRT($K$4)+R15,2)</f>
        <v>1093.7728892438492</v>
      </c>
      <c r="T15" s="89">
        <v>0.5</v>
      </c>
      <c r="U15" s="84">
        <f t="shared" ca="1" si="6"/>
        <v>21010.625802567738</v>
      </c>
      <c r="V15" s="93">
        <f ca="1">U15-U17</f>
        <v>72.622202173704864</v>
      </c>
      <c r="W15" s="16" t="s">
        <v>95</v>
      </c>
      <c r="X15" s="93">
        <f ca="1">U15-U17</f>
        <v>72.622202173704864</v>
      </c>
      <c r="Y15" s="1"/>
      <c r="Z15" s="1"/>
      <c r="AB15" s="1"/>
      <c r="AC15" s="84">
        <f t="shared" ca="1" si="7"/>
        <v>20413.095944241391</v>
      </c>
      <c r="AD15" s="89">
        <v>0.5</v>
      </c>
      <c r="AE15" s="84">
        <f t="shared" ca="1" si="8"/>
        <v>1057.3346007310063</v>
      </c>
      <c r="AF15" s="83">
        <f t="shared" si="9"/>
        <v>0.27777777777777779</v>
      </c>
      <c r="AG15" s="83">
        <f t="shared" si="10"/>
        <v>50</v>
      </c>
      <c r="AH15" s="93">
        <f ca="1">AC17-AC15</f>
        <v>68.408478490076959</v>
      </c>
      <c r="AI15" s="16" t="s">
        <v>95</v>
      </c>
      <c r="AJ15" s="93">
        <f ca="1">AC17-AC15</f>
        <v>68.408478490076959</v>
      </c>
    </row>
    <row r="16" spans="1:36" x14ac:dyDescent="0.3">
      <c r="A16" s="59">
        <f>90-A10</f>
        <v>15</v>
      </c>
      <c r="B16" s="59">
        <f t="shared" si="11"/>
        <v>8.3333333333333329E-2</v>
      </c>
      <c r="C16" s="23">
        <f t="shared" ca="1" si="2"/>
        <v>1080.9492722149716</v>
      </c>
      <c r="D16" s="24" t="s">
        <v>7</v>
      </c>
      <c r="E16" s="21">
        <f t="shared" ca="1" si="12"/>
        <v>20796.879106017917</v>
      </c>
      <c r="F16" s="64">
        <f t="shared" ca="1" si="13"/>
        <v>20617.63185119491</v>
      </c>
      <c r="G16" s="25" t="s">
        <v>6</v>
      </c>
      <c r="H16" s="26">
        <f t="shared" ca="1" si="3"/>
        <v>1070.0177856611185</v>
      </c>
      <c r="I16" s="62">
        <f t="shared" si="4"/>
        <v>8.3333333333333329E-2</v>
      </c>
      <c r="J16" s="63">
        <f>90-J10</f>
        <v>15</v>
      </c>
      <c r="K16" s="48" t="s">
        <v>44</v>
      </c>
      <c r="L16" s="7" t="s">
        <v>45</v>
      </c>
      <c r="M16" s="11"/>
      <c r="N16" s="94">
        <f ca="1">SUM(N7:N15)</f>
        <v>257.5177299126226</v>
      </c>
      <c r="O16" s="79" t="s">
        <v>88</v>
      </c>
      <c r="P16" s="92">
        <f ca="1">U16-U18</f>
        <v>114.7457386201495</v>
      </c>
      <c r="Q16" s="85">
        <v>45</v>
      </c>
      <c r="R16" s="85">
        <v>0.25</v>
      </c>
      <c r="S16" s="86">
        <f t="shared" ca="1" si="19"/>
        <v>1091.93631432438</v>
      </c>
      <c r="T16" s="24" t="s">
        <v>12</v>
      </c>
      <c r="U16" s="86">
        <f t="shared" ca="1" si="6"/>
        <v>20979.784078581099</v>
      </c>
      <c r="V16" s="93"/>
      <c r="Y16" s="16"/>
      <c r="Z16" s="94">
        <f ca="1">SUM(Z7:Z15)</f>
        <v>235.59782197911773</v>
      </c>
      <c r="AA16" s="79" t="s">
        <v>88</v>
      </c>
      <c r="AB16" s="93">
        <f ca="1">AC18-AC16</f>
        <v>109.33693016902544</v>
      </c>
      <c r="AC16" s="86">
        <f t="shared" ca="1" si="7"/>
        <v>20442.014536334296</v>
      </c>
      <c r="AD16" s="24" t="s">
        <v>12</v>
      </c>
      <c r="AE16" s="86">
        <f t="shared" ca="1" si="8"/>
        <v>1059.1418546628213</v>
      </c>
      <c r="AF16" s="85">
        <f t="shared" si="9"/>
        <v>0.25</v>
      </c>
      <c r="AG16" s="85">
        <f t="shared" si="10"/>
        <v>45</v>
      </c>
    </row>
    <row r="17" spans="1:36" s="16" customFormat="1" x14ac:dyDescent="0.3">
      <c r="A17" s="60">
        <f>90-A9</f>
        <v>7.5</v>
      </c>
      <c r="B17" s="60">
        <f t="shared" si="11"/>
        <v>4.1666666666666664E-2</v>
      </c>
      <c r="C17" s="14">
        <f t="shared" ca="1" si="2"/>
        <v>1078.2111922431748</v>
      </c>
      <c r="D17" s="13" t="s">
        <v>5</v>
      </c>
      <c r="E17" s="10">
        <f t="shared" ca="1" si="12"/>
        <v>20751.725466343469</v>
      </c>
      <c r="F17" s="10">
        <f t="shared" ca="1" si="13"/>
        <v>20662.102272959743</v>
      </c>
      <c r="G17" s="17" t="s">
        <v>4</v>
      </c>
      <c r="H17" s="14">
        <f t="shared" ca="1" si="3"/>
        <v>1072.7454489662487</v>
      </c>
      <c r="I17" s="60">
        <f t="shared" si="4"/>
        <v>4.1666666666666664E-2</v>
      </c>
      <c r="J17" s="61">
        <f>90-J9</f>
        <v>7.5</v>
      </c>
      <c r="L17" s="18"/>
      <c r="M17" s="18"/>
      <c r="O17" s="79"/>
      <c r="Q17" s="83">
        <v>38.200000000000003</v>
      </c>
      <c r="R17" s="83">
        <f>Q17/180</f>
        <v>0.21222222222222223</v>
      </c>
      <c r="S17" s="84">
        <f t="shared" ca="1" si="19"/>
        <v>1089.4410489771117</v>
      </c>
      <c r="T17" s="90">
        <v>0.38200000000000001</v>
      </c>
      <c r="U17" s="84">
        <f t="shared" ca="1" si="6"/>
        <v>20938.003600394033</v>
      </c>
      <c r="V17" s="92">
        <f ca="1">U17-U19</f>
        <v>89.066934990343725</v>
      </c>
      <c r="W17" s="16" t="s">
        <v>94</v>
      </c>
      <c r="X17" s="93">
        <f ca="1">U17-U19</f>
        <v>89.066934990343725</v>
      </c>
      <c r="AA17" s="79"/>
      <c r="AC17" s="84">
        <f t="shared" ca="1" si="7"/>
        <v>20481.504422731468</v>
      </c>
      <c r="AD17" s="90">
        <v>0.38200000000000001</v>
      </c>
      <c r="AE17" s="84">
        <f t="shared" ca="1" si="8"/>
        <v>1061.6021965532993</v>
      </c>
      <c r="AF17" s="83">
        <f t="shared" si="9"/>
        <v>0.21222222222222223</v>
      </c>
      <c r="AG17" s="83">
        <f t="shared" si="10"/>
        <v>38.200000000000003</v>
      </c>
      <c r="AH17" s="93">
        <f ca="1">AC19-AC17</f>
        <v>85.413875105972693</v>
      </c>
      <c r="AI17" s="16" t="s">
        <v>94</v>
      </c>
      <c r="AJ17" s="93">
        <f ca="1">AC19-AC17</f>
        <v>85.413875105972693</v>
      </c>
    </row>
    <row r="18" spans="1:36" s="16" customFormat="1" x14ac:dyDescent="0.3">
      <c r="A18" s="60">
        <f>90-A8</f>
        <v>3.75</v>
      </c>
      <c r="B18" s="60">
        <f t="shared" si="11"/>
        <v>2.0833333333333332E-2</v>
      </c>
      <c r="C18" s="14">
        <f ca="1">POWER(SQRT($K$4)+B18,2)</f>
        <v>1076.8434543406102</v>
      </c>
      <c r="D18" s="13" t="s">
        <v>3</v>
      </c>
      <c r="E18" s="10">
        <f t="shared" ca="1" si="12"/>
        <v>20729.2342386321</v>
      </c>
      <c r="F18" s="10">
        <f t="shared" ca="1" si="13"/>
        <v>20684.422696193709</v>
      </c>
      <c r="G18" s="17" t="s">
        <v>2</v>
      </c>
      <c r="H18" s="14">
        <f t="shared" ca="1" si="3"/>
        <v>1074.1105827021465</v>
      </c>
      <c r="I18" s="60">
        <f t="shared" si="4"/>
        <v>2.0833333333333332E-2</v>
      </c>
      <c r="J18" s="61">
        <f>90-J8</f>
        <v>3.75</v>
      </c>
      <c r="L18" s="18"/>
      <c r="M18" s="18"/>
      <c r="O18" s="79" t="s">
        <v>87</v>
      </c>
      <c r="P18" s="93">
        <f ca="1">U18-U21</f>
        <v>68.159233943031722</v>
      </c>
      <c r="Q18" s="85">
        <v>26.25</v>
      </c>
      <c r="R18" s="85">
        <v>0.14583333333333334</v>
      </c>
      <c r="S18" s="86">
        <f t="shared" ca="1" si="19"/>
        <v>1085.0629025893331</v>
      </c>
      <c r="T18" s="45" t="s">
        <v>11</v>
      </c>
      <c r="U18" s="86">
        <f t="shared" ca="1" si="6"/>
        <v>20865.038339960949</v>
      </c>
      <c r="V18" s="93"/>
      <c r="Y18" s="1"/>
      <c r="Z18" s="1"/>
      <c r="AA18" s="79" t="s">
        <v>87</v>
      </c>
      <c r="AB18" s="92">
        <f ca="1">AC21-AC18</f>
        <v>66.280384691588552</v>
      </c>
      <c r="AC18" s="86">
        <f t="shared" ca="1" si="7"/>
        <v>20551.351466503322</v>
      </c>
      <c r="AD18" s="45" t="s">
        <v>10</v>
      </c>
      <c r="AE18" s="86">
        <f t="shared" ca="1" si="8"/>
        <v>1065.9328011200903</v>
      </c>
      <c r="AF18" s="85">
        <f t="shared" si="9"/>
        <v>0.14583333333333334</v>
      </c>
      <c r="AG18" s="85">
        <f t="shared" si="10"/>
        <v>26.25</v>
      </c>
    </row>
    <row r="19" spans="1:36" x14ac:dyDescent="0.3">
      <c r="E19" s="8"/>
      <c r="F19" s="8"/>
      <c r="H19" s="8"/>
      <c r="Q19" s="83">
        <v>23.6</v>
      </c>
      <c r="R19" s="83">
        <f>Q19/180</f>
        <v>0.13111111111111112</v>
      </c>
      <c r="S19" s="84">
        <f t="shared" ca="1" si="19"/>
        <v>1084.0932107060883</v>
      </c>
      <c r="T19" s="90">
        <v>0.23599999999999999</v>
      </c>
      <c r="U19" s="84">
        <f t="shared" ca="1" si="6"/>
        <v>20848.936665403689</v>
      </c>
      <c r="V19" s="93">
        <f ca="1">U19-U21</f>
        <v>52.057559385772038</v>
      </c>
      <c r="W19" s="16" t="s">
        <v>93</v>
      </c>
      <c r="X19" s="94">
        <f ca="1">SUM(X7:X18)</f>
        <v>475.76528736395267</v>
      </c>
      <c r="Y19" s="11"/>
      <c r="Z19" s="11"/>
      <c r="AB19" s="11"/>
      <c r="AC19" s="84">
        <f t="shared" ca="1" si="7"/>
        <v>20566.918297837441</v>
      </c>
      <c r="AD19" s="90">
        <v>0.23599999999999999</v>
      </c>
      <c r="AE19" s="84">
        <f t="shared" ca="1" si="8"/>
        <v>1066.8943385280265</v>
      </c>
      <c r="AF19" s="83">
        <f t="shared" si="9"/>
        <v>0.13111111111111112</v>
      </c>
      <c r="AG19" s="83">
        <f t="shared" si="10"/>
        <v>23.6</v>
      </c>
      <c r="AH19" s="92">
        <f ca="1">AC21-AC19</f>
        <v>50.713553357469209</v>
      </c>
      <c r="AI19" s="16" t="s">
        <v>93</v>
      </c>
      <c r="AJ19" s="94">
        <f ca="1">SUM(AJ7:AJ18)</f>
        <v>437.53326336858663</v>
      </c>
    </row>
    <row r="20" spans="1:36" s="11" customFormat="1" x14ac:dyDescent="0.3">
      <c r="A20" s="70" t="s">
        <v>51</v>
      </c>
      <c r="B20" s="54">
        <f ca="1">IF(B26=0,"",(B26-$C$26)/$C$26)</f>
        <v>-2.5632749137577047E-2</v>
      </c>
      <c r="C20" s="55"/>
      <c r="D20" s="54">
        <f ca="1">IF(D26=0,"",(D26-$C$26)/$C$26)</f>
        <v>5.5379685926065774E-3</v>
      </c>
      <c r="E20" s="54">
        <f t="shared" ref="E20:J20" ca="1" si="20">IF(E26=0,"",(E26-$C$26)/$C$26)</f>
        <v>7.7724422228714141E-3</v>
      </c>
      <c r="F20" s="54">
        <f t="shared" ca="1" si="20"/>
        <v>8.8938221376465443E-3</v>
      </c>
      <c r="G20" s="54">
        <f t="shared" ca="1" si="20"/>
        <v>1.1144881096423576E-2</v>
      </c>
      <c r="H20" s="54">
        <f t="shared" ca="1" si="20"/>
        <v>1.2274565312401394E-2</v>
      </c>
      <c r="I20" s="54" t="str">
        <f t="shared" si="20"/>
        <v/>
      </c>
      <c r="J20" s="54" t="str">
        <f t="shared" si="20"/>
        <v/>
      </c>
      <c r="Q20" s="85">
        <v>18.75</v>
      </c>
      <c r="R20" s="85">
        <v>0.10416666666666667</v>
      </c>
      <c r="S20" s="86">
        <f t="shared" ca="1" si="19"/>
        <v>1082.319614284203</v>
      </c>
      <c r="T20" s="45" t="s">
        <v>9</v>
      </c>
      <c r="U20" s="86">
        <f t="shared" ca="1" si="6"/>
        <v>20819.541626487942</v>
      </c>
      <c r="V20" s="1"/>
      <c r="W20" s="1"/>
      <c r="AC20" s="86">
        <f t="shared" ca="1" si="7"/>
        <v>20595.481744157099</v>
      </c>
      <c r="AD20" s="45" t="s">
        <v>8</v>
      </c>
      <c r="AE20" s="86">
        <f t="shared" ca="1" si="8"/>
        <v>1068.6552560918872</v>
      </c>
      <c r="AF20" s="85">
        <f t="shared" si="9"/>
        <v>0.10416666666666667</v>
      </c>
      <c r="AG20" s="85">
        <f t="shared" si="10"/>
        <v>18.75</v>
      </c>
      <c r="AI20" s="1"/>
    </row>
    <row r="21" spans="1:36" s="11" customFormat="1" x14ac:dyDescent="0.3">
      <c r="A21" s="5" t="s">
        <v>48</v>
      </c>
      <c r="B21" s="54">
        <f ca="1">IF(B26=0,"",B22/$M$4)</f>
        <v>-0.21594247776377345</v>
      </c>
      <c r="C21" s="55"/>
      <c r="D21" s="54">
        <f ca="1">IF(D26=0,"",D22/$M$4)</f>
        <v>4.6654483030549539E-2</v>
      </c>
      <c r="E21" s="54">
        <f t="shared" ref="E21:J21" ca="1" si="21">IF(E26=0,"",E22/$M$4)</f>
        <v>6.5478752313076177E-2</v>
      </c>
      <c r="F21" s="54">
        <f t="shared" ca="1" si="21"/>
        <v>7.4925790397496028E-2</v>
      </c>
      <c r="G21" s="54">
        <f t="shared" ca="1" si="21"/>
        <v>9.3889782380628325E-2</v>
      </c>
      <c r="H21" s="54">
        <f t="shared" ca="1" si="21"/>
        <v>0.10340677985052731</v>
      </c>
      <c r="I21" s="54" t="str">
        <f t="shared" si="21"/>
        <v/>
      </c>
      <c r="J21" s="54" t="str">
        <f t="shared" si="21"/>
        <v/>
      </c>
      <c r="L21" s="52"/>
      <c r="O21" s="11" t="s">
        <v>86</v>
      </c>
      <c r="P21" s="95">
        <f ca="1">SUM(P7:P20)</f>
        <v>369.49544064431029</v>
      </c>
      <c r="Q21" s="85">
        <v>15</v>
      </c>
      <c r="R21" s="85">
        <v>8.3333333333333329E-2</v>
      </c>
      <c r="S21" s="86">
        <f ca="1">C16</f>
        <v>1080.9492722149716</v>
      </c>
      <c r="T21" s="24" t="s">
        <v>7</v>
      </c>
      <c r="U21" s="86">
        <f t="shared" ca="1" si="6"/>
        <v>20796.879106017917</v>
      </c>
      <c r="V21" s="95">
        <f ca="1">SUM(V7:V20)</f>
        <v>392.13528122396383</v>
      </c>
      <c r="W21" s="11" t="s">
        <v>21</v>
      </c>
      <c r="AA21" s="11" t="s">
        <v>86</v>
      </c>
      <c r="AB21" s="95">
        <f ca="1">SUM(AB7:AB20)</f>
        <v>347.6324675366086</v>
      </c>
      <c r="AC21" s="86">
        <f t="shared" ca="1" si="7"/>
        <v>20617.63185119491</v>
      </c>
      <c r="AD21" s="24" t="s">
        <v>6</v>
      </c>
      <c r="AE21" s="86">
        <f t="shared" ca="1" si="8"/>
        <v>1070.0177856611185</v>
      </c>
      <c r="AF21" s="85">
        <f t="shared" si="9"/>
        <v>8.3333333333333329E-2</v>
      </c>
      <c r="AG21" s="85">
        <f t="shared" si="10"/>
        <v>15</v>
      </c>
      <c r="AH21" s="95">
        <f ca="1">SUM(AH7:AH20)</f>
        <v>368.03353967003204</v>
      </c>
      <c r="AI21" s="11" t="s">
        <v>21</v>
      </c>
    </row>
    <row r="22" spans="1:36" s="11" customFormat="1" x14ac:dyDescent="0.3">
      <c r="A22" s="5" t="s">
        <v>38</v>
      </c>
      <c r="B22" s="31">
        <f ca="1">IF(B26=0,"",B23*$B$4*$L$4)</f>
        <v>-21510.781689872092</v>
      </c>
      <c r="C22" s="31"/>
      <c r="D22" s="31">
        <f ca="1">IF(D26=0,"",D23*$B$4*$L$4)</f>
        <v>4647.4154122739856</v>
      </c>
      <c r="E22" s="31">
        <f t="shared" ref="E22:J22" ca="1" si="22">IF(E26=0,"",E23*$B$4*$L$4)</f>
        <v>6522.5663839635672</v>
      </c>
      <c r="F22" s="31">
        <f t="shared" ca="1" si="22"/>
        <v>7463.618723245163</v>
      </c>
      <c r="G22" s="31">
        <f t="shared" ca="1" si="22"/>
        <v>9352.6879593770718</v>
      </c>
      <c r="H22" s="31">
        <f t="shared" ca="1" si="22"/>
        <v>10300.709196504904</v>
      </c>
      <c r="I22" s="31" t="str">
        <f t="shared" si="22"/>
        <v/>
      </c>
      <c r="J22" s="31" t="str">
        <f t="shared" si="22"/>
        <v/>
      </c>
      <c r="L22" s="53"/>
      <c r="Q22" s="85">
        <v>7.5</v>
      </c>
      <c r="R22" s="85">
        <v>4.1666666666666664E-2</v>
      </c>
      <c r="S22" s="86">
        <f ca="1">C17</f>
        <v>1078.2111922431748</v>
      </c>
      <c r="T22" s="45" t="s">
        <v>5</v>
      </c>
      <c r="U22" s="86">
        <f t="shared" ca="1" si="6"/>
        <v>20751.725466343469</v>
      </c>
      <c r="AC22" s="86">
        <f t="shared" ca="1" si="7"/>
        <v>20662.102272959743</v>
      </c>
      <c r="AD22" s="45" t="s">
        <v>4</v>
      </c>
      <c r="AE22" s="86">
        <f t="shared" ca="1" si="8"/>
        <v>1072.7454489662487</v>
      </c>
      <c r="AF22" s="85">
        <f t="shared" si="9"/>
        <v>4.1666666666666664E-2</v>
      </c>
      <c r="AG22" s="85">
        <f t="shared" si="10"/>
        <v>7.5</v>
      </c>
    </row>
    <row r="23" spans="1:36" s="11" customFormat="1" x14ac:dyDescent="0.3">
      <c r="A23" s="5" t="s">
        <v>39</v>
      </c>
      <c r="B23" s="31">
        <f ca="1">IF(B26=0,"",B26-$C$26)</f>
        <v>-537.7695422468023</v>
      </c>
      <c r="C23" s="31">
        <f ca="1">C26-$J$4</f>
        <v>272.98407858109567</v>
      </c>
      <c r="D23" s="31">
        <f ca="1">IF(D26=0,"",D26-$C$26)</f>
        <v>116.18538530684964</v>
      </c>
      <c r="E23" s="31">
        <f t="shared" ref="E23:J23" ca="1" si="23">IF(E26=0,"",E26-$C$26)</f>
        <v>163.06415959908918</v>
      </c>
      <c r="F23" s="31">
        <f t="shared" ca="1" si="23"/>
        <v>186.59046808112907</v>
      </c>
      <c r="G23" s="31">
        <f t="shared" ca="1" si="23"/>
        <v>233.8171989844268</v>
      </c>
      <c r="H23" s="31">
        <f t="shared" ca="1" si="23"/>
        <v>257.5177299126226</v>
      </c>
      <c r="I23" s="31" t="str">
        <f t="shared" si="23"/>
        <v/>
      </c>
      <c r="J23" s="31" t="str">
        <f t="shared" si="23"/>
        <v/>
      </c>
      <c r="M23" s="72"/>
      <c r="O23" s="11" t="s">
        <v>102</v>
      </c>
      <c r="Q23" s="85">
        <v>3.75</v>
      </c>
      <c r="R23" s="85">
        <v>2.0833333333333332E-2</v>
      </c>
      <c r="S23" s="86">
        <f ca="1">C18</f>
        <v>1076.8434543406102</v>
      </c>
      <c r="T23" s="45" t="s">
        <v>3</v>
      </c>
      <c r="U23" s="86">
        <f t="shared" ca="1" si="6"/>
        <v>20729.2342386321</v>
      </c>
      <c r="V23" s="78"/>
      <c r="AA23" s="11" t="s">
        <v>102</v>
      </c>
      <c r="AC23" s="86">
        <f t="shared" ca="1" si="7"/>
        <v>20684.422696193709</v>
      </c>
      <c r="AD23" s="45" t="s">
        <v>2</v>
      </c>
      <c r="AE23" s="86">
        <f t="shared" ca="1" si="8"/>
        <v>1074.1105827021465</v>
      </c>
      <c r="AF23" s="85">
        <f t="shared" si="9"/>
        <v>2.0833333333333332E-2</v>
      </c>
      <c r="AG23" s="85">
        <f t="shared" si="10"/>
        <v>3.75</v>
      </c>
    </row>
    <row r="24" spans="1:36" s="11" customFormat="1" x14ac:dyDescent="0.3">
      <c r="A24" s="7"/>
      <c r="B24" s="9"/>
      <c r="C24" s="9"/>
      <c r="D24" s="9"/>
      <c r="E24" s="9"/>
      <c r="F24" s="9"/>
      <c r="G24" s="9"/>
      <c r="H24" s="9"/>
      <c r="I24" s="9"/>
      <c r="J24" s="9"/>
    </row>
    <row r="25" spans="1:36" s="11" customFormat="1" x14ac:dyDescent="0.3">
      <c r="A25" s="5" t="s">
        <v>40</v>
      </c>
      <c r="B25" s="5" t="s">
        <v>33</v>
      </c>
      <c r="C25" s="5" t="s">
        <v>21</v>
      </c>
      <c r="D25" s="5" t="s">
        <v>22</v>
      </c>
      <c r="E25" s="5" t="s">
        <v>23</v>
      </c>
      <c r="F25" s="5" t="s">
        <v>24</v>
      </c>
      <c r="G25" s="5" t="s">
        <v>25</v>
      </c>
      <c r="H25" s="5" t="s">
        <v>26</v>
      </c>
      <c r="I25" s="5" t="s">
        <v>27</v>
      </c>
      <c r="J25" s="5" t="s">
        <v>28</v>
      </c>
      <c r="K25" s="5" t="s">
        <v>83</v>
      </c>
    </row>
    <row r="26" spans="1:36" s="11" customFormat="1" x14ac:dyDescent="0.3">
      <c r="A26" s="43" t="s">
        <v>31</v>
      </c>
      <c r="B26" s="26">
        <f ca="1">IF(($C$4*SQRT(365))&gt;=50,F13,F16)</f>
        <v>20442.014536334296</v>
      </c>
      <c r="C26" s="22">
        <f ca="1">IF(($C$4*SQRT(365))&gt;=50,E13,E16)</f>
        <v>20979.784078581099</v>
      </c>
      <c r="D26" s="22">
        <f ca="1">IF(($C$4*SQRT(365))&gt;=50,E12,E14)</f>
        <v>21095.969463887948</v>
      </c>
      <c r="E26" s="22">
        <f ca="1">IF(($C$4*SQRT(365))&gt;=50,E11,E13)</f>
        <v>21142.848238180188</v>
      </c>
      <c r="F26" s="22">
        <f ca="1">IF(($C$4*SQRT(365))&gt;=50,E10,E12)</f>
        <v>21166.374546662228</v>
      </c>
      <c r="G26" s="22">
        <f ca="1">IF(($C$4*SQRT(365))&gt;=50,E9,E11)</f>
        <v>21213.601277565525</v>
      </c>
      <c r="H26" s="22">
        <f ca="1">IF(($C$4*SQRT(365))&gt;=50,E8,E10)</f>
        <v>21237.301808493721</v>
      </c>
      <c r="I26" s="22">
        <f>IF(($C$4*SQRT(365))&gt;=50,0,E9)</f>
        <v>0</v>
      </c>
      <c r="J26" s="22">
        <f>IF(($C$4*SQRT(365))&gt;=50,0,E8)</f>
        <v>0</v>
      </c>
      <c r="K26" s="76" t="str">
        <f ca="1">IF(($J$4/1000)&gt;=1,IF(AND(($C$4*SQRT(365))&gt;=50,OR((E13-F13)&lt;=10,(E13&lt;F13))),"Caution : Vol &gt;= 50%; Buy &amp; Sell Entry Diff. Negative or &lt; 10; Use HL Mid Point instead of Open",IF(AND(($C$4*SQRT(365))&lt;50,OR((E16-F16)&lt;=5,(E16&lt;F16))),"Caution : Vol &lt; 50%; Buy &amp; Sell Entry Diff. Negative or &lt; 10; Use HL Mid Point instead of Open",IF(($C$4*SQRT(365))&gt;=50,"No Error","No Error"))),IF(($J$4/100)&gt;=1,IF(AND(($C$4*SQRT(365))&gt;=50,OR((E13-F13)&lt;=10,(E13&lt;F13))),"Caution : Vol &gt;= 50%; Buy &amp; Sell Entry Diff. Negative or &lt; 10; Use HL Mid Point instead of Open",IF(AND(($C$4*SQRT(365))&lt;50,OR((E16-F16)&lt;=5,(E16&lt;F16))),"Caution : Vol &lt; 50%; Buy &amp; Sell Entry Diff. Negative or &lt; 10; Use HL Mid Point instead of Open",IF(($C$4*SQRT(365))&gt;=50,"No Error","No Error"))),"Multiply Open / Mid-Point Price with 10 / 100 / 1000 to make it a 3 Digit or 4 Digit Number"))</f>
        <v>No Error</v>
      </c>
      <c r="L26" s="78">
        <f ca="1">H26-C26</f>
        <v>257.5177299126226</v>
      </c>
      <c r="M26" s="78"/>
    </row>
    <row r="27" spans="1:36" s="11" customFormat="1" x14ac:dyDescent="0.3">
      <c r="A27" s="25" t="s">
        <v>32</v>
      </c>
      <c r="B27" s="23">
        <f ca="1">IF(($C$4*SQRT(365))&gt;=50,E13,E16)</f>
        <v>20979.784078581099</v>
      </c>
      <c r="C27" s="27">
        <f ca="1">IF(($C$4*SQRT(365))&gt;=50,F13,F16)</f>
        <v>20442.014536334296</v>
      </c>
      <c r="D27" s="27">
        <f ca="1">IF(($C$4*SQRT(365))&gt;=50,F12,F14)</f>
        <v>20334.084700768639</v>
      </c>
      <c r="E27" s="27">
        <f ca="1">IF(($C$4*SQRT(365))&gt;=50,F11,F13)</f>
        <v>20291.305233934094</v>
      </c>
      <c r="F27" s="27">
        <f ca="1">IF(($C$4*SQRT(365))&gt;=50,F10,F12)</f>
        <v>20269.999383658302</v>
      </c>
      <c r="G27" s="27">
        <f ca="1">IF(($C$4*SQRT(365))&gt;=50,F9,F11)</f>
        <v>20227.555178122318</v>
      </c>
      <c r="H27" s="27">
        <f ca="1">IF(($C$4*SQRT(365))&gt;=50,F8,F10)</f>
        <v>20206.416714355179</v>
      </c>
      <c r="I27" s="27">
        <f>IF(($C$4*SQRT(365))&gt;=50,0,F9)</f>
        <v>0</v>
      </c>
      <c r="J27" s="27">
        <f>IF(($C$4*SQRT(365))&gt;=50,0,F8)</f>
        <v>0</v>
      </c>
      <c r="K27" s="76" t="str">
        <f ca="1">IF(($J$4/1000)&gt;=1,IF(AND(($C$4*SQRT(365))&gt;=50,OR((E13-F13)&lt;=10,(E13&lt;F13))),"VCaution : Vol &gt;= 50%; Buy &amp; Sell Entry Diff. Negative or &lt; 10; Use HL Mid Point instead of Open",IF(AND(($C$4*SQRT(365))&lt;50,OR((E16-F16)&lt;=5,(E16&lt;F16))),"Caution : Vol &lt; 50%; Buy &amp; Sell Entry Diff. Negative or &lt; 10; Use HL Mid Point instead of Open",IF(($C$4*SQRT(365))&gt;=50,"No Error","No Error"))),IF(($J$4/100)&gt;=1,IF(AND(($C$4*SQRT(365))&gt;=50,OR((E13-F13)&lt;=10,(E13&lt;F13))),"Caution : Vol &gt;= 50%; Buy &amp; Sell Entry Diff. Negative or &lt; 10; Use HL Mid Point instead of Open",IF(AND(($C$4*SQRT(365))&lt;50,OR((E16-F16)&lt;=5,(E16&lt;F16))),"Caution : Vol &lt; 50%; Buy &amp; Sell Entry Diff. Negative or &lt; 10; Use HL Mid Point instead of Open",IF(($C$4*SQRT(365))&gt;=50,"No Error","No Error"))),"Multiply Open / Mid-Point Price with 10 / 100 / 1000 to make it a 3 Digit or 4 Digit Number"))</f>
        <v>No Error</v>
      </c>
      <c r="L27" s="78">
        <f ca="1">C27-H27</f>
        <v>235.59782197911773</v>
      </c>
      <c r="M27" s="78"/>
    </row>
    <row r="28" spans="1:36" s="11" customFormat="1" x14ac:dyDescent="0.3">
      <c r="A28" s="7"/>
      <c r="B28" s="9"/>
      <c r="C28" s="9"/>
      <c r="D28" s="9"/>
      <c r="E28" s="9"/>
      <c r="F28" s="9"/>
      <c r="G28" s="9"/>
      <c r="H28" s="9"/>
      <c r="I28" s="9"/>
      <c r="J28" s="9"/>
    </row>
    <row r="29" spans="1:36" s="11" customFormat="1" x14ac:dyDescent="0.3">
      <c r="A29" s="5" t="s">
        <v>39</v>
      </c>
      <c r="B29" s="31">
        <f ca="1">IF(B27=0,"",$C$27-B27)</f>
        <v>-537.7695422468023</v>
      </c>
      <c r="C29" s="31">
        <f ca="1">$J$4-C27</f>
        <v>264.78546366570663</v>
      </c>
      <c r="D29" s="31">
        <f ca="1">IF(D27=0,"",$C$27-D27)</f>
        <v>107.92983556565741</v>
      </c>
      <c r="E29" s="31">
        <f t="shared" ref="E29:J29" ca="1" si="24">IF(E27=0,"",$C$27-E27)</f>
        <v>150.70930240020243</v>
      </c>
      <c r="F29" s="31">
        <f t="shared" ca="1" si="24"/>
        <v>172.01515267599461</v>
      </c>
      <c r="G29" s="31">
        <f t="shared" ca="1" si="24"/>
        <v>214.45935821197781</v>
      </c>
      <c r="H29" s="31">
        <f t="shared" ca="1" si="24"/>
        <v>235.59782197911773</v>
      </c>
      <c r="I29" s="31" t="str">
        <f t="shared" si="24"/>
        <v/>
      </c>
      <c r="J29" s="31" t="str">
        <f t="shared" si="24"/>
        <v/>
      </c>
    </row>
    <row r="30" spans="1:36" s="11" customFormat="1" x14ac:dyDescent="0.3">
      <c r="A30" s="5" t="s">
        <v>38</v>
      </c>
      <c r="B30" s="31">
        <f ca="1">IF(B27=0,"",B29*$B$4*$L$4)</f>
        <v>-21510.781689872092</v>
      </c>
      <c r="C30" s="31"/>
      <c r="D30" s="31">
        <f ca="1">IF(D27=0,"",D29*$B$4*$L$4)</f>
        <v>4317.1934226262965</v>
      </c>
      <c r="E30" s="31">
        <f t="shared" ref="E30:J30" ca="1" si="25">IF(E27=0,"",E29*$B$4*$L$4)</f>
        <v>6028.3720960080973</v>
      </c>
      <c r="F30" s="31">
        <f t="shared" ca="1" si="25"/>
        <v>6880.6061070397845</v>
      </c>
      <c r="G30" s="31">
        <f t="shared" ca="1" si="25"/>
        <v>8578.3743284791126</v>
      </c>
      <c r="H30" s="31">
        <f t="shared" ca="1" si="25"/>
        <v>9423.912879164709</v>
      </c>
      <c r="I30" s="31" t="str">
        <f t="shared" si="25"/>
        <v/>
      </c>
      <c r="J30" s="31" t="str">
        <f t="shared" si="25"/>
        <v/>
      </c>
      <c r="K30" s="3"/>
      <c r="L30" s="3"/>
      <c r="M30" s="3"/>
    </row>
    <row r="31" spans="1:36" s="11" customFormat="1" x14ac:dyDescent="0.3">
      <c r="A31" s="5" t="s">
        <v>48</v>
      </c>
      <c r="B31" s="54">
        <f ca="1">IF(B27=0,"",B30/$M$4)</f>
        <v>-0.21594247776377345</v>
      </c>
      <c r="C31" s="31"/>
      <c r="D31" s="54">
        <f ca="1">IF(D27=0,"",D30/$M$4)</f>
        <v>4.3339449867892343E-2</v>
      </c>
      <c r="E31" s="54">
        <f t="shared" ref="E31:J31" ca="1" si="26">IF(E27=0,"",E30/$M$4)</f>
        <v>6.051763371792751E-2</v>
      </c>
      <c r="F31" s="54">
        <f t="shared" ca="1" si="26"/>
        <v>6.9073042193082551E-2</v>
      </c>
      <c r="G31" s="54">
        <f t="shared" ca="1" si="26"/>
        <v>8.6116601171639745E-2</v>
      </c>
      <c r="H31" s="54">
        <f t="shared" ca="1" si="26"/>
        <v>9.4604795246232831E-2</v>
      </c>
      <c r="I31" s="54" t="str">
        <f t="shared" si="26"/>
        <v/>
      </c>
      <c r="J31" s="54" t="str">
        <f t="shared" si="26"/>
        <v/>
      </c>
      <c r="K31" s="3"/>
      <c r="L31" s="3"/>
      <c r="M31" s="3"/>
    </row>
    <row r="32" spans="1:36" s="11" customFormat="1" x14ac:dyDescent="0.3">
      <c r="A32" s="70" t="s">
        <v>51</v>
      </c>
      <c r="B32" s="71">
        <f ca="1">IF(B27=0,"",($C$27-B27)/$C$27)</f>
        <v>-2.6307071707191744E-2</v>
      </c>
      <c r="C32" s="31"/>
      <c r="D32" s="71">
        <f ca="1">IF(D27=0,"",($C$27-D27)/$C$27)</f>
        <v>5.2798042665422942E-3</v>
      </c>
      <c r="E32" s="71">
        <f t="shared" ref="E32:J32" ca="1" si="27">IF(E27=0,"",($C$27-E27)/$C$27)</f>
        <v>7.3725269166757933E-3</v>
      </c>
      <c r="F32" s="71">
        <f t="shared" ca="1" si="27"/>
        <v>8.4147847742818763E-3</v>
      </c>
      <c r="G32" s="71">
        <f t="shared" ca="1" si="27"/>
        <v>1.0491106824662063E-2</v>
      </c>
      <c r="H32" s="71">
        <f t="shared" ca="1" si="27"/>
        <v>1.1525176325472158E-2</v>
      </c>
      <c r="I32" s="71" t="str">
        <f t="shared" si="27"/>
        <v/>
      </c>
      <c r="J32" s="71" t="str">
        <f t="shared" si="27"/>
        <v/>
      </c>
      <c r="K32" s="51"/>
      <c r="L32" s="3"/>
      <c r="M32" s="3"/>
      <c r="N32" s="3"/>
    </row>
    <row r="33" spans="1:14" s="11" customFormat="1" x14ac:dyDescent="0.3">
      <c r="A33" s="7"/>
      <c r="B33" s="69"/>
      <c r="C33" s="51"/>
      <c r="D33" s="69"/>
      <c r="E33" s="69"/>
      <c r="F33" s="69"/>
      <c r="G33" s="69"/>
      <c r="H33" s="69"/>
      <c r="I33" s="69"/>
      <c r="J33" s="69"/>
      <c r="K33" s="51"/>
      <c r="L33" s="3"/>
      <c r="M33" s="3"/>
      <c r="N33" s="3"/>
    </row>
    <row r="34" spans="1:14" x14ac:dyDescent="0.3">
      <c r="A34" s="2" t="s">
        <v>37</v>
      </c>
      <c r="C34" s="2"/>
      <c r="E34" s="28"/>
      <c r="F34" s="28"/>
      <c r="G34" s="2"/>
      <c r="H34" s="8"/>
    </row>
    <row r="35" spans="1:14" s="11" customFormat="1" x14ac:dyDescent="0.3">
      <c r="A35" s="68" t="s">
        <v>70</v>
      </c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3"/>
      <c r="M35" s="3"/>
      <c r="N35" s="3"/>
    </row>
    <row r="36" spans="1:14" s="11" customFormat="1" x14ac:dyDescent="0.3">
      <c r="A36" s="68" t="s">
        <v>71</v>
      </c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3"/>
      <c r="M36" s="3"/>
      <c r="N36" s="3"/>
    </row>
    <row r="37" spans="1:14" s="11" customFormat="1" x14ac:dyDescent="0.3">
      <c r="A37" s="68" t="s">
        <v>72</v>
      </c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3"/>
      <c r="M37" s="3"/>
      <c r="N37" s="3"/>
    </row>
    <row r="38" spans="1:14" s="11" customFormat="1" x14ac:dyDescent="0.3">
      <c r="A38" s="3" t="s">
        <v>73</v>
      </c>
    </row>
    <row r="39" spans="1:14" s="11" customFormat="1" x14ac:dyDescent="0.3">
      <c r="A39" s="3" t="s">
        <v>74</v>
      </c>
    </row>
    <row r="40" spans="1:14" s="11" customFormat="1" x14ac:dyDescent="0.3">
      <c r="A40" s="3" t="s">
        <v>104</v>
      </c>
    </row>
    <row r="41" spans="1:14" s="11" customFormat="1" x14ac:dyDescent="0.3">
      <c r="A41" s="3" t="s">
        <v>103</v>
      </c>
    </row>
    <row r="42" spans="1:14" s="11" customFormat="1" x14ac:dyDescent="0.3">
      <c r="A42" s="72" t="s">
        <v>68</v>
      </c>
    </row>
    <row r="43" spans="1:14" s="11" customFormat="1" x14ac:dyDescent="0.3">
      <c r="A43" s="11" t="s">
        <v>69</v>
      </c>
    </row>
    <row r="44" spans="1:14" s="11" customFormat="1" ht="15.05" x14ac:dyDescent="0.3">
      <c r="A44" s="50" t="s">
        <v>47</v>
      </c>
    </row>
    <row r="45" spans="1:14" s="11" customFormat="1" x14ac:dyDescent="0.3"/>
    <row r="46" spans="1:14" s="11" customFormat="1" x14ac:dyDescent="0.3"/>
    <row r="47" spans="1:14" s="11" customFormat="1" x14ac:dyDescent="0.3"/>
    <row r="48" spans="1:14" s="11" customFormat="1" x14ac:dyDescent="0.3"/>
    <row r="49" s="11" customFormat="1" x14ac:dyDescent="0.3"/>
    <row r="50" s="11" customFormat="1" x14ac:dyDescent="0.3"/>
    <row r="51" s="11" customFormat="1" x14ac:dyDescent="0.3"/>
    <row r="52" s="11" customFormat="1" x14ac:dyDescent="0.3"/>
    <row r="53" s="11" customFormat="1" x14ac:dyDescent="0.3"/>
    <row r="54" s="11" customFormat="1" x14ac:dyDescent="0.3"/>
    <row r="55" s="11" customFormat="1" x14ac:dyDescent="0.3"/>
    <row r="56" s="11" customFormat="1" x14ac:dyDescent="0.3"/>
    <row r="57" s="11" customFormat="1" x14ac:dyDescent="0.3"/>
    <row r="58" s="11" customFormat="1" x14ac:dyDescent="0.3"/>
    <row r="59" s="11" customFormat="1" x14ac:dyDescent="0.3"/>
    <row r="60" s="11" customFormat="1" x14ac:dyDescent="0.3"/>
    <row r="61" s="11" customFormat="1" x14ac:dyDescent="0.3"/>
    <row r="62" s="11" customFormat="1" x14ac:dyDescent="0.3"/>
    <row r="63" s="11" customFormat="1" x14ac:dyDescent="0.3"/>
    <row r="64" s="11" customFormat="1" x14ac:dyDescent="0.3"/>
    <row r="65" s="11" customFormat="1" x14ac:dyDescent="0.3"/>
    <row r="66" s="11" customFormat="1" x14ac:dyDescent="0.3"/>
    <row r="67" s="11" customFormat="1" x14ac:dyDescent="0.3"/>
    <row r="68" s="11" customFormat="1" x14ac:dyDescent="0.3"/>
    <row r="69" s="11" customFormat="1" x14ac:dyDescent="0.3"/>
    <row r="70" s="11" customFormat="1" x14ac:dyDescent="0.3"/>
    <row r="71" s="11" customFormat="1" x14ac:dyDescent="0.3"/>
    <row r="72" s="11" customFormat="1" x14ac:dyDescent="0.3"/>
    <row r="73" s="11" customFormat="1" x14ac:dyDescent="0.3"/>
    <row r="74" s="11" customFormat="1" x14ac:dyDescent="0.3"/>
    <row r="75" s="11" customFormat="1" x14ac:dyDescent="0.3"/>
    <row r="76" s="11" customFormat="1" x14ac:dyDescent="0.3"/>
    <row r="77" s="11" customFormat="1" x14ac:dyDescent="0.3"/>
    <row r="78" s="11" customFormat="1" x14ac:dyDescent="0.3"/>
    <row r="79" s="11" customFormat="1" x14ac:dyDescent="0.3"/>
    <row r="80" s="11" customFormat="1" x14ac:dyDescent="0.3"/>
    <row r="81" s="11" customFormat="1" x14ac:dyDescent="0.3"/>
    <row r="82" s="11" customFormat="1" x14ac:dyDescent="0.3"/>
    <row r="83" s="11" customFormat="1" x14ac:dyDescent="0.3"/>
    <row r="84" s="11" customFormat="1" x14ac:dyDescent="0.3"/>
    <row r="85" s="11" customFormat="1" x14ac:dyDescent="0.3"/>
    <row r="86" s="11" customFormat="1" x14ac:dyDescent="0.3"/>
    <row r="87" s="11" customFormat="1" x14ac:dyDescent="0.3"/>
    <row r="88" s="11" customFormat="1" x14ac:dyDescent="0.3"/>
    <row r="89" s="11" customFormat="1" x14ac:dyDescent="0.3"/>
    <row r="90" s="11" customFormat="1" x14ac:dyDescent="0.3"/>
    <row r="91" s="11" customFormat="1" x14ac:dyDescent="0.3"/>
    <row r="92" s="11" customFormat="1" x14ac:dyDescent="0.3"/>
    <row r="93" s="11" customFormat="1" x14ac:dyDescent="0.3"/>
    <row r="94" s="11" customFormat="1" x14ac:dyDescent="0.3"/>
    <row r="95" s="11" customFormat="1" x14ac:dyDescent="0.3"/>
    <row r="96" s="11" customFormat="1" x14ac:dyDescent="0.3"/>
    <row r="97" s="11" customFormat="1" x14ac:dyDescent="0.3"/>
    <row r="98" s="11" customFormat="1" x14ac:dyDescent="0.3"/>
    <row r="99" s="11" customFormat="1" x14ac:dyDescent="0.3"/>
    <row r="100" s="11" customFormat="1" x14ac:dyDescent="0.3"/>
    <row r="101" s="11" customFormat="1" x14ac:dyDescent="0.3"/>
    <row r="102" s="11" customFormat="1" x14ac:dyDescent="0.3"/>
    <row r="103" s="11" customFormat="1" x14ac:dyDescent="0.3"/>
    <row r="104" s="11" customFormat="1" x14ac:dyDescent="0.3"/>
    <row r="105" s="11" customFormat="1" x14ac:dyDescent="0.3"/>
    <row r="106" s="11" customFormat="1" x14ac:dyDescent="0.3"/>
    <row r="107" s="11" customFormat="1" x14ac:dyDescent="0.3"/>
    <row r="108" s="11" customFormat="1" x14ac:dyDescent="0.3"/>
    <row r="109" s="11" customFormat="1" x14ac:dyDescent="0.3"/>
    <row r="110" s="11" customFormat="1" x14ac:dyDescent="0.3"/>
    <row r="111" s="11" customFormat="1" x14ac:dyDescent="0.3"/>
    <row r="112" s="11" customFormat="1" x14ac:dyDescent="0.3"/>
    <row r="113" s="11" customFormat="1" x14ac:dyDescent="0.3"/>
    <row r="114" s="11" customFormat="1" x14ac:dyDescent="0.3"/>
    <row r="115" s="11" customFormat="1" x14ac:dyDescent="0.3"/>
    <row r="116" s="11" customFormat="1" x14ac:dyDescent="0.3"/>
    <row r="117" s="11" customFormat="1" x14ac:dyDescent="0.3"/>
    <row r="118" s="11" customFormat="1" x14ac:dyDescent="0.3"/>
    <row r="119" s="11" customFormat="1" x14ac:dyDescent="0.3"/>
    <row r="120" s="11" customFormat="1" x14ac:dyDescent="0.3"/>
    <row r="121" s="11" customFormat="1" x14ac:dyDescent="0.3"/>
    <row r="122" s="11" customFormat="1" x14ac:dyDescent="0.3"/>
    <row r="123" s="11" customFormat="1" x14ac:dyDescent="0.3"/>
    <row r="124" s="11" customFormat="1" x14ac:dyDescent="0.3"/>
    <row r="125" s="11" customFormat="1" x14ac:dyDescent="0.3"/>
    <row r="126" s="11" customFormat="1" x14ac:dyDescent="0.3"/>
    <row r="127" s="11" customFormat="1" x14ac:dyDescent="0.3"/>
    <row r="128" s="11" customFormat="1" x14ac:dyDescent="0.3"/>
    <row r="129" s="11" customFormat="1" x14ac:dyDescent="0.3"/>
    <row r="130" s="11" customFormat="1" x14ac:dyDescent="0.3"/>
    <row r="131" s="11" customFormat="1" x14ac:dyDescent="0.3"/>
    <row r="132" s="11" customFormat="1" x14ac:dyDescent="0.3"/>
    <row r="133" s="11" customFormat="1" x14ac:dyDescent="0.3"/>
    <row r="134" s="11" customFormat="1" x14ac:dyDescent="0.3"/>
    <row r="135" s="11" customFormat="1" x14ac:dyDescent="0.3"/>
    <row r="136" s="11" customFormat="1" x14ac:dyDescent="0.3"/>
    <row r="137" s="11" customFormat="1" x14ac:dyDescent="0.3"/>
    <row r="138" s="11" customFormat="1" x14ac:dyDescent="0.3"/>
    <row r="139" s="11" customFormat="1" x14ac:dyDescent="0.3"/>
    <row r="140" s="11" customFormat="1" x14ac:dyDescent="0.3"/>
    <row r="141" s="11" customFormat="1" x14ac:dyDescent="0.3"/>
    <row r="142" s="11" customFormat="1" x14ac:dyDescent="0.3"/>
    <row r="143" s="11" customFormat="1" x14ac:dyDescent="0.3"/>
    <row r="144" s="11" customFormat="1" x14ac:dyDescent="0.3"/>
    <row r="145" s="11" customFormat="1" x14ac:dyDescent="0.3"/>
    <row r="146" s="11" customFormat="1" x14ac:dyDescent="0.3"/>
    <row r="147" s="11" customFormat="1" x14ac:dyDescent="0.3"/>
    <row r="148" s="11" customFormat="1" x14ac:dyDescent="0.3"/>
    <row r="149" s="11" customFormat="1" x14ac:dyDescent="0.3"/>
    <row r="150" s="11" customFormat="1" x14ac:dyDescent="0.3"/>
    <row r="151" s="11" customFormat="1" x14ac:dyDescent="0.3"/>
    <row r="152" s="11" customFormat="1" x14ac:dyDescent="0.3"/>
  </sheetData>
  <mergeCells count="5">
    <mergeCell ref="AH5:AJ5"/>
    <mergeCell ref="D3:E3"/>
    <mergeCell ref="N5:P5"/>
    <mergeCell ref="V5:X5"/>
    <mergeCell ref="Z5:AB5"/>
  </mergeCells>
  <conditionalFormatting sqref="C26">
    <cfRule type="containsText" dxfId="1" priority="1" operator="containsText" text="OR(Error,Multiply)">
      <formula>NOT(ISERROR(SEARCH("OR(Error,Multiply)",C26)))</formula>
    </cfRule>
  </conditionalFormatting>
  <hyperlinks>
    <hyperlink ref="A44" r:id="rId1" xr:uid="{00000000-0004-0000-0000-00000000000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45"/>
  <sheetViews>
    <sheetView zoomScale="130" zoomScaleNormal="130" workbookViewId="0">
      <pane ySplit="4" topLeftCell="A5" activePane="bottomLeft" state="frozen"/>
      <selection pane="bottomLeft" activeCell="O20" sqref="O20"/>
    </sheetView>
  </sheetViews>
  <sheetFormatPr defaultColWidth="9.109375" defaultRowHeight="12.45" x14ac:dyDescent="0.3"/>
  <cols>
    <col min="1" max="14" width="10.6640625" style="1" customWidth="1"/>
    <col min="15" max="15" width="10.33203125" style="1" bestFit="1" customWidth="1"/>
    <col min="16" max="16" width="9.109375" style="1"/>
    <col min="17" max="20" width="10" style="1" bestFit="1" customWidth="1"/>
    <col min="21" max="16384" width="9.109375" style="1"/>
  </cols>
  <sheetData>
    <row r="1" spans="1:23" x14ac:dyDescent="0.3">
      <c r="A1" s="3" t="s">
        <v>65</v>
      </c>
      <c r="F1" s="19"/>
      <c r="J1" s="3"/>
      <c r="K1" s="8"/>
      <c r="L1" s="8"/>
    </row>
    <row r="2" spans="1:23" x14ac:dyDescent="0.3">
      <c r="E2" s="19"/>
      <c r="F2" s="20"/>
    </row>
    <row r="3" spans="1:23" ht="37.35" x14ac:dyDescent="0.3">
      <c r="A3" s="4" t="s">
        <v>35</v>
      </c>
      <c r="B3" s="5" t="s">
        <v>80</v>
      </c>
      <c r="C3" s="6" t="s">
        <v>81</v>
      </c>
      <c r="D3" s="6" t="s">
        <v>66</v>
      </c>
      <c r="E3" s="96" t="s">
        <v>30</v>
      </c>
      <c r="F3" s="96"/>
      <c r="G3" s="5" t="s">
        <v>17</v>
      </c>
      <c r="H3" s="5" t="s">
        <v>18</v>
      </c>
      <c r="I3" s="5" t="s">
        <v>19</v>
      </c>
      <c r="J3" s="5" t="s">
        <v>67</v>
      </c>
      <c r="K3" s="5" t="s">
        <v>16</v>
      </c>
      <c r="L3" s="5" t="s">
        <v>84</v>
      </c>
      <c r="M3" s="6" t="s">
        <v>20</v>
      </c>
      <c r="N3" s="32" t="s">
        <v>34</v>
      </c>
      <c r="O3" s="32" t="s">
        <v>49</v>
      </c>
      <c r="P3" s="32" t="s">
        <v>29</v>
      </c>
      <c r="Q3" s="75" t="s">
        <v>82</v>
      </c>
      <c r="S3" s="8"/>
      <c r="T3" s="8"/>
    </row>
    <row r="4" spans="1:23" x14ac:dyDescent="0.3">
      <c r="A4" s="33" t="s">
        <v>36</v>
      </c>
      <c r="B4" s="34">
        <v>2</v>
      </c>
      <c r="C4" s="29">
        <f>'IntraDay - GAV'!C4</f>
        <v>5.1938328688817235</v>
      </c>
      <c r="D4" s="73">
        <v>10</v>
      </c>
      <c r="E4" s="35">
        <f ca="1">DATE(YEAR(NOW()),MONTH(NOW()),DAY(NOW()))+TIME(9,15,0)</f>
        <v>45357.385416666664</v>
      </c>
      <c r="F4" s="35">
        <f ca="1">DATE(YEAR(NOW()),MONTH(NOW()),DAY(NOW()))+TIME(10,0,0)</f>
        <v>45357.416666666664</v>
      </c>
      <c r="G4" s="36">
        <f>'[1]BNF-Nifty'!$D$4</f>
        <v>20625.75</v>
      </c>
      <c r="H4" s="37">
        <f>'[1]BNF-Nifty'!$E$4</f>
        <v>20803.400000000001</v>
      </c>
      <c r="I4" s="37">
        <f>'[1]BNF-Nifty'!$F$4</f>
        <v>20610.2</v>
      </c>
      <c r="J4" s="36">
        <f>'[1]BNF-Nifty'!$G$4</f>
        <v>20739.8</v>
      </c>
      <c r="K4" s="30">
        <f>(H4+I4+J4)/3</f>
        <v>20717.800000000003</v>
      </c>
      <c r="L4" s="30">
        <f ca="1">IF(AND(P4&gt;=E4,P4&lt;=F4),$G$4,$K$4)</f>
        <v>20717.800000000003</v>
      </c>
      <c r="M4" s="30">
        <f ca="1">L4*(C4/100*SQRT(D4))</f>
        <v>3402.7622547600145</v>
      </c>
      <c r="N4" s="38">
        <f>VLOOKUP(A4,'[2]Margin - NSE Fut (5Paisa)'!$A:$K,2,FALSE)</f>
        <v>20</v>
      </c>
      <c r="O4" s="39">
        <f>VLOOKUP(A4,'[2]Margin - NSE Fut (5Paisa)'!$A:$K,11,FALSE)*$B$4</f>
        <v>99613.48</v>
      </c>
      <c r="P4" s="40">
        <f ca="1">NOW()</f>
        <v>45357.08674953704</v>
      </c>
      <c r="Q4" s="39">
        <f>C4*SQRT(365)</f>
        <v>99.228037633043996</v>
      </c>
      <c r="S4" s="8"/>
      <c r="T4" s="8"/>
    </row>
    <row r="5" spans="1:23" x14ac:dyDescent="0.3">
      <c r="E5" s="8"/>
      <c r="F5" s="8"/>
      <c r="H5" s="8"/>
      <c r="S5" s="8"/>
      <c r="T5" s="8"/>
    </row>
    <row r="6" spans="1:23" ht="37.35" x14ac:dyDescent="0.3">
      <c r="A6" s="6" t="s">
        <v>14</v>
      </c>
      <c r="B6" s="6" t="s">
        <v>0</v>
      </c>
      <c r="C6" s="6" t="s">
        <v>1</v>
      </c>
      <c r="D6" s="6" t="s">
        <v>15</v>
      </c>
      <c r="E6" s="6" t="s">
        <v>41</v>
      </c>
      <c r="F6" s="6" t="s">
        <v>42</v>
      </c>
      <c r="G6" s="6" t="s">
        <v>15</v>
      </c>
      <c r="H6" s="6" t="s">
        <v>13</v>
      </c>
      <c r="I6" s="6" t="s">
        <v>0</v>
      </c>
      <c r="J6" s="6" t="s">
        <v>14</v>
      </c>
      <c r="Q6" s="6" t="s">
        <v>14</v>
      </c>
      <c r="R6" s="6" t="s">
        <v>0</v>
      </c>
      <c r="S6" s="6" t="s">
        <v>1</v>
      </c>
      <c r="T6" s="6" t="s">
        <v>15</v>
      </c>
      <c r="U6" s="6" t="s">
        <v>41</v>
      </c>
    </row>
    <row r="7" spans="1:23" x14ac:dyDescent="0.3">
      <c r="A7" s="56">
        <v>86.25</v>
      </c>
      <c r="B7" s="56">
        <f>A7/180</f>
        <v>0.47916666666666669</v>
      </c>
      <c r="C7" s="10">
        <f t="shared" ref="C7:C16" ca="1" si="0">POWER(SQRT($M$4)+B7,2)</f>
        <v>3458.8945057215878</v>
      </c>
      <c r="D7" s="6" t="s">
        <v>2</v>
      </c>
      <c r="E7" s="10">
        <f t="shared" ref="E7:E17" ca="1" si="1">$L$4+(C7*B7)</f>
        <v>22375.186950658263</v>
      </c>
      <c r="F7" s="10">
        <f t="shared" ref="F7:F17" ca="1" si="2">$L$4-(H7*I7)</f>
        <v>19113.986422514408</v>
      </c>
      <c r="G7" s="6" t="s">
        <v>3</v>
      </c>
      <c r="H7" s="10">
        <f t="shared" ref="H7:H17" ca="1" si="3">POWER(SQRT($M$4)-I7,2)</f>
        <v>3347.0892051873298</v>
      </c>
      <c r="I7" s="56">
        <f t="shared" ref="I7:I17" si="4">J7/180</f>
        <v>0.47916666666666669</v>
      </c>
      <c r="J7" s="56">
        <v>86.25</v>
      </c>
      <c r="K7" s="49" t="s">
        <v>54</v>
      </c>
      <c r="L7" s="49" t="s">
        <v>60</v>
      </c>
      <c r="N7" s="92">
        <f ca="1">U7-U8</f>
        <v>73.183256114105461</v>
      </c>
      <c r="O7" s="79" t="s">
        <v>26</v>
      </c>
      <c r="Q7" s="85">
        <v>86.25</v>
      </c>
      <c r="R7" s="85">
        <f>Q7/180</f>
        <v>0.47916666666666669</v>
      </c>
      <c r="S7" s="86">
        <f t="shared" ref="S7:S18" ca="1" si="5">POWER(SQRT($M$4)+R7,2)</f>
        <v>3458.8945057215878</v>
      </c>
      <c r="T7" s="6" t="s">
        <v>2</v>
      </c>
      <c r="U7" s="86">
        <f ca="1">$L$4+(S7*R7)</f>
        <v>22375.186950658263</v>
      </c>
    </row>
    <row r="8" spans="1:23" x14ac:dyDescent="0.3">
      <c r="A8" s="57">
        <v>82.5</v>
      </c>
      <c r="B8" s="57">
        <f t="shared" ref="B8:B17" si="6">A8/180</f>
        <v>0.45833333333333331</v>
      </c>
      <c r="C8" s="44">
        <f t="shared" ca="1" si="0"/>
        <v>3456.444424459974</v>
      </c>
      <c r="D8" s="5" t="s">
        <v>4</v>
      </c>
      <c r="E8" s="10">
        <f t="shared" ca="1" si="1"/>
        <v>22302.003694544157</v>
      </c>
      <c r="F8" s="10">
        <f t="shared" ca="1" si="2"/>
        <v>19182.612397356737</v>
      </c>
      <c r="G8" s="5" t="s">
        <v>5</v>
      </c>
      <c r="H8" s="44">
        <f t="shared" ca="1" si="3"/>
        <v>3349.5002239489436</v>
      </c>
      <c r="I8" s="57">
        <f t="shared" si="4"/>
        <v>0.45833333333333331</v>
      </c>
      <c r="J8" s="57">
        <v>82.5</v>
      </c>
      <c r="K8" s="49" t="s">
        <v>55</v>
      </c>
      <c r="L8" s="49" t="s">
        <v>61</v>
      </c>
      <c r="N8" s="92">
        <f ca="1">U8-U10</f>
        <v>146.05916700106536</v>
      </c>
      <c r="O8" s="79" t="s">
        <v>25</v>
      </c>
      <c r="Q8" s="85">
        <v>82.5</v>
      </c>
      <c r="R8" s="85">
        <f t="shared" ref="R8" si="7">Q8/180</f>
        <v>0.45833333333333331</v>
      </c>
      <c r="S8" s="86">
        <f t="shared" ca="1" si="5"/>
        <v>3456.444424459974</v>
      </c>
      <c r="T8" s="5" t="s">
        <v>4</v>
      </c>
      <c r="U8" s="86">
        <f t="shared" ref="U8:U22" ca="1" si="8">$L$4+(S8*R8)</f>
        <v>22302.003694544157</v>
      </c>
    </row>
    <row r="9" spans="1:23" x14ac:dyDescent="0.3">
      <c r="A9" s="57">
        <v>75</v>
      </c>
      <c r="B9" s="57">
        <f t="shared" si="6"/>
        <v>0.41666666666666669</v>
      </c>
      <c r="C9" s="44">
        <f t="shared" ca="1" si="0"/>
        <v>3451.5468661034115</v>
      </c>
      <c r="D9" s="5" t="s">
        <v>6</v>
      </c>
      <c r="E9" s="10">
        <f t="shared" ca="1" si="1"/>
        <v>22155.944527543092</v>
      </c>
      <c r="F9" s="10">
        <f t="shared" ca="1" si="2"/>
        <v>19320.164639317154</v>
      </c>
      <c r="G9" s="5" t="s">
        <v>7</v>
      </c>
      <c r="H9" s="44">
        <f t="shared" ca="1" si="3"/>
        <v>3354.3248656388396</v>
      </c>
      <c r="I9" s="57">
        <f t="shared" si="4"/>
        <v>0.41666666666666669</v>
      </c>
      <c r="J9" s="57">
        <v>75</v>
      </c>
      <c r="K9" s="49" t="s">
        <v>56</v>
      </c>
      <c r="L9" s="49" t="s">
        <v>62</v>
      </c>
      <c r="Q9" s="83">
        <v>78.599999999999994</v>
      </c>
      <c r="R9" s="83">
        <f>Q9/180</f>
        <v>0.43666666666666665</v>
      </c>
      <c r="S9" s="84">
        <f t="shared" ca="1" si="5"/>
        <v>3453.8972607812284</v>
      </c>
      <c r="T9" s="87">
        <v>0.78600000000000003</v>
      </c>
      <c r="U9" s="84">
        <f t="shared" ca="1" si="8"/>
        <v>22226.001803874471</v>
      </c>
      <c r="V9" s="16" t="s">
        <v>27</v>
      </c>
      <c r="W9" s="92">
        <f ca="1">U9-U13</f>
        <v>326.12724899744353</v>
      </c>
    </row>
    <row r="10" spans="1:23" x14ac:dyDescent="0.3">
      <c r="A10" s="57">
        <v>71.25</v>
      </c>
      <c r="B10" s="57">
        <f t="shared" si="6"/>
        <v>0.39583333333333331</v>
      </c>
      <c r="C10" s="44">
        <f t="shared" ca="1" si="0"/>
        <v>3449.0993890084646</v>
      </c>
      <c r="D10" s="5" t="s">
        <v>8</v>
      </c>
      <c r="E10" s="10">
        <f t="shared" ca="1" si="1"/>
        <v>22083.068508149187</v>
      </c>
      <c r="F10" s="10">
        <f t="shared" ca="1" si="2"/>
        <v>19389.091014942183</v>
      </c>
      <c r="G10" s="5" t="s">
        <v>9</v>
      </c>
      <c r="H10" s="44">
        <f t="shared" ca="1" si="3"/>
        <v>3356.7384885671199</v>
      </c>
      <c r="I10" s="57">
        <f t="shared" si="4"/>
        <v>0.39583333333333331</v>
      </c>
      <c r="J10" s="57">
        <v>71.25</v>
      </c>
      <c r="K10" s="49" t="s">
        <v>57</v>
      </c>
      <c r="L10" s="49" t="s">
        <v>64</v>
      </c>
      <c r="N10" s="92">
        <f ca="1">U10-U11</f>
        <v>72.876019393905153</v>
      </c>
      <c r="O10" s="79" t="s">
        <v>91</v>
      </c>
      <c r="P10" s="92">
        <f ca="1">U10-U11</f>
        <v>72.876019393905153</v>
      </c>
      <c r="Q10" s="85">
        <v>75</v>
      </c>
      <c r="R10" s="85">
        <f t="shared" ref="R10:R11" si="9">Q10/180</f>
        <v>0.41666666666666669</v>
      </c>
      <c r="S10" s="86">
        <f t="shared" ca="1" si="5"/>
        <v>3451.5468661034115</v>
      </c>
      <c r="T10" s="82" t="s">
        <v>6</v>
      </c>
      <c r="U10" s="86">
        <f t="shared" ca="1" si="8"/>
        <v>22155.944527543092</v>
      </c>
    </row>
    <row r="11" spans="1:23" x14ac:dyDescent="0.3">
      <c r="A11" s="57">
        <v>63.75</v>
      </c>
      <c r="B11" s="57">
        <f t="shared" si="6"/>
        <v>0.35416666666666669</v>
      </c>
      <c r="C11" s="44">
        <f t="shared" ca="1" si="0"/>
        <v>3444.2070389852356</v>
      </c>
      <c r="D11" s="45" t="s">
        <v>10</v>
      </c>
      <c r="E11" s="10">
        <f t="shared" ca="1" si="1"/>
        <v>21937.623326307275</v>
      </c>
      <c r="F11" s="10">
        <f t="shared" ca="1" si="2"/>
        <v>19527.244546749254</v>
      </c>
      <c r="G11" s="45" t="s">
        <v>11</v>
      </c>
      <c r="H11" s="44">
        <f t="shared" ca="1" si="3"/>
        <v>3361.568338590349</v>
      </c>
      <c r="I11" s="57">
        <f t="shared" si="4"/>
        <v>0.35416666666666669</v>
      </c>
      <c r="J11" s="57">
        <v>63.75</v>
      </c>
      <c r="K11" s="49" t="s">
        <v>58</v>
      </c>
      <c r="L11" s="49" t="s">
        <v>63</v>
      </c>
      <c r="N11" s="93">
        <f ca="1">U11-U12</f>
        <v>145.44518184191111</v>
      </c>
      <c r="O11" s="79" t="s">
        <v>90</v>
      </c>
      <c r="P11" s="92">
        <f ca="1">U11-U12</f>
        <v>145.44518184191111</v>
      </c>
      <c r="Q11" s="85">
        <v>71.25</v>
      </c>
      <c r="R11" s="85">
        <f t="shared" si="9"/>
        <v>0.39583333333333331</v>
      </c>
      <c r="S11" s="86">
        <f t="shared" ca="1" si="5"/>
        <v>3449.0993890084646</v>
      </c>
      <c r="T11" s="5" t="s">
        <v>8</v>
      </c>
      <c r="U11" s="86">
        <f t="shared" ca="1" si="8"/>
        <v>22083.068508149187</v>
      </c>
    </row>
    <row r="12" spans="1:23" x14ac:dyDescent="0.3">
      <c r="A12" s="58">
        <v>45</v>
      </c>
      <c r="B12" s="59">
        <f t="shared" si="6"/>
        <v>0.25</v>
      </c>
      <c r="C12" s="23">
        <f t="shared" ca="1" si="0"/>
        <v>3431.9913548993864</v>
      </c>
      <c r="D12" s="24" t="s">
        <v>12</v>
      </c>
      <c r="E12" s="21">
        <f t="shared" ca="1" si="1"/>
        <v>21575.797838724851</v>
      </c>
      <c r="F12" s="64">
        <f t="shared" ca="1" si="2"/>
        <v>19874.385461344842</v>
      </c>
      <c r="G12" s="25" t="s">
        <v>12</v>
      </c>
      <c r="H12" s="26">
        <f t="shared" ca="1" si="3"/>
        <v>3373.6581546206426</v>
      </c>
      <c r="I12" s="62">
        <f t="shared" si="4"/>
        <v>0.25</v>
      </c>
      <c r="J12" s="63">
        <v>45</v>
      </c>
      <c r="K12" s="49" t="s">
        <v>59</v>
      </c>
      <c r="L12" s="48" t="s">
        <v>43</v>
      </c>
      <c r="M12" s="7" t="s">
        <v>46</v>
      </c>
      <c r="N12" s="93">
        <f ca="1">U12-U15</f>
        <v>361.8254875824241</v>
      </c>
      <c r="O12" s="79" t="s">
        <v>89</v>
      </c>
      <c r="P12" s="92">
        <f ca="1">U12-U15</f>
        <v>361.8254875824241</v>
      </c>
      <c r="Q12" s="85">
        <v>63.75</v>
      </c>
      <c r="R12" s="85">
        <v>0.35416666666666669</v>
      </c>
      <c r="S12" s="86">
        <f t="shared" ca="1" si="5"/>
        <v>3444.2070389852356</v>
      </c>
      <c r="T12" s="45" t="s">
        <v>10</v>
      </c>
      <c r="U12" s="86">
        <f t="shared" ca="1" si="8"/>
        <v>21937.623326307275</v>
      </c>
    </row>
    <row r="13" spans="1:23" s="12" customFormat="1" x14ac:dyDescent="0.3">
      <c r="A13" s="65">
        <f>90-A11</f>
        <v>26.25</v>
      </c>
      <c r="B13" s="66">
        <f t="shared" si="6"/>
        <v>0.14583333333333334</v>
      </c>
      <c r="C13" s="46">
        <f t="shared" ca="1" si="0"/>
        <v>3419.7973722024262</v>
      </c>
      <c r="D13" s="67" t="s">
        <v>11</v>
      </c>
      <c r="E13" s="41">
        <f t="shared" ca="1" si="1"/>
        <v>21216.520450112857</v>
      </c>
      <c r="F13" s="41">
        <f t="shared" ca="1" si="2"/>
        <v>20224.041922827528</v>
      </c>
      <c r="G13" s="42" t="s">
        <v>10</v>
      </c>
      <c r="H13" s="46">
        <f t="shared" ca="1" si="3"/>
        <v>3385.7696720398253</v>
      </c>
      <c r="I13" s="66">
        <f t="shared" si="4"/>
        <v>0.14583333333333334</v>
      </c>
      <c r="J13" s="65">
        <f>90-J11</f>
        <v>26.25</v>
      </c>
      <c r="K13" s="49" t="s">
        <v>78</v>
      </c>
      <c r="Q13" s="83">
        <v>61.8</v>
      </c>
      <c r="R13" s="83">
        <f t="shared" ref="R13" si="10">Q13/180</f>
        <v>0.34333333333333332</v>
      </c>
      <c r="S13" s="84">
        <f t="shared" ca="1" si="5"/>
        <v>3442.9355967291963</v>
      </c>
      <c r="T13" s="88">
        <v>0.61799999999999999</v>
      </c>
      <c r="U13" s="84">
        <f t="shared" ca="1" si="8"/>
        <v>21899.874554877028</v>
      </c>
      <c r="V13" s="16" t="s">
        <v>26</v>
      </c>
      <c r="W13" s="93">
        <f ca="1">U13-U14</f>
        <v>227.83934689312809</v>
      </c>
    </row>
    <row r="14" spans="1:23" s="12" customFormat="1" x14ac:dyDescent="0.3">
      <c r="A14" s="60">
        <f>90-A10</f>
        <v>18.75</v>
      </c>
      <c r="B14" s="60">
        <f t="shared" si="6"/>
        <v>0.10416666666666667</v>
      </c>
      <c r="C14" s="14">
        <f t="shared" ca="1" si="0"/>
        <v>3414.9258555125302</v>
      </c>
      <c r="D14" s="13" t="s">
        <v>9</v>
      </c>
      <c r="E14" s="10">
        <f t="shared" ca="1" si="1"/>
        <v>21073.52144328256</v>
      </c>
      <c r="F14" s="10">
        <f t="shared" ca="1" si="2"/>
        <v>20364.610379646212</v>
      </c>
      <c r="G14" s="17" t="s">
        <v>8</v>
      </c>
      <c r="H14" s="14">
        <f t="shared" ca="1" si="3"/>
        <v>3390.6203553963878</v>
      </c>
      <c r="I14" s="60">
        <f t="shared" si="4"/>
        <v>0.10416666666666667</v>
      </c>
      <c r="J14" s="60">
        <f>90-J10</f>
        <v>18.75</v>
      </c>
      <c r="L14" s="47"/>
      <c r="M14" s="15"/>
      <c r="Q14" s="83">
        <v>50</v>
      </c>
      <c r="R14" s="83">
        <f>Q14/180</f>
        <v>0.27777777777777779</v>
      </c>
      <c r="S14" s="84">
        <f t="shared" ca="1" si="5"/>
        <v>3435.2467487420327</v>
      </c>
      <c r="T14" s="89">
        <v>0.5</v>
      </c>
      <c r="U14" s="84">
        <f t="shared" ca="1" si="8"/>
        <v>21672.035207983899</v>
      </c>
      <c r="V14" s="16" t="s">
        <v>25</v>
      </c>
      <c r="W14" s="91">
        <f ca="1">U14-U16</f>
        <v>226.82942942726368</v>
      </c>
    </row>
    <row r="15" spans="1:23" x14ac:dyDescent="0.3">
      <c r="A15" s="58">
        <f>90-A9</f>
        <v>15</v>
      </c>
      <c r="B15" s="59">
        <f t="shared" si="6"/>
        <v>8.3333333333333329E-2</v>
      </c>
      <c r="C15" s="23">
        <f t="shared" ca="1" si="0"/>
        <v>3412.4913992509164</v>
      </c>
      <c r="D15" s="24" t="s">
        <v>7</v>
      </c>
      <c r="E15" s="21">
        <f t="shared" ca="1" si="1"/>
        <v>21002.174283270913</v>
      </c>
      <c r="F15" s="64">
        <f t="shared" ca="1" si="2"/>
        <v>20435.046083403504</v>
      </c>
      <c r="G15" s="25" t="s">
        <v>6</v>
      </c>
      <c r="H15" s="26">
        <f t="shared" ca="1" si="3"/>
        <v>3393.0469991580012</v>
      </c>
      <c r="I15" s="62">
        <f t="shared" si="4"/>
        <v>8.3333333333333329E-2</v>
      </c>
      <c r="J15" s="63">
        <f>90-J9</f>
        <v>15</v>
      </c>
      <c r="K15" s="48" t="s">
        <v>44</v>
      </c>
      <c r="L15" s="7" t="s">
        <v>45</v>
      </c>
      <c r="M15" s="11"/>
      <c r="N15" s="94">
        <f ca="1">SUM(N7:N12)</f>
        <v>799.38911193341119</v>
      </c>
      <c r="O15" s="79" t="s">
        <v>88</v>
      </c>
      <c r="P15" s="92">
        <f ca="1">U15-U17</f>
        <v>359.27738861199396</v>
      </c>
      <c r="Q15" s="85">
        <v>45</v>
      </c>
      <c r="R15" s="85">
        <v>0.25</v>
      </c>
      <c r="S15" s="86">
        <f t="shared" ca="1" si="5"/>
        <v>3431.9913548993864</v>
      </c>
      <c r="T15" s="24" t="s">
        <v>12</v>
      </c>
      <c r="U15" s="86">
        <f t="shared" ca="1" si="8"/>
        <v>21575.797838724851</v>
      </c>
      <c r="W15" s="93"/>
    </row>
    <row r="16" spans="1:23" s="16" customFormat="1" x14ac:dyDescent="0.3">
      <c r="A16" s="61">
        <f>90-A8</f>
        <v>7.5</v>
      </c>
      <c r="B16" s="60">
        <f t="shared" si="6"/>
        <v>4.1666666666666664E-2</v>
      </c>
      <c r="C16" s="14">
        <f t="shared" ca="1" si="0"/>
        <v>3407.6250908943539</v>
      </c>
      <c r="D16" s="13" t="s">
        <v>5</v>
      </c>
      <c r="E16" s="10">
        <f t="shared" ca="1" si="1"/>
        <v>20859.784378787266</v>
      </c>
      <c r="F16" s="10">
        <f t="shared" ca="1" si="2"/>
        <v>20576.220712881339</v>
      </c>
      <c r="G16" s="17" t="s">
        <v>4</v>
      </c>
      <c r="H16" s="14">
        <f t="shared" ca="1" si="3"/>
        <v>3397.9028908478972</v>
      </c>
      <c r="I16" s="60">
        <f t="shared" si="4"/>
        <v>4.1666666666666664E-2</v>
      </c>
      <c r="J16" s="61">
        <f>90-J8</f>
        <v>7.5</v>
      </c>
      <c r="L16" s="18"/>
      <c r="M16" s="18"/>
      <c r="O16" s="79"/>
      <c r="Q16" s="83">
        <v>38.200000000000003</v>
      </c>
      <c r="R16" s="83">
        <f>Q16/180</f>
        <v>0.21222222222222223</v>
      </c>
      <c r="S16" s="84">
        <f t="shared" ca="1" si="5"/>
        <v>3427.5664958165976</v>
      </c>
      <c r="T16" s="90">
        <v>0.38200000000000001</v>
      </c>
      <c r="U16" s="84">
        <f t="shared" ca="1" si="8"/>
        <v>21445.205778556636</v>
      </c>
      <c r="V16" s="16" t="s">
        <v>23</v>
      </c>
      <c r="W16" s="92">
        <f ca="1">U16-U18</f>
        <v>279.25807484307006</v>
      </c>
    </row>
    <row r="17" spans="1:23" s="16" customFormat="1" x14ac:dyDescent="0.3">
      <c r="A17" s="61">
        <f>90-A7</f>
        <v>3.75</v>
      </c>
      <c r="B17" s="60">
        <f t="shared" si="6"/>
        <v>2.0833333333333332E-2</v>
      </c>
      <c r="C17" s="14">
        <f ca="1">POWER(SQRT($M$4)+B17,2)</f>
        <v>3405.193238799407</v>
      </c>
      <c r="D17" s="13" t="s">
        <v>3</v>
      </c>
      <c r="E17" s="10">
        <f t="shared" ca="1" si="1"/>
        <v>20788.741525808324</v>
      </c>
      <c r="F17" s="10">
        <f t="shared" ca="1" si="2"/>
        <v>20646.959747108831</v>
      </c>
      <c r="G17" s="17" t="s">
        <v>2</v>
      </c>
      <c r="H17" s="14">
        <f t="shared" ca="1" si="3"/>
        <v>3400.3321387761775</v>
      </c>
      <c r="I17" s="60">
        <f t="shared" si="4"/>
        <v>2.0833333333333332E-2</v>
      </c>
      <c r="J17" s="61">
        <f>90-J7</f>
        <v>3.75</v>
      </c>
      <c r="L17" s="18"/>
      <c r="M17" s="18"/>
      <c r="O17" s="79" t="s">
        <v>87</v>
      </c>
      <c r="P17" s="93">
        <f ca="1">U17-U20</f>
        <v>214.34616684194407</v>
      </c>
      <c r="Q17" s="85">
        <v>26.25</v>
      </c>
      <c r="R17" s="85">
        <v>0.14583333333333334</v>
      </c>
      <c r="S17" s="86">
        <f t="shared" ca="1" si="5"/>
        <v>3419.7973722024262</v>
      </c>
      <c r="T17" s="45" t="s">
        <v>11</v>
      </c>
      <c r="U17" s="86">
        <f t="shared" ca="1" si="8"/>
        <v>21216.520450112857</v>
      </c>
      <c r="W17" s="93"/>
    </row>
    <row r="18" spans="1:23" x14ac:dyDescent="0.3">
      <c r="E18" s="8"/>
      <c r="F18" s="8"/>
      <c r="H18" s="8"/>
      <c r="L18" s="74"/>
      <c r="Q18" s="83">
        <v>23.6</v>
      </c>
      <c r="R18" s="83">
        <f>Q18/180</f>
        <v>0.13111111111111112</v>
      </c>
      <c r="S18" s="84">
        <f t="shared" ca="1" si="5"/>
        <v>3418.0757062898974</v>
      </c>
      <c r="T18" s="90">
        <v>0.23599999999999999</v>
      </c>
      <c r="U18" s="84">
        <f t="shared" ca="1" si="8"/>
        <v>21165.947703713566</v>
      </c>
      <c r="V18" s="16" t="s">
        <v>22</v>
      </c>
      <c r="W18" s="93">
        <f ca="1">U18-U20</f>
        <v>163.77342044265242</v>
      </c>
    </row>
    <row r="19" spans="1:23" s="11" customFormat="1" x14ac:dyDescent="0.3">
      <c r="A19" s="70" t="s">
        <v>51</v>
      </c>
      <c r="B19" s="54">
        <f ca="1">IF(B25=0,"",(B25-$C$25)/$C$25)</f>
        <v>-7.8857448985096917E-2</v>
      </c>
      <c r="C19" s="54">
        <f t="shared" ref="C19" ca="1" si="11">(C25-$C$25)/$C$25</f>
        <v>0</v>
      </c>
      <c r="D19" s="54">
        <f ca="1">IF(D25=0,"",(D25-$C$25)/$C$25)</f>
        <v>1.6769970236419695E-2</v>
      </c>
      <c r="E19" s="54">
        <f t="shared" ref="E19:J19" ca="1" si="12">IF(E25=0,"",(E25-$C$25)/$C$25)</f>
        <v>2.3511096702707859E-2</v>
      </c>
      <c r="F19" s="54">
        <f t="shared" ca="1" si="12"/>
        <v>2.6888771073715602E-2</v>
      </c>
      <c r="G19" s="54">
        <f t="shared" ca="1" si="12"/>
        <v>3.3658354664219688E-2</v>
      </c>
      <c r="H19" s="54">
        <f t="shared" ca="1" si="12"/>
        <v>3.7050268912820691E-2</v>
      </c>
      <c r="I19" s="54" t="str">
        <f t="shared" si="12"/>
        <v/>
      </c>
      <c r="J19" s="54" t="str">
        <f t="shared" si="12"/>
        <v/>
      </c>
      <c r="Q19" s="85">
        <v>18.75</v>
      </c>
      <c r="R19" s="85">
        <v>0.10416666666666667</v>
      </c>
      <c r="S19" s="86">
        <f ca="1">POWER(SQRT($M$4)+R19,2)</f>
        <v>3414.9258555125302</v>
      </c>
      <c r="T19" s="45" t="s">
        <v>9</v>
      </c>
      <c r="U19" s="86">
        <f t="shared" ca="1" si="8"/>
        <v>21073.52144328256</v>
      </c>
      <c r="V19" s="1"/>
      <c r="W19" s="1"/>
    </row>
    <row r="20" spans="1:23" s="11" customFormat="1" ht="24.9" x14ac:dyDescent="0.3">
      <c r="A20" s="5" t="s">
        <v>48</v>
      </c>
      <c r="B20" s="54">
        <f ca="1">IF(B25=0,"",B21/$O$4)</f>
        <v>-0.68320567753681904</v>
      </c>
      <c r="C20" s="54">
        <f t="shared" ref="C20" ca="1" si="13">C21/$O$4</f>
        <v>0.34453081599994234</v>
      </c>
      <c r="D20" s="54">
        <f ca="1">IF(D25=0,"",D21/$O$4)</f>
        <v>0.1452917768086906</v>
      </c>
      <c r="E20" s="54">
        <f t="shared" ref="E20:J20" ca="1" si="14">IF(E25=0,"",E21/$O$4)</f>
        <v>0.20369559197182358</v>
      </c>
      <c r="F20" s="54">
        <f t="shared" ca="1" si="14"/>
        <v>0.23295910907569553</v>
      </c>
      <c r="G20" s="54">
        <f t="shared" ca="1" si="14"/>
        <v>0.2916094712560211</v>
      </c>
      <c r="H20" s="54">
        <f t="shared" ca="1" si="14"/>
        <v>0.32099635990366415</v>
      </c>
      <c r="I20" s="54" t="str">
        <f t="shared" si="14"/>
        <v/>
      </c>
      <c r="J20" s="54" t="str">
        <f t="shared" si="14"/>
        <v/>
      </c>
      <c r="L20" s="52"/>
      <c r="O20" s="11" t="s">
        <v>86</v>
      </c>
      <c r="P20" s="95">
        <f ca="1">SUM(P10:P19)</f>
        <v>1153.7702442721784</v>
      </c>
      <c r="Q20" s="85">
        <v>15</v>
      </c>
      <c r="R20" s="85">
        <v>8.3333333333333329E-2</v>
      </c>
      <c r="S20" s="86">
        <f ca="1">POWER(SQRT($M$4)+R20,2)</f>
        <v>3412.4913992509164</v>
      </c>
      <c r="T20" s="24" t="s">
        <v>7</v>
      </c>
      <c r="U20" s="86">
        <f t="shared" ca="1" si="8"/>
        <v>21002.174283270913</v>
      </c>
      <c r="V20" s="11" t="s">
        <v>21</v>
      </c>
      <c r="W20" s="95">
        <f ca="1">SUM(W9:W19)</f>
        <v>1223.8275206035578</v>
      </c>
    </row>
    <row r="21" spans="1:23" s="11" customFormat="1" x14ac:dyDescent="0.3">
      <c r="A21" s="5" t="s">
        <v>38</v>
      </c>
      <c r="B21" s="31">
        <f ca="1">IF(B25=0,"",B22*$B$4*$N$4)</f>
        <v>-68056.495095200371</v>
      </c>
      <c r="C21" s="31">
        <f t="shared" ref="C21" ca="1" si="15">C22*$B$4*$N$4</f>
        <v>34319.913548993936</v>
      </c>
      <c r="D21" s="31">
        <f ca="1">IF(D25=0,"",D22*$B$4*$N$4)</f>
        <v>14473.019503296964</v>
      </c>
      <c r="E21" s="31">
        <f t="shared" ref="E21:J21" ca="1" si="16">IF(E25=0,"",E22*$B$4*$N$4)</f>
        <v>20290.826776973408</v>
      </c>
      <c r="F21" s="31">
        <f t="shared" ca="1" si="16"/>
        <v>23205.867552729615</v>
      </c>
      <c r="G21" s="31">
        <f t="shared" ca="1" si="16"/>
        <v>29048.234232772229</v>
      </c>
      <c r="H21" s="31">
        <f t="shared" ca="1" si="16"/>
        <v>31975.564477336447</v>
      </c>
      <c r="I21" s="31" t="str">
        <f t="shared" si="16"/>
        <v/>
      </c>
      <c r="J21" s="31" t="str">
        <f t="shared" si="16"/>
        <v/>
      </c>
      <c r="L21" s="52"/>
      <c r="Q21" s="85">
        <v>7.5</v>
      </c>
      <c r="R21" s="85">
        <v>4.1666666666666664E-2</v>
      </c>
      <c r="S21" s="86">
        <f ca="1">POWER(SQRT($M$4)+R21,2)</f>
        <v>3407.6250908943539</v>
      </c>
      <c r="T21" s="45" t="s">
        <v>5</v>
      </c>
      <c r="U21" s="86">
        <f t="shared" ca="1" si="8"/>
        <v>20859.784378787266</v>
      </c>
    </row>
    <row r="22" spans="1:23" s="11" customFormat="1" x14ac:dyDescent="0.3">
      <c r="A22" s="5" t="s">
        <v>39</v>
      </c>
      <c r="B22" s="31">
        <f ca="1">IF(B25=0,"",B25-$C$25)</f>
        <v>-1701.4123773800093</v>
      </c>
      <c r="C22" s="31">
        <f ca="1">C25-$L$4</f>
        <v>857.99783872484841</v>
      </c>
      <c r="D22" s="31">
        <f ca="1">IF(D25=0,"",D25-$C$25)</f>
        <v>361.8254875824241</v>
      </c>
      <c r="E22" s="31">
        <f t="shared" ref="E22:J22" ca="1" si="17">IF(E25=0,"",E25-$C$25)</f>
        <v>507.27066942433521</v>
      </c>
      <c r="F22" s="31">
        <f t="shared" ca="1" si="17"/>
        <v>580.14668881824036</v>
      </c>
      <c r="G22" s="31">
        <f t="shared" ca="1" si="17"/>
        <v>726.20585581930573</v>
      </c>
      <c r="H22" s="31">
        <f t="shared" ca="1" si="17"/>
        <v>799.38911193341119</v>
      </c>
      <c r="I22" s="31" t="str">
        <f t="shared" si="17"/>
        <v/>
      </c>
      <c r="J22" s="31" t="str">
        <f t="shared" si="17"/>
        <v/>
      </c>
      <c r="L22" s="52"/>
      <c r="Q22" s="85">
        <v>3.75</v>
      </c>
      <c r="R22" s="85">
        <v>2.0833333333333332E-2</v>
      </c>
      <c r="S22" s="86">
        <f ca="1">POWER(SQRT($M$4)+R22,2)</f>
        <v>3405.193238799407</v>
      </c>
      <c r="T22" s="45" t="s">
        <v>3</v>
      </c>
      <c r="U22" s="86">
        <f t="shared" ca="1" si="8"/>
        <v>20788.741525808324</v>
      </c>
    </row>
    <row r="23" spans="1:23" s="11" customFormat="1" x14ac:dyDescent="0.3">
      <c r="A23" s="7"/>
      <c r="B23" s="9"/>
      <c r="C23" s="9"/>
      <c r="D23" s="9"/>
      <c r="E23" s="9"/>
      <c r="F23" s="9"/>
      <c r="G23" s="9"/>
      <c r="H23" s="9"/>
      <c r="I23" s="9"/>
      <c r="J23" s="9"/>
      <c r="L23" s="52"/>
    </row>
    <row r="24" spans="1:23" s="11" customFormat="1" x14ac:dyDescent="0.3">
      <c r="A24" s="5" t="s">
        <v>40</v>
      </c>
      <c r="B24" s="5" t="s">
        <v>33</v>
      </c>
      <c r="C24" s="5" t="s">
        <v>21</v>
      </c>
      <c r="D24" s="5" t="s">
        <v>22</v>
      </c>
      <c r="E24" s="5" t="s">
        <v>23</v>
      </c>
      <c r="F24" s="5" t="s">
        <v>24</v>
      </c>
      <c r="G24" s="5" t="s">
        <v>25</v>
      </c>
      <c r="H24" s="5" t="s">
        <v>26</v>
      </c>
      <c r="I24" s="5" t="s">
        <v>27</v>
      </c>
      <c r="J24" s="5" t="s">
        <v>28</v>
      </c>
      <c r="K24" s="5" t="s">
        <v>83</v>
      </c>
      <c r="L24" s="52"/>
    </row>
    <row r="25" spans="1:23" s="11" customFormat="1" x14ac:dyDescent="0.3">
      <c r="A25" s="43" t="s">
        <v>31</v>
      </c>
      <c r="B25" s="26">
        <f ca="1">IF(($C$4*SQRT(365))&gt;=50,F12,F15)</f>
        <v>19874.385461344842</v>
      </c>
      <c r="C25" s="22">
        <f ca="1">IF(($C$4*SQRT(365))&gt;=50,E12,E15)</f>
        <v>21575.797838724851</v>
      </c>
      <c r="D25" s="22">
        <f ca="1">IF(($C$4*SQRT(365))&gt;=50,E11,E13)</f>
        <v>21937.623326307275</v>
      </c>
      <c r="E25" s="22">
        <f ca="1">IF(($C$4*SQRT(365))&gt;=50,E10,E12)</f>
        <v>22083.068508149187</v>
      </c>
      <c r="F25" s="22">
        <f ca="1">IF(($C$4*SQRT(365))&gt;=50,E9,E11)</f>
        <v>22155.944527543092</v>
      </c>
      <c r="G25" s="22">
        <f ca="1">IF(($C$4*SQRT(365))&gt;=50,E8,E10)</f>
        <v>22302.003694544157</v>
      </c>
      <c r="H25" s="22">
        <f ca="1">IF(($C$4*SQRT(365))&gt;=50,E7,E9)</f>
        <v>22375.186950658263</v>
      </c>
      <c r="I25" s="22">
        <f>IF(($C$4*SQRT(365))&gt;=50,0,E8)</f>
        <v>0</v>
      </c>
      <c r="J25" s="22">
        <f>IF(($C$4*SQRT(365))&gt;=50,0,E7)</f>
        <v>0</v>
      </c>
      <c r="K25" s="76" t="str">
        <f ca="1">IF(($L$4/1000)&gt;=1,IF(AND(($C$4*SQRT(365))&gt;=50,OR((E12-F12)&lt;=10,(E12&lt;F12))),"Caution : Vol &gt;= 50%; Buy &amp; Sell Entry Diff. Negative or &lt; 10; Use HL Mid Point instead of Open",IF(AND(($C$4*SQRT(365))&lt;50,OR((E15-F15)&lt;=5,(E15&lt;F15))),"Caution : Vol &lt; 50%; Buy &amp; Sell Entry Diff. Negative or &lt; 10; Use HL Mid Point instead of Open",IF(($C$4*SQRT(365))&gt;=50,"No Error","No Error"))),IF(($L$4/100)&gt;=1,IF(AND(($C$4*SQRT(365))&gt;=50,OR((E12-F12)&lt;=10,(E12&lt;F12))),"Caution : Vol &gt;= 50%; Buy &amp; Sell Entry Diff. Negative or &lt; 10; Use HL Mid Point instead of Open",IF(AND(($C$4*SQRT(365))&lt;50,OR((E15-F15)&lt;=5,(E15&lt;F15))),"Caution : Vol &lt; 50%; Buy &amp; Sell Entry Diff. Negative or &lt; 10; Use HL Mid Point instead of Open",IF(($C$4*SQRT(365))&gt;=50,"No Error","No Error"))),"Multiply Open / Mid-Point Price with 10 / 100 / 1000 to make it a 3 Digit or 4 Digit Number"))</f>
        <v>No Error</v>
      </c>
      <c r="L25" s="52"/>
    </row>
    <row r="26" spans="1:23" s="11" customFormat="1" x14ac:dyDescent="0.3">
      <c r="A26" s="25" t="s">
        <v>32</v>
      </c>
      <c r="B26" s="23">
        <f ca="1">IF(($C$4*SQRT(365))&gt;=50,E12,E15)</f>
        <v>21575.797838724851</v>
      </c>
      <c r="C26" s="27">
        <f ca="1">IF(($C$4*SQRT(365))&gt;=50,F12,F15)</f>
        <v>19874.385461344842</v>
      </c>
      <c r="D26" s="27">
        <f ca="1">IF(($C$4*SQRT(365))&gt;=50,F11,F13)</f>
        <v>19527.244546749254</v>
      </c>
      <c r="E26" s="27">
        <f ca="1">IF(($C$4*SQRT(365))&gt;=50,F10,F12)</f>
        <v>19389.091014942183</v>
      </c>
      <c r="F26" s="27">
        <f ca="1">IF(($C$4*SQRT(365))&gt;=50,F9,F11)</f>
        <v>19320.164639317154</v>
      </c>
      <c r="G26" s="27">
        <f ca="1">IF(($C$4*SQRT(365))&gt;=50,F8,F10)</f>
        <v>19182.612397356737</v>
      </c>
      <c r="H26" s="27">
        <f ca="1">IF(($C$4*SQRT(365))&gt;=50,F7,F9)</f>
        <v>19113.986422514408</v>
      </c>
      <c r="I26" s="27">
        <f>IF(($C$4*SQRT(365))&gt;=50,0,F8)</f>
        <v>0</v>
      </c>
      <c r="J26" s="27">
        <f>IF(($C$4*SQRT(365))&gt;=50,0,F7)</f>
        <v>0</v>
      </c>
      <c r="K26" s="76" t="str">
        <f ca="1">IF(($L$4/1000)&gt;=1,IF(AND(($C$4*SQRT(365))&gt;=50,OR((E12-F12)&lt;=10,(E12&lt;F12))),"Caution : Vol &gt;= 50%; Buy &amp; Sell Entry Diff. Negative or &lt; 10; Use HL Mid Point instead of Open",IF(AND(($C$4*SQRT(365))&lt;50,OR((E15-F15)&lt;=5,(E15&lt;F15))),"Caution : Vol &lt; 50%; Buy &amp; Sell Entry Diff. Negative or &lt; 10; Use HL Mid Point instead of Open",IF(($C$4*SQRT(365))&gt;=50,"No Error","No Error"))),IF(($L$4/100)&gt;=1,IF(AND(($C$4*SQRT(365))&gt;=50,OR((E12-F12)&lt;=10,(E12&lt;F12))),"Caution : Vol &gt;= 50%; Buy &amp; Sell Entry Diff. Negative or &lt; 10; Use HL Mid Point instead of Open",IF(AND(($C$4*SQRT(365))&lt;50,OR((E15-F15)&lt;=5,(E15&lt;F15))),"Caution : Vol &lt; 50%; Buy &amp; Sell Entry Diff. Negative or &lt; 10; Use HL Mid Point instead of Open",IF(($C$4*SQRT(365))&gt;=50,"No Error","No Error"))),"Multiply Open / Mid-Point Price with 10 / 100 / 1000 to make it a 3 Digit or 4 Digit Number"))</f>
        <v>No Error</v>
      </c>
      <c r="M26" s="72"/>
    </row>
    <row r="27" spans="1:23" s="11" customFormat="1" x14ac:dyDescent="0.3">
      <c r="A27" s="7"/>
      <c r="B27" s="9"/>
      <c r="C27" s="9"/>
      <c r="D27" s="9"/>
      <c r="E27" s="9"/>
      <c r="F27" s="9"/>
      <c r="G27" s="9"/>
      <c r="H27" s="9"/>
      <c r="I27" s="9"/>
      <c r="J27" s="9"/>
    </row>
    <row r="28" spans="1:23" s="11" customFormat="1" x14ac:dyDescent="0.3">
      <c r="A28" s="5" t="s">
        <v>39</v>
      </c>
      <c r="B28" s="31">
        <f ca="1">IF(B26=0,"",$C$26-B26)</f>
        <v>-1701.4123773800093</v>
      </c>
      <c r="C28" s="31">
        <f ca="1">$L$4-C26</f>
        <v>843.41453865516087</v>
      </c>
      <c r="D28" s="31">
        <f ca="1">IF(D26=0,"",$C$26-D26)</f>
        <v>347.14091459558767</v>
      </c>
      <c r="E28" s="31">
        <f t="shared" ref="E28:J28" ca="1" si="18">IF(E26=0,"",$C$26-E26)</f>
        <v>485.29444640265865</v>
      </c>
      <c r="F28" s="31">
        <f t="shared" ca="1" si="18"/>
        <v>554.22082202768797</v>
      </c>
      <c r="G28" s="31">
        <f t="shared" ca="1" si="18"/>
        <v>691.7730639881047</v>
      </c>
      <c r="H28" s="31">
        <f t="shared" ca="1" si="18"/>
        <v>760.39903883043371</v>
      </c>
      <c r="I28" s="31" t="str">
        <f t="shared" si="18"/>
        <v/>
      </c>
      <c r="J28" s="31" t="str">
        <f t="shared" si="18"/>
        <v/>
      </c>
    </row>
    <row r="29" spans="1:23" s="11" customFormat="1" x14ac:dyDescent="0.3">
      <c r="A29" s="5" t="s">
        <v>38</v>
      </c>
      <c r="B29" s="31">
        <f ca="1">IF(B26=0,"",B28*$B$4*$N$4)</f>
        <v>-68056.495095200371</v>
      </c>
      <c r="C29" s="31">
        <f t="shared" ref="C29" ca="1" si="19">C28*$B$4*$N$4</f>
        <v>33736.581546206435</v>
      </c>
      <c r="D29" s="31">
        <f ca="1">IF(D26=0,"",D28*$B$4*$N$4)</f>
        <v>13885.636583823507</v>
      </c>
      <c r="E29" s="31">
        <f t="shared" ref="E29:J29" ca="1" si="20">IF(E26=0,"",E28*$B$4*$N$4)</f>
        <v>19411.777856106346</v>
      </c>
      <c r="F29" s="31">
        <f t="shared" ca="1" si="20"/>
        <v>22168.832881107519</v>
      </c>
      <c r="G29" s="31">
        <f t="shared" ca="1" si="20"/>
        <v>27670.922559524188</v>
      </c>
      <c r="H29" s="31">
        <f t="shared" ca="1" si="20"/>
        <v>30415.961553217348</v>
      </c>
      <c r="I29" s="31" t="str">
        <f t="shared" si="20"/>
        <v/>
      </c>
      <c r="J29" s="31" t="str">
        <f t="shared" si="20"/>
        <v/>
      </c>
      <c r="K29" s="3"/>
      <c r="L29" s="3"/>
      <c r="M29" s="3"/>
    </row>
    <row r="30" spans="1:23" s="11" customFormat="1" ht="24.9" x14ac:dyDescent="0.3">
      <c r="A30" s="5" t="s">
        <v>48</v>
      </c>
      <c r="B30" s="54">
        <f ca="1">IF(B26=0,"",B29/$O$4)</f>
        <v>-0.68320567753681904</v>
      </c>
      <c r="C30" s="54">
        <f t="shared" ref="C30" ca="1" si="21">C29/$O$4</f>
        <v>0.3386748615368767</v>
      </c>
      <c r="D30" s="54">
        <f ca="1">IF(D26=0,"",D29/$O$4)</f>
        <v>0.13939515599518768</v>
      </c>
      <c r="E30" s="54">
        <f t="shared" ref="E30:J30" ca="1" si="22">IF(E26=0,"",E29/$O$4)</f>
        <v>0.1948709939267893</v>
      </c>
      <c r="F30" s="54">
        <f t="shared" ca="1" si="22"/>
        <v>0.22254852336358011</v>
      </c>
      <c r="G30" s="54">
        <f t="shared" ca="1" si="22"/>
        <v>0.27778291210711831</v>
      </c>
      <c r="H30" s="54">
        <f t="shared" ca="1" si="22"/>
        <v>0.30533981498505375</v>
      </c>
      <c r="I30" s="54" t="str">
        <f t="shared" si="22"/>
        <v/>
      </c>
      <c r="J30" s="54" t="str">
        <f t="shared" si="22"/>
        <v/>
      </c>
      <c r="K30" s="3"/>
      <c r="L30" s="3"/>
      <c r="M30" s="3"/>
    </row>
    <row r="31" spans="1:23" s="11" customFormat="1" x14ac:dyDescent="0.3">
      <c r="A31" s="70" t="s">
        <v>51</v>
      </c>
      <c r="B31" s="71">
        <f ca="1">IF(B26=0,"",($C$26-B26)/$C$26)</f>
        <v>-8.5608301232217299E-2</v>
      </c>
      <c r="C31" s="71">
        <f t="shared" ref="C31" ca="1" si="23">($C$26-C26)/$C$26</f>
        <v>0</v>
      </c>
      <c r="D31" s="71">
        <f ca="1">IF(D26=0,"",($C$26-D26)/$C$26)</f>
        <v>1.746674961451098E-2</v>
      </c>
      <c r="E31" s="71">
        <f t="shared" ref="E31:J31" ca="1" si="24">IF(E26=0,"",($C$26-E26)/$C$26)</f>
        <v>2.4418085648310668E-2</v>
      </c>
      <c r="F31" s="71">
        <f t="shared" ca="1" si="24"/>
        <v>2.7886186624770506E-2</v>
      </c>
      <c r="G31" s="71">
        <f t="shared" ca="1" si="24"/>
        <v>3.4807268145904943E-2</v>
      </c>
      <c r="H31" s="71">
        <f t="shared" ca="1" si="24"/>
        <v>3.8260254150217117E-2</v>
      </c>
      <c r="I31" s="71" t="str">
        <f t="shared" si="24"/>
        <v/>
      </c>
      <c r="J31" s="71" t="str">
        <f t="shared" si="24"/>
        <v/>
      </c>
      <c r="K31" s="51"/>
    </row>
    <row r="32" spans="1:23" s="11" customFormat="1" x14ac:dyDescent="0.3">
      <c r="A32" s="7"/>
      <c r="B32" s="69"/>
      <c r="C32" s="51"/>
      <c r="D32" s="69"/>
      <c r="E32" s="69"/>
      <c r="F32" s="69"/>
      <c r="G32" s="69"/>
      <c r="H32" s="69"/>
      <c r="I32" s="69"/>
      <c r="J32" s="69"/>
      <c r="K32" s="51"/>
    </row>
    <row r="33" spans="1:11" x14ac:dyDescent="0.3">
      <c r="A33" s="2" t="s">
        <v>37</v>
      </c>
      <c r="C33" s="2"/>
      <c r="E33" s="28"/>
      <c r="F33" s="28"/>
      <c r="G33" s="2"/>
      <c r="H33" s="8"/>
    </row>
    <row r="34" spans="1:11" s="11" customFormat="1" x14ac:dyDescent="0.3">
      <c r="A34" s="68" t="s">
        <v>70</v>
      </c>
      <c r="B34" s="51"/>
      <c r="C34" s="51"/>
      <c r="D34" s="51"/>
      <c r="E34" s="51"/>
      <c r="F34" s="51"/>
      <c r="G34" s="51"/>
      <c r="H34" s="51"/>
      <c r="I34" s="51"/>
      <c r="J34" s="51"/>
      <c r="K34" s="51"/>
    </row>
    <row r="35" spans="1:11" s="11" customFormat="1" x14ac:dyDescent="0.3">
      <c r="A35" s="68" t="s">
        <v>71</v>
      </c>
      <c r="B35" s="51"/>
      <c r="C35" s="51"/>
      <c r="D35" s="51"/>
      <c r="E35" s="51"/>
      <c r="F35" s="51"/>
      <c r="G35" s="51"/>
      <c r="H35" s="51"/>
      <c r="I35" s="51"/>
      <c r="J35" s="51"/>
      <c r="K35" s="51"/>
    </row>
    <row r="36" spans="1:11" s="11" customFormat="1" x14ac:dyDescent="0.3">
      <c r="A36" s="68" t="s">
        <v>72</v>
      </c>
    </row>
    <row r="37" spans="1:11" s="11" customFormat="1" x14ac:dyDescent="0.3">
      <c r="A37" s="3" t="s">
        <v>73</v>
      </c>
    </row>
    <row r="38" spans="1:11" s="11" customFormat="1" x14ac:dyDescent="0.3">
      <c r="A38" s="3" t="s">
        <v>74</v>
      </c>
    </row>
    <row r="39" spans="1:11" s="11" customFormat="1" x14ac:dyDescent="0.3">
      <c r="A39" s="3" t="s">
        <v>79</v>
      </c>
    </row>
    <row r="40" spans="1:11" s="11" customFormat="1" x14ac:dyDescent="0.3">
      <c r="A40" s="3" t="s">
        <v>75</v>
      </c>
    </row>
    <row r="41" spans="1:11" s="11" customFormat="1" x14ac:dyDescent="0.3">
      <c r="A41" s="3" t="s">
        <v>76</v>
      </c>
    </row>
    <row r="42" spans="1:11" s="11" customFormat="1" x14ac:dyDescent="0.3">
      <c r="A42" s="3" t="s">
        <v>77</v>
      </c>
    </row>
    <row r="43" spans="1:11" s="11" customFormat="1" x14ac:dyDescent="0.3"/>
    <row r="44" spans="1:11" s="11" customFormat="1" x14ac:dyDescent="0.3">
      <c r="A44" s="72" t="s">
        <v>68</v>
      </c>
    </row>
    <row r="45" spans="1:11" s="11" customFormat="1" x14ac:dyDescent="0.3"/>
    <row r="46" spans="1:11" s="11" customFormat="1" x14ac:dyDescent="0.3"/>
    <row r="47" spans="1:11" s="11" customFormat="1" x14ac:dyDescent="0.3"/>
    <row r="48" spans="1:11" s="11" customFormat="1" x14ac:dyDescent="0.3"/>
    <row r="49" s="11" customFormat="1" x14ac:dyDescent="0.3"/>
    <row r="50" s="11" customFormat="1" x14ac:dyDescent="0.3"/>
    <row r="51" s="11" customFormat="1" x14ac:dyDescent="0.3"/>
    <row r="52" s="11" customFormat="1" x14ac:dyDescent="0.3"/>
    <row r="53" s="11" customFormat="1" x14ac:dyDescent="0.3"/>
    <row r="54" s="11" customFormat="1" x14ac:dyDescent="0.3"/>
    <row r="55" s="11" customFormat="1" x14ac:dyDescent="0.3"/>
    <row r="56" s="11" customFormat="1" x14ac:dyDescent="0.3"/>
    <row r="57" s="11" customFormat="1" x14ac:dyDescent="0.3"/>
    <row r="58" s="11" customFormat="1" x14ac:dyDescent="0.3"/>
    <row r="59" s="11" customFormat="1" x14ac:dyDescent="0.3"/>
    <row r="60" s="11" customFormat="1" x14ac:dyDescent="0.3"/>
    <row r="61" s="11" customFormat="1" x14ac:dyDescent="0.3"/>
    <row r="62" s="11" customFormat="1" x14ac:dyDescent="0.3"/>
    <row r="63" s="11" customFormat="1" x14ac:dyDescent="0.3"/>
    <row r="64" s="11" customFormat="1" x14ac:dyDescent="0.3"/>
    <row r="65" s="11" customFormat="1" x14ac:dyDescent="0.3"/>
    <row r="66" s="11" customFormat="1" x14ac:dyDescent="0.3"/>
    <row r="67" s="11" customFormat="1" x14ac:dyDescent="0.3"/>
    <row r="68" s="11" customFormat="1" x14ac:dyDescent="0.3"/>
    <row r="69" s="11" customFormat="1" x14ac:dyDescent="0.3"/>
    <row r="70" s="11" customFormat="1" x14ac:dyDescent="0.3"/>
    <row r="71" s="11" customFormat="1" x14ac:dyDescent="0.3"/>
    <row r="72" s="11" customFormat="1" x14ac:dyDescent="0.3"/>
    <row r="73" s="11" customFormat="1" x14ac:dyDescent="0.3"/>
    <row r="74" s="11" customFormat="1" x14ac:dyDescent="0.3"/>
    <row r="75" s="11" customFormat="1" x14ac:dyDescent="0.3"/>
    <row r="76" s="11" customFormat="1" x14ac:dyDescent="0.3"/>
    <row r="77" s="11" customFormat="1" x14ac:dyDescent="0.3"/>
    <row r="78" s="11" customFormat="1" x14ac:dyDescent="0.3"/>
    <row r="79" s="11" customFormat="1" x14ac:dyDescent="0.3"/>
    <row r="80" s="11" customFormat="1" x14ac:dyDescent="0.3"/>
    <row r="81" s="11" customFormat="1" x14ac:dyDescent="0.3"/>
    <row r="82" s="11" customFormat="1" x14ac:dyDescent="0.3"/>
    <row r="83" s="11" customFormat="1" x14ac:dyDescent="0.3"/>
    <row r="84" s="11" customFormat="1" x14ac:dyDescent="0.3"/>
    <row r="85" s="11" customFormat="1" x14ac:dyDescent="0.3"/>
    <row r="86" s="11" customFormat="1" x14ac:dyDescent="0.3"/>
    <row r="87" s="11" customFormat="1" x14ac:dyDescent="0.3"/>
    <row r="88" s="11" customFormat="1" x14ac:dyDescent="0.3"/>
    <row r="89" s="11" customFormat="1" x14ac:dyDescent="0.3"/>
    <row r="90" s="11" customFormat="1" x14ac:dyDescent="0.3"/>
    <row r="91" s="11" customFormat="1" x14ac:dyDescent="0.3"/>
    <row r="92" s="11" customFormat="1" x14ac:dyDescent="0.3"/>
    <row r="93" s="11" customFormat="1" x14ac:dyDescent="0.3"/>
    <row r="94" s="11" customFormat="1" x14ac:dyDescent="0.3"/>
    <row r="95" s="11" customFormat="1" x14ac:dyDescent="0.3"/>
    <row r="96" s="11" customFormat="1" x14ac:dyDescent="0.3"/>
    <row r="97" s="11" customFormat="1" x14ac:dyDescent="0.3"/>
    <row r="98" s="11" customFormat="1" x14ac:dyDescent="0.3"/>
    <row r="99" s="11" customFormat="1" x14ac:dyDescent="0.3"/>
    <row r="100" s="11" customFormat="1" x14ac:dyDescent="0.3"/>
    <row r="101" s="11" customFormat="1" x14ac:dyDescent="0.3"/>
    <row r="102" s="11" customFormat="1" x14ac:dyDescent="0.3"/>
    <row r="103" s="11" customFormat="1" x14ac:dyDescent="0.3"/>
    <row r="104" s="11" customFormat="1" x14ac:dyDescent="0.3"/>
    <row r="105" s="11" customFormat="1" x14ac:dyDescent="0.3"/>
    <row r="106" s="11" customFormat="1" x14ac:dyDescent="0.3"/>
    <row r="107" s="11" customFormat="1" x14ac:dyDescent="0.3"/>
    <row r="108" s="11" customFormat="1" x14ac:dyDescent="0.3"/>
    <row r="109" s="11" customFormat="1" x14ac:dyDescent="0.3"/>
    <row r="110" s="11" customFormat="1" x14ac:dyDescent="0.3"/>
    <row r="111" s="11" customFormat="1" x14ac:dyDescent="0.3"/>
    <row r="112" s="11" customFormat="1" x14ac:dyDescent="0.3"/>
    <row r="113" s="11" customFormat="1" x14ac:dyDescent="0.3"/>
    <row r="114" s="11" customFormat="1" x14ac:dyDescent="0.3"/>
    <row r="115" s="11" customFormat="1" x14ac:dyDescent="0.3"/>
    <row r="116" s="11" customFormat="1" x14ac:dyDescent="0.3"/>
    <row r="117" s="11" customFormat="1" x14ac:dyDescent="0.3"/>
    <row r="118" s="11" customFormat="1" x14ac:dyDescent="0.3"/>
    <row r="119" s="11" customFormat="1" x14ac:dyDescent="0.3"/>
    <row r="120" s="11" customFormat="1" x14ac:dyDescent="0.3"/>
    <row r="121" s="11" customFormat="1" x14ac:dyDescent="0.3"/>
    <row r="122" s="11" customFormat="1" x14ac:dyDescent="0.3"/>
    <row r="123" s="11" customFormat="1" x14ac:dyDescent="0.3"/>
    <row r="124" s="11" customFormat="1" x14ac:dyDescent="0.3"/>
    <row r="125" s="11" customFormat="1" x14ac:dyDescent="0.3"/>
    <row r="126" s="11" customFormat="1" x14ac:dyDescent="0.3"/>
    <row r="127" s="11" customFormat="1" x14ac:dyDescent="0.3"/>
    <row r="128" s="11" customFormat="1" x14ac:dyDescent="0.3"/>
    <row r="129" s="11" customFormat="1" x14ac:dyDescent="0.3"/>
    <row r="130" s="11" customFormat="1" x14ac:dyDescent="0.3"/>
    <row r="131" s="11" customFormat="1" x14ac:dyDescent="0.3"/>
    <row r="132" s="11" customFormat="1" x14ac:dyDescent="0.3"/>
    <row r="133" s="11" customFormat="1" x14ac:dyDescent="0.3"/>
    <row r="134" s="11" customFormat="1" x14ac:dyDescent="0.3"/>
    <row r="135" s="11" customFormat="1" x14ac:dyDescent="0.3"/>
    <row r="136" s="11" customFormat="1" x14ac:dyDescent="0.3"/>
    <row r="137" s="11" customFormat="1" x14ac:dyDescent="0.3"/>
    <row r="138" s="11" customFormat="1" x14ac:dyDescent="0.3"/>
    <row r="139" s="11" customFormat="1" x14ac:dyDescent="0.3"/>
    <row r="140" s="11" customFormat="1" x14ac:dyDescent="0.3"/>
    <row r="141" s="11" customFormat="1" x14ac:dyDescent="0.3"/>
    <row r="142" s="11" customFormat="1" x14ac:dyDescent="0.3"/>
    <row r="143" s="11" customFormat="1" x14ac:dyDescent="0.3"/>
    <row r="144" s="11" customFormat="1" x14ac:dyDescent="0.3"/>
    <row r="145" s="11" customFormat="1" x14ac:dyDescent="0.3"/>
  </sheetData>
  <mergeCells count="1">
    <mergeCell ref="E3:F3"/>
  </mergeCells>
  <conditionalFormatting sqref="C25">
    <cfRule type="containsText" dxfId="0" priority="1" operator="containsText" text="OR(Error,Multiply)">
      <formula>NOT(ISERROR(SEARCH("OR(Error,Multiply)",C25)))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.05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IntraDay - GAV</vt:lpstr>
      <vt:lpstr>Positional - GAV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HCL</dc:creator>
  <cp:lastModifiedBy>Vincent S. Pereira</cp:lastModifiedBy>
  <dcterms:created xsi:type="dcterms:W3CDTF">2015-03-14T06:51:33Z</dcterms:created>
  <dcterms:modified xsi:type="dcterms:W3CDTF">2024-03-06T02:41:32Z</dcterms:modified>
</cp:coreProperties>
</file>