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Vincent\Current Working Files\Trading Files - New\"/>
    </mc:Choice>
  </mc:AlternateContent>
  <xr:revisionPtr revIDLastSave="0" documentId="13_ncr:1_{35B0DF88-3957-4219-A904-266DF4DA4EC6}" xr6:coauthVersionLast="47" xr6:coauthVersionMax="47" xr10:uidLastSave="{00000000-0000-0000-0000-000000000000}"/>
  <bookViews>
    <workbookView xWindow="-118" yWindow="-118" windowWidth="33749" windowHeight="20474" tabRatio="739" activeTab="3" xr2:uid="{00000000-000D-0000-FFFF-FFFF00000000}"/>
  </bookViews>
  <sheets>
    <sheet name="Base Data" sheetId="4" r:id="rId1"/>
    <sheet name="All Columns" sheetId="92" r:id="rId2"/>
    <sheet name="BNF-Nifty" sheetId="5" r:id="rId3"/>
    <sheet name="Ashok-AsianP" sheetId="99" r:id="rId4"/>
  </sheets>
  <externalReferences>
    <externalReference r:id="rId5"/>
    <externalReference r:id="rId6"/>
    <externalReference r:id="rId7"/>
    <externalReference r:id="rId8"/>
    <externalReference r:id="rId9"/>
    <externalReference r:id="rId10"/>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I11" i="92" l="1"/>
  <c r="BH11" i="92"/>
  <c r="BG11" i="92"/>
  <c r="BI9" i="92"/>
  <c r="BH9" i="92"/>
  <c r="BG9" i="92"/>
  <c r="AH1" i="5"/>
  <c r="AE2" i="5"/>
  <c r="AD2" i="5"/>
  <c r="AD1" i="5"/>
  <c r="L88" i="5"/>
  <c r="M90" i="5"/>
  <c r="M89" i="5"/>
  <c r="M87" i="5"/>
  <c r="M86" i="5"/>
  <c r="M85" i="5"/>
  <c r="L90" i="5"/>
  <c r="L89" i="5"/>
  <c r="L87" i="5"/>
  <c r="L86" i="5"/>
  <c r="L85" i="5"/>
  <c r="M82" i="5"/>
  <c r="M81" i="5"/>
  <c r="M80" i="5"/>
  <c r="M79" i="5"/>
  <c r="M78" i="5"/>
  <c r="M83" i="5"/>
  <c r="L80" i="5"/>
  <c r="L79" i="5"/>
  <c r="L78" i="5"/>
  <c r="L83" i="5"/>
  <c r="L82" i="5"/>
  <c r="L81" i="5"/>
  <c r="L84" i="5"/>
  <c r="G84" i="5"/>
  <c r="G83" i="5"/>
  <c r="G82" i="5"/>
  <c r="G85" i="5" s="1"/>
  <c r="G80" i="5"/>
  <c r="G79" i="5"/>
  <c r="G78" i="5"/>
  <c r="G77" i="5"/>
  <c r="H85" i="5"/>
  <c r="H86" i="5" s="1"/>
  <c r="H84" i="5"/>
  <c r="H83" i="5"/>
  <c r="H82" i="5"/>
  <c r="H80" i="5"/>
  <c r="H79" i="5"/>
  <c r="H78" i="5"/>
  <c r="H77" i="5"/>
  <c r="H76" i="5"/>
  <c r="H98" i="5"/>
  <c r="G97" i="5"/>
  <c r="G89" i="5"/>
  <c r="H88" i="5"/>
  <c r="H97" i="5"/>
  <c r="H96" i="5"/>
  <c r="H95" i="5"/>
  <c r="H94" i="5"/>
  <c r="H92" i="5"/>
  <c r="H91" i="5"/>
  <c r="H90" i="5"/>
  <c r="H89" i="5"/>
  <c r="G96" i="5"/>
  <c r="G95" i="5"/>
  <c r="G94" i="5"/>
  <c r="G92" i="5"/>
  <c r="G91" i="5"/>
  <c r="G90" i="5"/>
  <c r="E96" i="5"/>
  <c r="E95" i="5"/>
  <c r="E94" i="5"/>
  <c r="E92" i="5"/>
  <c r="E91" i="5"/>
  <c r="E90" i="5"/>
  <c r="E93" i="5"/>
  <c r="E84" i="5"/>
  <c r="E78" i="5"/>
  <c r="E79" i="5"/>
  <c r="E83" i="5"/>
  <c r="E82" i="5"/>
  <c r="E80" i="5"/>
  <c r="E81" i="5"/>
  <c r="D96" i="5"/>
  <c r="D95" i="5"/>
  <c r="D94" i="5"/>
  <c r="D92" i="5"/>
  <c r="D91" i="5"/>
  <c r="D90" i="5"/>
  <c r="D97" i="5"/>
  <c r="D89" i="5"/>
  <c r="D93" i="5"/>
  <c r="D85" i="5"/>
  <c r="D84" i="5"/>
  <c r="D82" i="5"/>
  <c r="D77" i="5"/>
  <c r="D78" i="5"/>
  <c r="D80" i="5"/>
  <c r="D79" i="5"/>
  <c r="D81" i="5"/>
  <c r="D83" i="5"/>
  <c r="DI1" i="5"/>
  <c r="CZ1" i="5"/>
  <c r="AY69" i="5"/>
  <c r="AW67" i="5"/>
  <c r="B33" i="5"/>
  <c r="D33" i="5"/>
  <c r="E33" i="5"/>
  <c r="H35" i="5"/>
  <c r="H11" i="5"/>
  <c r="DU71" i="5"/>
  <c r="G9" i="5"/>
  <c r="AI5" i="5" l="1"/>
  <c r="AF1" i="5" l="1"/>
  <c r="AA2" i="5"/>
  <c r="Z2" i="5"/>
  <c r="AG2" i="5" l="1"/>
  <c r="AF2" i="5"/>
  <c r="Z1" i="5"/>
  <c r="CP11" i="92" l="1"/>
  <c r="CP9" i="92"/>
  <c r="DF11" i="92"/>
  <c r="DD11" i="92"/>
  <c r="DF9" i="92"/>
  <c r="DD9" i="92"/>
  <c r="DF7" i="92" l="1"/>
  <c r="DF5" i="92"/>
  <c r="DD7" i="92"/>
  <c r="DD5" i="92"/>
  <c r="BZ1" i="5"/>
  <c r="BR1" i="5"/>
  <c r="CP7" i="92"/>
  <c r="CP5" i="92"/>
  <c r="EQ11" i="92" l="1"/>
  <c r="EZ11" i="92" s="1"/>
  <c r="EQ9" i="92"/>
  <c r="EZ9" i="92" s="1"/>
  <c r="EL11" i="92"/>
  <c r="EK11" i="92"/>
  <c r="EJ11" i="92"/>
  <c r="EI11" i="92"/>
  <c r="EH11" i="92"/>
  <c r="EG11" i="92"/>
  <c r="EF11" i="92"/>
  <c r="EE11" i="92"/>
  <c r="DW11" i="92"/>
  <c r="DX11" i="92" s="1"/>
  <c r="DV11" i="92"/>
  <c r="DU11" i="92" s="1"/>
  <c r="DT11" i="92"/>
  <c r="EL9" i="92"/>
  <c r="EK9" i="92"/>
  <c r="EJ9" i="92"/>
  <c r="EI9" i="92"/>
  <c r="EH9" i="92"/>
  <c r="EG9" i="92"/>
  <c r="EF9" i="92"/>
  <c r="EE9" i="92"/>
  <c r="DW9" i="92"/>
  <c r="DX9" i="92" s="1"/>
  <c r="DV9" i="92"/>
  <c r="DU9" i="92" s="1"/>
  <c r="DT9" i="92"/>
  <c r="DP11" i="92"/>
  <c r="DQ11" i="92" s="1"/>
  <c r="DO11" i="92"/>
  <c r="DN11" i="92"/>
  <c r="DM11" i="92"/>
  <c r="DL11" i="92"/>
  <c r="DK11" i="92"/>
  <c r="DJ11" i="92" s="1"/>
  <c r="DI11" i="92"/>
  <c r="DP9" i="92"/>
  <c r="DQ9" i="92" s="1"/>
  <c r="DO9" i="92"/>
  <c r="DN9" i="92"/>
  <c r="DM9" i="92"/>
  <c r="DL9" i="92"/>
  <c r="DK9" i="92"/>
  <c r="DJ9" i="92" s="1"/>
  <c r="DI9" i="92"/>
  <c r="AZ11" i="92"/>
  <c r="AY11" i="92"/>
  <c r="AX11" i="92"/>
  <c r="AW11" i="92"/>
  <c r="AV11" i="92"/>
  <c r="AU11" i="92"/>
  <c r="AT11" i="92"/>
  <c r="AS11" i="92"/>
  <c r="AR11" i="92"/>
  <c r="AQ11" i="92"/>
  <c r="AO11" i="92"/>
  <c r="AM11" i="92"/>
  <c r="AL11" i="92"/>
  <c r="AK11" i="92"/>
  <c r="AZ9" i="92"/>
  <c r="AY9" i="92"/>
  <c r="AX9" i="92"/>
  <c r="AW9" i="92"/>
  <c r="AV9" i="92"/>
  <c r="AU9" i="92"/>
  <c r="AT9" i="92"/>
  <c r="AS9" i="92"/>
  <c r="AR9" i="92"/>
  <c r="AQ9" i="92"/>
  <c r="AO9" i="92"/>
  <c r="AM9" i="92"/>
  <c r="AL9" i="92"/>
  <c r="AK9" i="92"/>
  <c r="BJ1" i="5" l="1"/>
  <c r="X67" i="99" l="1"/>
  <c r="W67" i="99"/>
  <c r="V67" i="99"/>
  <c r="U67" i="99"/>
  <c r="T67" i="99"/>
  <c r="S67" i="99"/>
  <c r="R67" i="99"/>
  <c r="Q67" i="99"/>
  <c r="P67" i="99"/>
  <c r="O67" i="99"/>
  <c r="N67" i="99"/>
  <c r="M67" i="99"/>
  <c r="X66" i="99"/>
  <c r="W66" i="99"/>
  <c r="V66" i="99"/>
  <c r="U66" i="99"/>
  <c r="T66" i="99"/>
  <c r="S66" i="99"/>
  <c r="R66" i="99"/>
  <c r="Q66" i="99"/>
  <c r="P66" i="99"/>
  <c r="O66" i="99"/>
  <c r="N66" i="99"/>
  <c r="M66" i="99"/>
  <c r="X65" i="99"/>
  <c r="W65" i="99"/>
  <c r="V65" i="99"/>
  <c r="U65" i="99"/>
  <c r="T65" i="99"/>
  <c r="S65" i="99"/>
  <c r="R65" i="99"/>
  <c r="Q65" i="99"/>
  <c r="P65" i="99"/>
  <c r="O65" i="99"/>
  <c r="N65" i="99"/>
  <c r="M65" i="99"/>
  <c r="X64" i="99"/>
  <c r="W64" i="99"/>
  <c r="V64" i="99"/>
  <c r="U64" i="99"/>
  <c r="T64" i="99"/>
  <c r="S64" i="99"/>
  <c r="R64" i="99"/>
  <c r="Q64" i="99"/>
  <c r="P64" i="99"/>
  <c r="O64" i="99"/>
  <c r="N64" i="99"/>
  <c r="M64" i="99"/>
  <c r="X63" i="99"/>
  <c r="W63" i="99"/>
  <c r="V63" i="99"/>
  <c r="U63" i="99"/>
  <c r="T63" i="99"/>
  <c r="S63" i="99"/>
  <c r="R63" i="99"/>
  <c r="Q63" i="99"/>
  <c r="P63" i="99"/>
  <c r="O63" i="99"/>
  <c r="N63" i="99"/>
  <c r="M63" i="99"/>
  <c r="X62" i="99"/>
  <c r="W62" i="99"/>
  <c r="V62" i="99"/>
  <c r="U62" i="99"/>
  <c r="T62" i="99"/>
  <c r="S62" i="99"/>
  <c r="R62" i="99"/>
  <c r="Q62" i="99"/>
  <c r="P62" i="99"/>
  <c r="O62" i="99"/>
  <c r="N62" i="99"/>
  <c r="M62" i="99"/>
  <c r="X61" i="99"/>
  <c r="W61" i="99"/>
  <c r="V61" i="99"/>
  <c r="U61" i="99"/>
  <c r="T61" i="99"/>
  <c r="S61" i="99"/>
  <c r="R61" i="99"/>
  <c r="Q61" i="99"/>
  <c r="P61" i="99"/>
  <c r="O61" i="99"/>
  <c r="N61" i="99"/>
  <c r="M61" i="99"/>
  <c r="X60" i="99"/>
  <c r="W60" i="99"/>
  <c r="V60" i="99"/>
  <c r="U60" i="99"/>
  <c r="T60" i="99"/>
  <c r="S60" i="99"/>
  <c r="R60" i="99"/>
  <c r="Q60" i="99"/>
  <c r="P60" i="99"/>
  <c r="O60" i="99"/>
  <c r="N60" i="99"/>
  <c r="M60" i="99"/>
  <c r="X59" i="99"/>
  <c r="W59" i="99"/>
  <c r="V59" i="99"/>
  <c r="U59" i="99"/>
  <c r="T59" i="99"/>
  <c r="S59" i="99"/>
  <c r="R59" i="99"/>
  <c r="Q59" i="99"/>
  <c r="P59" i="99"/>
  <c r="O59" i="99"/>
  <c r="N59" i="99"/>
  <c r="M59" i="99"/>
  <c r="X58" i="99"/>
  <c r="W58" i="99"/>
  <c r="V58" i="99"/>
  <c r="U58" i="99"/>
  <c r="T58" i="99"/>
  <c r="S58" i="99"/>
  <c r="R58" i="99"/>
  <c r="Q58" i="99"/>
  <c r="P58" i="99"/>
  <c r="O58" i="99"/>
  <c r="N58" i="99"/>
  <c r="M58" i="99"/>
  <c r="X57" i="99"/>
  <c r="W57" i="99"/>
  <c r="V57" i="99"/>
  <c r="U57" i="99"/>
  <c r="T57" i="99"/>
  <c r="S57" i="99"/>
  <c r="R57" i="99"/>
  <c r="Q57" i="99"/>
  <c r="P57" i="99"/>
  <c r="O57" i="99"/>
  <c r="N57" i="99"/>
  <c r="M57" i="99"/>
  <c r="X56" i="99"/>
  <c r="W56" i="99"/>
  <c r="V56" i="99"/>
  <c r="U56" i="99"/>
  <c r="T56" i="99"/>
  <c r="S56" i="99"/>
  <c r="R56" i="99"/>
  <c r="Q56" i="99"/>
  <c r="P56" i="99"/>
  <c r="O56" i="99"/>
  <c r="N56" i="99"/>
  <c r="M56" i="99"/>
  <c r="X55" i="99"/>
  <c r="W55" i="99"/>
  <c r="V55" i="99"/>
  <c r="U55" i="99"/>
  <c r="T55" i="99"/>
  <c r="S55" i="99"/>
  <c r="R55" i="99"/>
  <c r="Q55" i="99"/>
  <c r="P55" i="99"/>
  <c r="O55" i="99"/>
  <c r="N55" i="99"/>
  <c r="M55" i="99"/>
  <c r="X54" i="99"/>
  <c r="W54" i="99"/>
  <c r="V54" i="99"/>
  <c r="U54" i="99"/>
  <c r="T54" i="99"/>
  <c r="S54" i="99"/>
  <c r="R54" i="99"/>
  <c r="Q54" i="99"/>
  <c r="P54" i="99"/>
  <c r="O54" i="99"/>
  <c r="N54" i="99"/>
  <c r="M54" i="99"/>
  <c r="X53" i="99"/>
  <c r="W53" i="99"/>
  <c r="V53" i="99"/>
  <c r="U53" i="99"/>
  <c r="T53" i="99"/>
  <c r="S53" i="99"/>
  <c r="R53" i="99"/>
  <c r="Q53" i="99"/>
  <c r="P53" i="99"/>
  <c r="O53" i="99"/>
  <c r="N53" i="99"/>
  <c r="M53" i="99"/>
  <c r="X52" i="99"/>
  <c r="W52" i="99"/>
  <c r="V52" i="99"/>
  <c r="U52" i="99"/>
  <c r="T52" i="99"/>
  <c r="S52" i="99"/>
  <c r="R52" i="99"/>
  <c r="Q52" i="99"/>
  <c r="P52" i="99"/>
  <c r="O52" i="99"/>
  <c r="N52" i="99"/>
  <c r="M52" i="99"/>
  <c r="X51" i="99"/>
  <c r="W51" i="99"/>
  <c r="V51" i="99"/>
  <c r="U51" i="99"/>
  <c r="T51" i="99"/>
  <c r="S51" i="99"/>
  <c r="R51" i="99"/>
  <c r="Q51" i="99"/>
  <c r="P51" i="99"/>
  <c r="O51" i="99"/>
  <c r="N51" i="99"/>
  <c r="M51" i="99"/>
  <c r="X50" i="99"/>
  <c r="W50" i="99"/>
  <c r="V50" i="99"/>
  <c r="U50" i="99"/>
  <c r="T50" i="99"/>
  <c r="S50" i="99"/>
  <c r="R50" i="99"/>
  <c r="Q50" i="99"/>
  <c r="P50" i="99"/>
  <c r="O50" i="99"/>
  <c r="N50" i="99"/>
  <c r="M50" i="99"/>
  <c r="X49" i="99"/>
  <c r="W49" i="99"/>
  <c r="V49" i="99"/>
  <c r="U49" i="99"/>
  <c r="T49" i="99"/>
  <c r="S49" i="99"/>
  <c r="R49" i="99"/>
  <c r="Q49" i="99"/>
  <c r="P49" i="99"/>
  <c r="O49" i="99"/>
  <c r="N49" i="99"/>
  <c r="M49" i="99"/>
  <c r="X48" i="99"/>
  <c r="W48" i="99"/>
  <c r="V48" i="99"/>
  <c r="U48" i="99"/>
  <c r="T48" i="99"/>
  <c r="S48" i="99"/>
  <c r="R48" i="99"/>
  <c r="Q48" i="99"/>
  <c r="P48" i="99"/>
  <c r="O48" i="99"/>
  <c r="N48" i="99"/>
  <c r="M48" i="99"/>
  <c r="X47" i="99"/>
  <c r="W47" i="99"/>
  <c r="V47" i="99"/>
  <c r="U47" i="99"/>
  <c r="T47" i="99"/>
  <c r="S47" i="99"/>
  <c r="R47" i="99"/>
  <c r="Q47" i="99"/>
  <c r="P47" i="99"/>
  <c r="O47" i="99"/>
  <c r="N47" i="99"/>
  <c r="M47" i="99"/>
  <c r="X46" i="99"/>
  <c r="W46" i="99"/>
  <c r="V46" i="99"/>
  <c r="U46" i="99"/>
  <c r="T46" i="99"/>
  <c r="S46" i="99"/>
  <c r="R46" i="99"/>
  <c r="Q46" i="99"/>
  <c r="P46" i="99"/>
  <c r="O46" i="99"/>
  <c r="N46" i="99"/>
  <c r="M46" i="99"/>
  <c r="X45" i="99"/>
  <c r="W45" i="99"/>
  <c r="V45" i="99"/>
  <c r="U45" i="99"/>
  <c r="T45" i="99"/>
  <c r="S45" i="99"/>
  <c r="R45" i="99"/>
  <c r="Q45" i="99"/>
  <c r="P45" i="99"/>
  <c r="O45" i="99"/>
  <c r="N45" i="99"/>
  <c r="M45" i="99"/>
  <c r="X44" i="99"/>
  <c r="W44" i="99"/>
  <c r="V44" i="99"/>
  <c r="U44" i="99"/>
  <c r="T44" i="99"/>
  <c r="S44" i="99"/>
  <c r="R44" i="99"/>
  <c r="Q44" i="99"/>
  <c r="P44" i="99"/>
  <c r="O44" i="99"/>
  <c r="N44" i="99"/>
  <c r="M44" i="99"/>
  <c r="X43" i="99"/>
  <c r="W43" i="99"/>
  <c r="V43" i="99"/>
  <c r="U43" i="99"/>
  <c r="T43" i="99"/>
  <c r="S43" i="99"/>
  <c r="R43" i="99"/>
  <c r="Q43" i="99"/>
  <c r="P43" i="99"/>
  <c r="O43" i="99"/>
  <c r="N43" i="99"/>
  <c r="M43" i="99"/>
  <c r="X42" i="99"/>
  <c r="W42" i="99"/>
  <c r="V42" i="99"/>
  <c r="U42" i="99"/>
  <c r="T42" i="99"/>
  <c r="S42" i="99"/>
  <c r="R42" i="99"/>
  <c r="Q42" i="99"/>
  <c r="P42" i="99"/>
  <c r="O42" i="99"/>
  <c r="N42" i="99"/>
  <c r="M42" i="99"/>
  <c r="X41" i="99"/>
  <c r="W41" i="99"/>
  <c r="V41" i="99"/>
  <c r="U41" i="99"/>
  <c r="T41" i="99"/>
  <c r="S41" i="99"/>
  <c r="R41" i="99"/>
  <c r="Q41" i="99"/>
  <c r="P41" i="99"/>
  <c r="O41" i="99"/>
  <c r="N41" i="99"/>
  <c r="M41" i="99"/>
  <c r="X40" i="99"/>
  <c r="W40" i="99"/>
  <c r="V40" i="99"/>
  <c r="U40" i="99"/>
  <c r="T40" i="99"/>
  <c r="S40" i="99"/>
  <c r="R40" i="99"/>
  <c r="Q40" i="99"/>
  <c r="P40" i="99"/>
  <c r="O40" i="99"/>
  <c r="N40" i="99"/>
  <c r="M40" i="99"/>
  <c r="X39" i="99"/>
  <c r="W39" i="99"/>
  <c r="V39" i="99"/>
  <c r="U39" i="99"/>
  <c r="T39" i="99"/>
  <c r="S39" i="99"/>
  <c r="R39" i="99"/>
  <c r="Q39" i="99"/>
  <c r="P39" i="99"/>
  <c r="O39" i="99"/>
  <c r="N39" i="99"/>
  <c r="M39" i="99"/>
  <c r="X38" i="99"/>
  <c r="W38" i="99"/>
  <c r="V38" i="99"/>
  <c r="U38" i="99"/>
  <c r="T38" i="99"/>
  <c r="S38" i="99"/>
  <c r="R38" i="99"/>
  <c r="Q38" i="99"/>
  <c r="P38" i="99"/>
  <c r="O38" i="99"/>
  <c r="N38" i="99"/>
  <c r="M38" i="99"/>
  <c r="X37" i="99"/>
  <c r="W37" i="99"/>
  <c r="V37" i="99"/>
  <c r="U37" i="99"/>
  <c r="T37" i="99"/>
  <c r="S37" i="99"/>
  <c r="R37" i="99"/>
  <c r="Q37" i="99"/>
  <c r="P37" i="99"/>
  <c r="O37" i="99"/>
  <c r="N37" i="99"/>
  <c r="M37" i="99"/>
  <c r="X36" i="99"/>
  <c r="W36" i="99"/>
  <c r="V36" i="99"/>
  <c r="U36" i="99"/>
  <c r="T36" i="99"/>
  <c r="S36" i="99"/>
  <c r="R36" i="99"/>
  <c r="Q36" i="99"/>
  <c r="P36" i="99"/>
  <c r="O36" i="99"/>
  <c r="N36" i="99"/>
  <c r="M36" i="99"/>
  <c r="X35" i="99"/>
  <c r="W35" i="99"/>
  <c r="V35" i="99"/>
  <c r="U35" i="99"/>
  <c r="T35" i="99"/>
  <c r="S35" i="99"/>
  <c r="R35" i="99"/>
  <c r="Q35" i="99"/>
  <c r="P35" i="99"/>
  <c r="O35" i="99"/>
  <c r="N35" i="99"/>
  <c r="M35" i="99"/>
  <c r="X34" i="99"/>
  <c r="W34" i="99"/>
  <c r="V34" i="99"/>
  <c r="U34" i="99"/>
  <c r="T34" i="99"/>
  <c r="S34" i="99"/>
  <c r="R34" i="99"/>
  <c r="Q34" i="99"/>
  <c r="P34" i="99"/>
  <c r="O34" i="99"/>
  <c r="N34" i="99"/>
  <c r="M34" i="99"/>
  <c r="X33" i="99"/>
  <c r="W33" i="99"/>
  <c r="V33" i="99"/>
  <c r="U33" i="99"/>
  <c r="T33" i="99"/>
  <c r="S33" i="99"/>
  <c r="R33" i="99"/>
  <c r="Q33" i="99"/>
  <c r="P33" i="99"/>
  <c r="O33" i="99"/>
  <c r="N33" i="99"/>
  <c r="M33" i="99"/>
  <c r="X32" i="99"/>
  <c r="W32" i="99"/>
  <c r="V32" i="99"/>
  <c r="U32" i="99"/>
  <c r="T32" i="99"/>
  <c r="S32" i="99"/>
  <c r="R32" i="99"/>
  <c r="Q32" i="99"/>
  <c r="P32" i="99"/>
  <c r="O32" i="99"/>
  <c r="N32" i="99"/>
  <c r="M32" i="99"/>
  <c r="X31" i="99"/>
  <c r="W31" i="99"/>
  <c r="V31" i="99"/>
  <c r="U31" i="99"/>
  <c r="T31" i="99"/>
  <c r="S31" i="99"/>
  <c r="R31" i="99"/>
  <c r="Q31" i="99"/>
  <c r="P31" i="99"/>
  <c r="O31" i="99"/>
  <c r="N31" i="99"/>
  <c r="M31" i="99"/>
  <c r="X30" i="99"/>
  <c r="W30" i="99"/>
  <c r="V30" i="99"/>
  <c r="U30" i="99"/>
  <c r="T30" i="99"/>
  <c r="S30" i="99"/>
  <c r="R30" i="99"/>
  <c r="Q30" i="99"/>
  <c r="P30" i="99"/>
  <c r="O30" i="99"/>
  <c r="N30" i="99"/>
  <c r="M30" i="99"/>
  <c r="X29" i="99"/>
  <c r="W29" i="99"/>
  <c r="V29" i="99"/>
  <c r="U29" i="99"/>
  <c r="T29" i="99"/>
  <c r="S29" i="99"/>
  <c r="R29" i="99"/>
  <c r="Q29" i="99"/>
  <c r="P29" i="99"/>
  <c r="O29" i="99"/>
  <c r="N29" i="99"/>
  <c r="M29" i="99"/>
  <c r="X28" i="99"/>
  <c r="W28" i="99"/>
  <c r="V28" i="99"/>
  <c r="U28" i="99"/>
  <c r="T28" i="99"/>
  <c r="S28" i="99"/>
  <c r="R28" i="99"/>
  <c r="Q28" i="99"/>
  <c r="P28" i="99"/>
  <c r="O28" i="99"/>
  <c r="N28" i="99"/>
  <c r="M28" i="99"/>
  <c r="X27" i="99"/>
  <c r="W27" i="99"/>
  <c r="V27" i="99"/>
  <c r="U27" i="99"/>
  <c r="T27" i="99"/>
  <c r="S27" i="99"/>
  <c r="R27" i="99"/>
  <c r="Q27" i="99"/>
  <c r="P27" i="99"/>
  <c r="O27" i="99"/>
  <c r="N27" i="99"/>
  <c r="M27" i="99"/>
  <c r="X26" i="99"/>
  <c r="W26" i="99"/>
  <c r="V26" i="99"/>
  <c r="U26" i="99"/>
  <c r="T26" i="99"/>
  <c r="S26" i="99"/>
  <c r="R26" i="99"/>
  <c r="Q26" i="99"/>
  <c r="P26" i="99"/>
  <c r="O26" i="99"/>
  <c r="N26" i="99"/>
  <c r="M26" i="99"/>
  <c r="X25" i="99"/>
  <c r="W25" i="99"/>
  <c r="V25" i="99"/>
  <c r="U25" i="99"/>
  <c r="T25" i="99"/>
  <c r="S25" i="99"/>
  <c r="R25" i="99"/>
  <c r="Q25" i="99"/>
  <c r="P25" i="99"/>
  <c r="O25" i="99"/>
  <c r="N25" i="99"/>
  <c r="M25" i="99"/>
  <c r="X24" i="99"/>
  <c r="W24" i="99"/>
  <c r="V24" i="99"/>
  <c r="U24" i="99"/>
  <c r="T24" i="99"/>
  <c r="S24" i="99"/>
  <c r="R24" i="99"/>
  <c r="Q24" i="99"/>
  <c r="P24" i="99"/>
  <c r="O24" i="99"/>
  <c r="N24" i="99"/>
  <c r="M24" i="99"/>
  <c r="X23" i="99"/>
  <c r="W23" i="99"/>
  <c r="V23" i="99"/>
  <c r="U23" i="99"/>
  <c r="T23" i="99"/>
  <c r="S23" i="99"/>
  <c r="R23" i="99"/>
  <c r="Q23" i="99"/>
  <c r="P23" i="99"/>
  <c r="O23" i="99"/>
  <c r="N23" i="99"/>
  <c r="M23" i="99"/>
  <c r="X22" i="99"/>
  <c r="W22" i="99"/>
  <c r="V22" i="99"/>
  <c r="U22" i="99"/>
  <c r="T22" i="99"/>
  <c r="S22" i="99"/>
  <c r="R22" i="99"/>
  <c r="Q22" i="99"/>
  <c r="P22" i="99"/>
  <c r="O22" i="99"/>
  <c r="N22" i="99"/>
  <c r="M22" i="99"/>
  <c r="X21" i="99"/>
  <c r="W21" i="99"/>
  <c r="V21" i="99"/>
  <c r="U21" i="99"/>
  <c r="T21" i="99"/>
  <c r="S21" i="99"/>
  <c r="R21" i="99"/>
  <c r="Q21" i="99"/>
  <c r="P21" i="99"/>
  <c r="O21" i="99"/>
  <c r="N21" i="99"/>
  <c r="M21" i="99"/>
  <c r="X20" i="99"/>
  <c r="W20" i="99"/>
  <c r="V20" i="99"/>
  <c r="U20" i="99"/>
  <c r="T20" i="99"/>
  <c r="S20" i="99"/>
  <c r="R20" i="99"/>
  <c r="Q20" i="99"/>
  <c r="P20" i="99"/>
  <c r="O20" i="99"/>
  <c r="N20" i="99"/>
  <c r="M20" i="99"/>
  <c r="X19" i="99"/>
  <c r="W19" i="99"/>
  <c r="V19" i="99"/>
  <c r="U19" i="99"/>
  <c r="T19" i="99"/>
  <c r="S19" i="99"/>
  <c r="R19" i="99"/>
  <c r="Q19" i="99"/>
  <c r="P19" i="99"/>
  <c r="O19" i="99"/>
  <c r="N19" i="99"/>
  <c r="M19" i="99"/>
  <c r="X18" i="99"/>
  <c r="W18" i="99"/>
  <c r="V18" i="99"/>
  <c r="U18" i="99"/>
  <c r="T18" i="99"/>
  <c r="S18" i="99"/>
  <c r="R18" i="99"/>
  <c r="Q18" i="99"/>
  <c r="P18" i="99"/>
  <c r="O18" i="99"/>
  <c r="N18" i="99"/>
  <c r="M18" i="99"/>
  <c r="X17" i="99"/>
  <c r="W17" i="99"/>
  <c r="V17" i="99"/>
  <c r="U17" i="99"/>
  <c r="T17" i="99"/>
  <c r="S17" i="99"/>
  <c r="R17" i="99"/>
  <c r="Q17" i="99"/>
  <c r="P17" i="99"/>
  <c r="O17" i="99"/>
  <c r="N17" i="99"/>
  <c r="M17" i="99"/>
  <c r="X16" i="99"/>
  <c r="W16" i="99"/>
  <c r="V16" i="99"/>
  <c r="U16" i="99"/>
  <c r="T16" i="99"/>
  <c r="S16" i="99"/>
  <c r="R16" i="99"/>
  <c r="Q16" i="99"/>
  <c r="P16" i="99"/>
  <c r="O16" i="99"/>
  <c r="N16" i="99"/>
  <c r="M16" i="99"/>
  <c r="X15" i="99"/>
  <c r="W15" i="99"/>
  <c r="V15" i="99"/>
  <c r="U15" i="99"/>
  <c r="T15" i="99"/>
  <c r="S15" i="99"/>
  <c r="R15" i="99"/>
  <c r="Q15" i="99"/>
  <c r="P15" i="99"/>
  <c r="O15" i="99"/>
  <c r="N15" i="99"/>
  <c r="M15" i="99"/>
  <c r="X14" i="99"/>
  <c r="W14" i="99"/>
  <c r="V14" i="99"/>
  <c r="U14" i="99"/>
  <c r="T14" i="99"/>
  <c r="S14" i="99"/>
  <c r="R14" i="99"/>
  <c r="Q14" i="99"/>
  <c r="P14" i="99"/>
  <c r="O14" i="99"/>
  <c r="N14" i="99"/>
  <c r="M14" i="99"/>
  <c r="X13" i="99"/>
  <c r="W13" i="99"/>
  <c r="V13" i="99"/>
  <c r="U13" i="99"/>
  <c r="T13" i="99"/>
  <c r="S13" i="99"/>
  <c r="R13" i="99"/>
  <c r="Q13" i="99"/>
  <c r="P13" i="99"/>
  <c r="O13" i="99"/>
  <c r="N13" i="99"/>
  <c r="M13" i="99"/>
  <c r="X12" i="99"/>
  <c r="W12" i="99"/>
  <c r="V12" i="99"/>
  <c r="U12" i="99"/>
  <c r="T12" i="99"/>
  <c r="S12" i="99"/>
  <c r="R12" i="99"/>
  <c r="Q12" i="99"/>
  <c r="P12" i="99"/>
  <c r="O12" i="99"/>
  <c r="N12" i="99"/>
  <c r="M12" i="99"/>
  <c r="X11" i="99"/>
  <c r="W11" i="99"/>
  <c r="V11" i="99"/>
  <c r="U11" i="99"/>
  <c r="T11" i="99"/>
  <c r="S11" i="99"/>
  <c r="R11" i="99"/>
  <c r="Q11" i="99"/>
  <c r="P11" i="99"/>
  <c r="O11" i="99"/>
  <c r="N11" i="99"/>
  <c r="M11" i="99"/>
  <c r="X10" i="99"/>
  <c r="W10" i="99"/>
  <c r="V10" i="99"/>
  <c r="U10" i="99"/>
  <c r="T10" i="99"/>
  <c r="S10" i="99"/>
  <c r="R10" i="99"/>
  <c r="Q10" i="99"/>
  <c r="P10" i="99"/>
  <c r="O10" i="99"/>
  <c r="N10" i="99"/>
  <c r="M10" i="99"/>
  <c r="X9" i="99"/>
  <c r="W9" i="99"/>
  <c r="V9" i="99"/>
  <c r="U9" i="99"/>
  <c r="T9" i="99"/>
  <c r="S9" i="99"/>
  <c r="R9" i="99"/>
  <c r="Q9" i="99"/>
  <c r="P9" i="99"/>
  <c r="O9" i="99"/>
  <c r="N9" i="99"/>
  <c r="M9" i="99"/>
  <c r="X8" i="99"/>
  <c r="W8" i="99"/>
  <c r="V8" i="99"/>
  <c r="U8" i="99"/>
  <c r="T8" i="99"/>
  <c r="S8" i="99"/>
  <c r="R8" i="99"/>
  <c r="Q8" i="99"/>
  <c r="P8" i="99"/>
  <c r="O8" i="99"/>
  <c r="N8" i="99"/>
  <c r="M8" i="99"/>
  <c r="X7" i="99"/>
  <c r="W7" i="99"/>
  <c r="V7" i="99"/>
  <c r="U7" i="99"/>
  <c r="T7" i="99"/>
  <c r="S7" i="99"/>
  <c r="R7" i="99"/>
  <c r="Q7" i="99"/>
  <c r="P7" i="99"/>
  <c r="O7" i="99"/>
  <c r="N7" i="99"/>
  <c r="M7" i="99"/>
  <c r="X6" i="99"/>
  <c r="W6" i="99"/>
  <c r="V6" i="99"/>
  <c r="U6" i="99"/>
  <c r="T6" i="99"/>
  <c r="S6" i="99"/>
  <c r="R6" i="99"/>
  <c r="Q6" i="99"/>
  <c r="P6" i="99"/>
  <c r="O6" i="99"/>
  <c r="N6" i="99"/>
  <c r="M6" i="99"/>
  <c r="X5" i="99"/>
  <c r="W5" i="99"/>
  <c r="V5" i="99"/>
  <c r="U5" i="99"/>
  <c r="T5" i="99"/>
  <c r="S5" i="99"/>
  <c r="R5" i="99"/>
  <c r="Q5" i="99"/>
  <c r="P5" i="99"/>
  <c r="O5" i="99"/>
  <c r="N5" i="99"/>
  <c r="M5" i="99"/>
  <c r="X4" i="99"/>
  <c r="W4" i="99"/>
  <c r="V4" i="99"/>
  <c r="U4" i="99"/>
  <c r="T4" i="99"/>
  <c r="S4" i="99"/>
  <c r="R4" i="99"/>
  <c r="Q4" i="99"/>
  <c r="P4" i="99"/>
  <c r="O4" i="99"/>
  <c r="N4" i="99"/>
  <c r="M4" i="99"/>
  <c r="X67" i="5"/>
  <c r="W67" i="5"/>
  <c r="V67" i="5"/>
  <c r="U67" i="5"/>
  <c r="T67" i="5"/>
  <c r="S67" i="5"/>
  <c r="R67" i="5"/>
  <c r="Q67" i="5"/>
  <c r="P67" i="5"/>
  <c r="O67" i="5"/>
  <c r="N67" i="5"/>
  <c r="M67" i="5"/>
  <c r="X66" i="5"/>
  <c r="W66" i="5"/>
  <c r="AA67" i="5" s="1"/>
  <c r="AF66" i="5" s="1"/>
  <c r="V66" i="5"/>
  <c r="U66" i="5"/>
  <c r="T66" i="5"/>
  <c r="S66" i="5"/>
  <c r="R66" i="5"/>
  <c r="Q66" i="5"/>
  <c r="P66" i="5"/>
  <c r="O66" i="5"/>
  <c r="N66" i="5"/>
  <c r="M66" i="5"/>
  <c r="X65" i="5"/>
  <c r="W65" i="5"/>
  <c r="AA66" i="5" s="1"/>
  <c r="AF65" i="5" s="1"/>
  <c r="V65" i="5"/>
  <c r="U65" i="5"/>
  <c r="T65" i="5"/>
  <c r="S65" i="5"/>
  <c r="R65" i="5"/>
  <c r="Q65" i="5"/>
  <c r="P65" i="5"/>
  <c r="O65" i="5"/>
  <c r="N65" i="5"/>
  <c r="M65" i="5"/>
  <c r="X64" i="5"/>
  <c r="W64" i="5"/>
  <c r="V64" i="5"/>
  <c r="U64" i="5"/>
  <c r="T64" i="5"/>
  <c r="S64" i="5"/>
  <c r="R64" i="5"/>
  <c r="Q64" i="5"/>
  <c r="P64" i="5"/>
  <c r="O64" i="5"/>
  <c r="N64" i="5"/>
  <c r="M64" i="5"/>
  <c r="X63" i="5"/>
  <c r="W63" i="5"/>
  <c r="AA64" i="5" s="1"/>
  <c r="AF63" i="5" s="1"/>
  <c r="V63" i="5"/>
  <c r="U63" i="5"/>
  <c r="T63" i="5"/>
  <c r="S63" i="5"/>
  <c r="R63" i="5"/>
  <c r="Q63" i="5"/>
  <c r="P63" i="5"/>
  <c r="O63" i="5"/>
  <c r="N63" i="5"/>
  <c r="M63" i="5"/>
  <c r="X62" i="5"/>
  <c r="W62" i="5"/>
  <c r="AA63" i="5" s="1"/>
  <c r="AF62" i="5" s="1"/>
  <c r="V62" i="5"/>
  <c r="U62" i="5"/>
  <c r="T62" i="5"/>
  <c r="S62" i="5"/>
  <c r="R62" i="5"/>
  <c r="Q62" i="5"/>
  <c r="P62" i="5"/>
  <c r="O62" i="5"/>
  <c r="N62" i="5"/>
  <c r="M62" i="5"/>
  <c r="X61" i="5"/>
  <c r="W61" i="5"/>
  <c r="AA62" i="5" s="1"/>
  <c r="AF61" i="5" s="1"/>
  <c r="V61" i="5"/>
  <c r="U61" i="5"/>
  <c r="T61" i="5"/>
  <c r="S61" i="5"/>
  <c r="R61" i="5"/>
  <c r="Q61" i="5"/>
  <c r="P61" i="5"/>
  <c r="O61" i="5"/>
  <c r="N61" i="5"/>
  <c r="M61" i="5"/>
  <c r="X60" i="5"/>
  <c r="W60" i="5"/>
  <c r="V60" i="5"/>
  <c r="U60" i="5"/>
  <c r="T60" i="5"/>
  <c r="S60" i="5"/>
  <c r="R60" i="5"/>
  <c r="Q60" i="5"/>
  <c r="P60" i="5"/>
  <c r="O60" i="5"/>
  <c r="N60" i="5"/>
  <c r="M60" i="5"/>
  <c r="X59" i="5"/>
  <c r="W59" i="5"/>
  <c r="AA60" i="5" s="1"/>
  <c r="AF59" i="5" s="1"/>
  <c r="V59" i="5"/>
  <c r="U59" i="5"/>
  <c r="T59" i="5"/>
  <c r="S59" i="5"/>
  <c r="R59" i="5"/>
  <c r="Q59" i="5"/>
  <c r="P59" i="5"/>
  <c r="O59" i="5"/>
  <c r="N59" i="5"/>
  <c r="M59" i="5"/>
  <c r="X58" i="5"/>
  <c r="W58" i="5"/>
  <c r="AA59" i="5" s="1"/>
  <c r="AF58" i="5" s="1"/>
  <c r="V58" i="5"/>
  <c r="U58" i="5"/>
  <c r="T58" i="5"/>
  <c r="S58" i="5"/>
  <c r="R58" i="5"/>
  <c r="Q58" i="5"/>
  <c r="P58" i="5"/>
  <c r="O58" i="5"/>
  <c r="N58" i="5"/>
  <c r="M58" i="5"/>
  <c r="X57" i="5"/>
  <c r="W57" i="5"/>
  <c r="V57" i="5"/>
  <c r="U57" i="5"/>
  <c r="T57" i="5"/>
  <c r="S57" i="5"/>
  <c r="R57" i="5"/>
  <c r="Q57" i="5"/>
  <c r="P57" i="5"/>
  <c r="O57" i="5"/>
  <c r="N57" i="5"/>
  <c r="M57" i="5"/>
  <c r="X56" i="5"/>
  <c r="W56" i="5"/>
  <c r="V56" i="5"/>
  <c r="U56" i="5"/>
  <c r="T56" i="5"/>
  <c r="S56" i="5"/>
  <c r="R56" i="5"/>
  <c r="Q56" i="5"/>
  <c r="P56" i="5"/>
  <c r="O56" i="5"/>
  <c r="N56" i="5"/>
  <c r="M56" i="5"/>
  <c r="X55" i="5"/>
  <c r="W55" i="5"/>
  <c r="AA56" i="5" s="1"/>
  <c r="AF55" i="5" s="1"/>
  <c r="V55" i="5"/>
  <c r="U55" i="5"/>
  <c r="T55" i="5"/>
  <c r="S55" i="5"/>
  <c r="R55" i="5"/>
  <c r="Q55" i="5"/>
  <c r="P55" i="5"/>
  <c r="O55" i="5"/>
  <c r="N55" i="5"/>
  <c r="M55" i="5"/>
  <c r="X54" i="5"/>
  <c r="W54" i="5"/>
  <c r="AA55" i="5" s="1"/>
  <c r="AF54" i="5" s="1"/>
  <c r="V54" i="5"/>
  <c r="U54" i="5"/>
  <c r="T54" i="5"/>
  <c r="S54" i="5"/>
  <c r="R54" i="5"/>
  <c r="Q54" i="5"/>
  <c r="P54" i="5"/>
  <c r="O54" i="5"/>
  <c r="N54" i="5"/>
  <c r="M54" i="5"/>
  <c r="X53" i="5"/>
  <c r="W53" i="5"/>
  <c r="AA54" i="5" s="1"/>
  <c r="AF53" i="5" s="1"/>
  <c r="V53" i="5"/>
  <c r="U53" i="5"/>
  <c r="T53" i="5"/>
  <c r="S53" i="5"/>
  <c r="R53" i="5"/>
  <c r="Q53" i="5"/>
  <c r="P53" i="5"/>
  <c r="O53" i="5"/>
  <c r="N53" i="5"/>
  <c r="M53" i="5"/>
  <c r="X52" i="5"/>
  <c r="W52" i="5"/>
  <c r="V52" i="5"/>
  <c r="U52" i="5"/>
  <c r="T52" i="5"/>
  <c r="S52" i="5"/>
  <c r="R52" i="5"/>
  <c r="Q52" i="5"/>
  <c r="P52" i="5"/>
  <c r="O52" i="5"/>
  <c r="N52" i="5"/>
  <c r="M52" i="5"/>
  <c r="X51" i="5"/>
  <c r="W51" i="5"/>
  <c r="AA52" i="5" s="1"/>
  <c r="AF51" i="5" s="1"/>
  <c r="V51" i="5"/>
  <c r="U51" i="5"/>
  <c r="T51" i="5"/>
  <c r="S51" i="5"/>
  <c r="R51" i="5"/>
  <c r="Q51" i="5"/>
  <c r="P51" i="5"/>
  <c r="O51" i="5"/>
  <c r="N51" i="5"/>
  <c r="M51" i="5"/>
  <c r="X50" i="5"/>
  <c r="W50" i="5"/>
  <c r="AA51" i="5" s="1"/>
  <c r="AF50" i="5" s="1"/>
  <c r="V50" i="5"/>
  <c r="U50" i="5"/>
  <c r="T50" i="5"/>
  <c r="S50" i="5"/>
  <c r="R50" i="5"/>
  <c r="Q50" i="5"/>
  <c r="P50" i="5"/>
  <c r="O50" i="5"/>
  <c r="N50" i="5"/>
  <c r="M50" i="5"/>
  <c r="X49" i="5"/>
  <c r="W49" i="5"/>
  <c r="AA50" i="5" s="1"/>
  <c r="AF49" i="5" s="1"/>
  <c r="V49" i="5"/>
  <c r="U49" i="5"/>
  <c r="T49" i="5"/>
  <c r="S49" i="5"/>
  <c r="R49" i="5"/>
  <c r="Q49" i="5"/>
  <c r="P49" i="5"/>
  <c r="O49" i="5"/>
  <c r="N49" i="5"/>
  <c r="M49" i="5"/>
  <c r="X48" i="5"/>
  <c r="W48" i="5"/>
  <c r="V48" i="5"/>
  <c r="U48" i="5"/>
  <c r="T48" i="5"/>
  <c r="S48" i="5"/>
  <c r="R48" i="5"/>
  <c r="Q48" i="5"/>
  <c r="P48" i="5"/>
  <c r="O48" i="5"/>
  <c r="N48" i="5"/>
  <c r="M48" i="5"/>
  <c r="X47" i="5"/>
  <c r="W47" i="5"/>
  <c r="AA48" i="5" s="1"/>
  <c r="AF47" i="5" s="1"/>
  <c r="V47" i="5"/>
  <c r="U47" i="5"/>
  <c r="T47" i="5"/>
  <c r="S47" i="5"/>
  <c r="R47" i="5"/>
  <c r="Q47" i="5"/>
  <c r="P47" i="5"/>
  <c r="O47" i="5"/>
  <c r="N47" i="5"/>
  <c r="M47" i="5"/>
  <c r="X46" i="5"/>
  <c r="W46" i="5"/>
  <c r="AA47" i="5" s="1"/>
  <c r="AF46" i="5" s="1"/>
  <c r="V46" i="5"/>
  <c r="U46" i="5"/>
  <c r="T46" i="5"/>
  <c r="S46" i="5"/>
  <c r="R46" i="5"/>
  <c r="Q46" i="5"/>
  <c r="P46" i="5"/>
  <c r="O46" i="5"/>
  <c r="N46" i="5"/>
  <c r="M46" i="5"/>
  <c r="X45" i="5"/>
  <c r="W45" i="5"/>
  <c r="AA46" i="5" s="1"/>
  <c r="AF45" i="5" s="1"/>
  <c r="V45" i="5"/>
  <c r="U45" i="5"/>
  <c r="T45" i="5"/>
  <c r="S45" i="5"/>
  <c r="R45" i="5"/>
  <c r="Q45" i="5"/>
  <c r="P45" i="5"/>
  <c r="O45" i="5"/>
  <c r="N45" i="5"/>
  <c r="M45" i="5"/>
  <c r="X44" i="5"/>
  <c r="W44" i="5"/>
  <c r="V44" i="5"/>
  <c r="U44" i="5"/>
  <c r="T44" i="5"/>
  <c r="S44" i="5"/>
  <c r="R44" i="5"/>
  <c r="Q44" i="5"/>
  <c r="P44" i="5"/>
  <c r="O44" i="5"/>
  <c r="N44" i="5"/>
  <c r="M44" i="5"/>
  <c r="X43" i="5"/>
  <c r="W43" i="5"/>
  <c r="AA44" i="5" s="1"/>
  <c r="AF43" i="5" s="1"/>
  <c r="V43" i="5"/>
  <c r="U43" i="5"/>
  <c r="T43" i="5"/>
  <c r="S43" i="5"/>
  <c r="R43" i="5"/>
  <c r="Q43" i="5"/>
  <c r="P43" i="5"/>
  <c r="O43" i="5"/>
  <c r="N43" i="5"/>
  <c r="M43" i="5"/>
  <c r="X42" i="5"/>
  <c r="W42" i="5"/>
  <c r="AA43" i="5" s="1"/>
  <c r="AF42" i="5" s="1"/>
  <c r="V42" i="5"/>
  <c r="U42" i="5"/>
  <c r="T42" i="5"/>
  <c r="S42" i="5"/>
  <c r="R42" i="5"/>
  <c r="Q42" i="5"/>
  <c r="P42" i="5"/>
  <c r="O42" i="5"/>
  <c r="N42" i="5"/>
  <c r="M42" i="5"/>
  <c r="X41" i="5"/>
  <c r="W41" i="5"/>
  <c r="AA42" i="5" s="1"/>
  <c r="AF41" i="5" s="1"/>
  <c r="V41" i="5"/>
  <c r="U41" i="5"/>
  <c r="T41" i="5"/>
  <c r="S41" i="5"/>
  <c r="R41" i="5"/>
  <c r="Q41" i="5"/>
  <c r="P41" i="5"/>
  <c r="O41" i="5"/>
  <c r="N41" i="5"/>
  <c r="M41" i="5"/>
  <c r="X40" i="5"/>
  <c r="W40" i="5"/>
  <c r="V40" i="5"/>
  <c r="U40" i="5"/>
  <c r="T40" i="5"/>
  <c r="S40" i="5"/>
  <c r="R40" i="5"/>
  <c r="Q40" i="5"/>
  <c r="P40" i="5"/>
  <c r="O40" i="5"/>
  <c r="N40" i="5"/>
  <c r="M40" i="5"/>
  <c r="X39" i="5"/>
  <c r="W39" i="5"/>
  <c r="AA40" i="5" s="1"/>
  <c r="AF39" i="5" s="1"/>
  <c r="V39" i="5"/>
  <c r="U39" i="5"/>
  <c r="T39" i="5"/>
  <c r="S39" i="5"/>
  <c r="R39" i="5"/>
  <c r="Q39" i="5"/>
  <c r="P39" i="5"/>
  <c r="O39" i="5"/>
  <c r="N39" i="5"/>
  <c r="M39" i="5"/>
  <c r="X38" i="5"/>
  <c r="W38" i="5"/>
  <c r="AA39" i="5" s="1"/>
  <c r="AF38" i="5" s="1"/>
  <c r="V38" i="5"/>
  <c r="U38" i="5"/>
  <c r="T38" i="5"/>
  <c r="S38" i="5"/>
  <c r="R38" i="5"/>
  <c r="Q38" i="5"/>
  <c r="P38" i="5"/>
  <c r="O38" i="5"/>
  <c r="N38" i="5"/>
  <c r="M38" i="5"/>
  <c r="X37" i="5"/>
  <c r="W37" i="5"/>
  <c r="AA38" i="5" s="1"/>
  <c r="AF37" i="5" s="1"/>
  <c r="V37" i="5"/>
  <c r="U37" i="5"/>
  <c r="T37" i="5"/>
  <c r="S37" i="5"/>
  <c r="R37" i="5"/>
  <c r="Q37" i="5"/>
  <c r="P37" i="5"/>
  <c r="O37" i="5"/>
  <c r="N37" i="5"/>
  <c r="M37" i="5"/>
  <c r="X36" i="5"/>
  <c r="W36" i="5"/>
  <c r="V36" i="5"/>
  <c r="U36" i="5"/>
  <c r="T36" i="5"/>
  <c r="S36" i="5"/>
  <c r="R36" i="5"/>
  <c r="Q36" i="5"/>
  <c r="P36" i="5"/>
  <c r="O36" i="5"/>
  <c r="N36" i="5"/>
  <c r="M36" i="5"/>
  <c r="X35" i="5"/>
  <c r="W35" i="5"/>
  <c r="AA36" i="5" s="1"/>
  <c r="AF35" i="5" s="1"/>
  <c r="V35" i="5"/>
  <c r="U35" i="5"/>
  <c r="T35" i="5"/>
  <c r="S35" i="5"/>
  <c r="R35" i="5"/>
  <c r="Q35" i="5"/>
  <c r="P35" i="5"/>
  <c r="O35" i="5"/>
  <c r="N35" i="5"/>
  <c r="M35" i="5"/>
  <c r="X34" i="5"/>
  <c r="W34" i="5"/>
  <c r="AA35" i="5" s="1"/>
  <c r="AF34" i="5" s="1"/>
  <c r="V34" i="5"/>
  <c r="U34" i="5"/>
  <c r="T34" i="5"/>
  <c r="S34" i="5"/>
  <c r="R34" i="5"/>
  <c r="Q34" i="5"/>
  <c r="P34" i="5"/>
  <c r="O34" i="5"/>
  <c r="N34" i="5"/>
  <c r="M34" i="5"/>
  <c r="X33" i="5"/>
  <c r="W33" i="5"/>
  <c r="V33" i="5"/>
  <c r="U33" i="5"/>
  <c r="T33" i="5"/>
  <c r="S33" i="5"/>
  <c r="R33" i="5"/>
  <c r="Q33" i="5"/>
  <c r="P33" i="5"/>
  <c r="O33" i="5"/>
  <c r="N33" i="5"/>
  <c r="M33" i="5"/>
  <c r="X32" i="5"/>
  <c r="W32" i="5"/>
  <c r="V32" i="5"/>
  <c r="U32" i="5"/>
  <c r="T32" i="5"/>
  <c r="S32" i="5"/>
  <c r="R32" i="5"/>
  <c r="Q32" i="5"/>
  <c r="P32" i="5"/>
  <c r="O32" i="5"/>
  <c r="N32" i="5"/>
  <c r="M32" i="5"/>
  <c r="X31" i="5"/>
  <c r="W31" i="5"/>
  <c r="AA32" i="5" s="1"/>
  <c r="AF31" i="5" s="1"/>
  <c r="V31" i="5"/>
  <c r="U31" i="5"/>
  <c r="T31" i="5"/>
  <c r="S31" i="5"/>
  <c r="R31" i="5"/>
  <c r="Q31" i="5"/>
  <c r="P31" i="5"/>
  <c r="O31" i="5"/>
  <c r="N31" i="5"/>
  <c r="M31" i="5"/>
  <c r="X30" i="5"/>
  <c r="W30" i="5"/>
  <c r="AA31" i="5" s="1"/>
  <c r="AF30" i="5" s="1"/>
  <c r="V30" i="5"/>
  <c r="U30" i="5"/>
  <c r="T30" i="5"/>
  <c r="S30" i="5"/>
  <c r="R30" i="5"/>
  <c r="Q30" i="5"/>
  <c r="P30" i="5"/>
  <c r="O30" i="5"/>
  <c r="N30" i="5"/>
  <c r="M30" i="5"/>
  <c r="X29" i="5"/>
  <c r="W29" i="5"/>
  <c r="AA30" i="5" s="1"/>
  <c r="AF29" i="5" s="1"/>
  <c r="V29" i="5"/>
  <c r="U29" i="5"/>
  <c r="T29" i="5"/>
  <c r="S29" i="5"/>
  <c r="R29" i="5"/>
  <c r="Q29" i="5"/>
  <c r="P29" i="5"/>
  <c r="O29" i="5"/>
  <c r="N29" i="5"/>
  <c r="M29" i="5"/>
  <c r="X28" i="5"/>
  <c r="W28" i="5"/>
  <c r="V28" i="5"/>
  <c r="U28" i="5"/>
  <c r="T28" i="5"/>
  <c r="S28" i="5"/>
  <c r="R28" i="5"/>
  <c r="Q28" i="5"/>
  <c r="P28" i="5"/>
  <c r="O28" i="5"/>
  <c r="N28" i="5"/>
  <c r="M28" i="5"/>
  <c r="X27" i="5"/>
  <c r="W27" i="5"/>
  <c r="AA28" i="5" s="1"/>
  <c r="AF27" i="5" s="1"/>
  <c r="V27" i="5"/>
  <c r="U27" i="5"/>
  <c r="T27" i="5"/>
  <c r="S27" i="5"/>
  <c r="R27" i="5"/>
  <c r="Q27" i="5"/>
  <c r="P27" i="5"/>
  <c r="O27" i="5"/>
  <c r="N27" i="5"/>
  <c r="M27" i="5"/>
  <c r="X26" i="5"/>
  <c r="W26" i="5"/>
  <c r="AA27" i="5" s="1"/>
  <c r="AF26" i="5" s="1"/>
  <c r="V26" i="5"/>
  <c r="U26" i="5"/>
  <c r="T26" i="5"/>
  <c r="S26" i="5"/>
  <c r="R26" i="5"/>
  <c r="Q26" i="5"/>
  <c r="P26" i="5"/>
  <c r="O26" i="5"/>
  <c r="N26" i="5"/>
  <c r="M26" i="5"/>
  <c r="X25" i="5"/>
  <c r="W25" i="5"/>
  <c r="AA26" i="5" s="1"/>
  <c r="AF25" i="5" s="1"/>
  <c r="V25" i="5"/>
  <c r="U25" i="5"/>
  <c r="T25" i="5"/>
  <c r="S25" i="5"/>
  <c r="R25" i="5"/>
  <c r="Q25" i="5"/>
  <c r="P25" i="5"/>
  <c r="O25" i="5"/>
  <c r="N25" i="5"/>
  <c r="M25" i="5"/>
  <c r="X24" i="5"/>
  <c r="W24" i="5"/>
  <c r="V24" i="5"/>
  <c r="U24" i="5"/>
  <c r="T24" i="5"/>
  <c r="S24" i="5"/>
  <c r="R24" i="5"/>
  <c r="Q24" i="5"/>
  <c r="P24" i="5"/>
  <c r="O24" i="5"/>
  <c r="N24" i="5"/>
  <c r="M24" i="5"/>
  <c r="X23" i="5"/>
  <c r="W23" i="5"/>
  <c r="AA24" i="5" s="1"/>
  <c r="AF23" i="5" s="1"/>
  <c r="V23" i="5"/>
  <c r="U23" i="5"/>
  <c r="T23" i="5"/>
  <c r="S23" i="5"/>
  <c r="R23" i="5"/>
  <c r="Q23" i="5"/>
  <c r="P23" i="5"/>
  <c r="O23" i="5"/>
  <c r="N23" i="5"/>
  <c r="M23" i="5"/>
  <c r="X22" i="5"/>
  <c r="W22" i="5"/>
  <c r="AA23" i="5" s="1"/>
  <c r="AF22" i="5" s="1"/>
  <c r="V22" i="5"/>
  <c r="U22" i="5"/>
  <c r="T22" i="5"/>
  <c r="S22" i="5"/>
  <c r="R22" i="5"/>
  <c r="Q22" i="5"/>
  <c r="P22" i="5"/>
  <c r="O22" i="5"/>
  <c r="N22" i="5"/>
  <c r="M22" i="5"/>
  <c r="X21" i="5"/>
  <c r="W21" i="5"/>
  <c r="AA22" i="5" s="1"/>
  <c r="AF21" i="5" s="1"/>
  <c r="V21" i="5"/>
  <c r="U21" i="5"/>
  <c r="T21" i="5"/>
  <c r="S21" i="5"/>
  <c r="R21" i="5"/>
  <c r="Q21" i="5"/>
  <c r="P21" i="5"/>
  <c r="O21" i="5"/>
  <c r="N21" i="5"/>
  <c r="M21" i="5"/>
  <c r="X20" i="5"/>
  <c r="W20" i="5"/>
  <c r="V20" i="5"/>
  <c r="U20" i="5"/>
  <c r="T20" i="5"/>
  <c r="S20" i="5"/>
  <c r="R20" i="5"/>
  <c r="Q20" i="5"/>
  <c r="P20" i="5"/>
  <c r="O20" i="5"/>
  <c r="N20" i="5"/>
  <c r="M20" i="5"/>
  <c r="X19" i="5"/>
  <c r="W19" i="5"/>
  <c r="AA20" i="5" s="1"/>
  <c r="AF19" i="5" s="1"/>
  <c r="V19" i="5"/>
  <c r="U19" i="5"/>
  <c r="T19" i="5"/>
  <c r="S19" i="5"/>
  <c r="R19" i="5"/>
  <c r="Q19" i="5"/>
  <c r="P19" i="5"/>
  <c r="O19" i="5"/>
  <c r="N19" i="5"/>
  <c r="M19" i="5"/>
  <c r="X18" i="5"/>
  <c r="W18" i="5"/>
  <c r="AA19" i="5" s="1"/>
  <c r="AF18" i="5" s="1"/>
  <c r="V18" i="5"/>
  <c r="U18" i="5"/>
  <c r="T18" i="5"/>
  <c r="S18" i="5"/>
  <c r="R18" i="5"/>
  <c r="Q18" i="5"/>
  <c r="P18" i="5"/>
  <c r="O18" i="5"/>
  <c r="N18" i="5"/>
  <c r="M18" i="5"/>
  <c r="X17" i="5"/>
  <c r="W17" i="5"/>
  <c r="AA18" i="5" s="1"/>
  <c r="AF17" i="5" s="1"/>
  <c r="V17" i="5"/>
  <c r="U17" i="5"/>
  <c r="T17" i="5"/>
  <c r="S17" i="5"/>
  <c r="R17" i="5"/>
  <c r="Q17" i="5"/>
  <c r="P17" i="5"/>
  <c r="O17" i="5"/>
  <c r="N17" i="5"/>
  <c r="M17" i="5"/>
  <c r="X16" i="5"/>
  <c r="W16" i="5"/>
  <c r="V16" i="5"/>
  <c r="U16" i="5"/>
  <c r="T16" i="5"/>
  <c r="S16" i="5"/>
  <c r="R16" i="5"/>
  <c r="Q16" i="5"/>
  <c r="P16" i="5"/>
  <c r="O16" i="5"/>
  <c r="N16" i="5"/>
  <c r="M16" i="5"/>
  <c r="X15" i="5"/>
  <c r="W15" i="5"/>
  <c r="AA16" i="5" s="1"/>
  <c r="AF15" i="5" s="1"/>
  <c r="V15" i="5"/>
  <c r="U15" i="5"/>
  <c r="T15" i="5"/>
  <c r="S15" i="5"/>
  <c r="R15" i="5"/>
  <c r="Q15" i="5"/>
  <c r="P15" i="5"/>
  <c r="O15" i="5"/>
  <c r="N15" i="5"/>
  <c r="M15" i="5"/>
  <c r="X14" i="5"/>
  <c r="W14" i="5"/>
  <c r="AA15" i="5" s="1"/>
  <c r="AF14" i="5" s="1"/>
  <c r="V14" i="5"/>
  <c r="U14" i="5"/>
  <c r="T14" i="5"/>
  <c r="S14" i="5"/>
  <c r="R14" i="5"/>
  <c r="Q14" i="5"/>
  <c r="P14" i="5"/>
  <c r="O14" i="5"/>
  <c r="N14" i="5"/>
  <c r="M14" i="5"/>
  <c r="X13" i="5"/>
  <c r="W13" i="5"/>
  <c r="V13" i="5"/>
  <c r="U13" i="5"/>
  <c r="T13" i="5"/>
  <c r="S13" i="5"/>
  <c r="R13" i="5"/>
  <c r="Q13" i="5"/>
  <c r="P13" i="5"/>
  <c r="O13" i="5"/>
  <c r="N13" i="5"/>
  <c r="M13" i="5"/>
  <c r="X12" i="5"/>
  <c r="W12" i="5"/>
  <c r="V12" i="5"/>
  <c r="U12" i="5"/>
  <c r="T12" i="5"/>
  <c r="S12" i="5"/>
  <c r="R12" i="5"/>
  <c r="Q12" i="5"/>
  <c r="P12" i="5"/>
  <c r="O12" i="5"/>
  <c r="N12" i="5"/>
  <c r="M12" i="5"/>
  <c r="X11" i="5"/>
  <c r="W11" i="5"/>
  <c r="AA12" i="5" s="1"/>
  <c r="AF11" i="5" s="1"/>
  <c r="V11" i="5"/>
  <c r="U11" i="5"/>
  <c r="T11" i="5"/>
  <c r="S11" i="5"/>
  <c r="R11" i="5"/>
  <c r="Q11" i="5"/>
  <c r="P11" i="5"/>
  <c r="O11" i="5"/>
  <c r="N11" i="5"/>
  <c r="M11" i="5"/>
  <c r="X10" i="5"/>
  <c r="W10" i="5"/>
  <c r="AA11" i="5" s="1"/>
  <c r="AF10" i="5" s="1"/>
  <c r="V10" i="5"/>
  <c r="U10" i="5"/>
  <c r="T10" i="5"/>
  <c r="S10" i="5"/>
  <c r="R10" i="5"/>
  <c r="Q10" i="5"/>
  <c r="P10" i="5"/>
  <c r="O10" i="5"/>
  <c r="N10" i="5"/>
  <c r="M10" i="5"/>
  <c r="X9" i="5"/>
  <c r="W9" i="5"/>
  <c r="AA10" i="5" s="1"/>
  <c r="AF9" i="5" s="1"/>
  <c r="V9" i="5"/>
  <c r="U9" i="5"/>
  <c r="T9" i="5"/>
  <c r="S9" i="5"/>
  <c r="R9" i="5"/>
  <c r="Q9" i="5"/>
  <c r="P9" i="5"/>
  <c r="O9" i="5"/>
  <c r="N9" i="5"/>
  <c r="M9" i="5"/>
  <c r="X8" i="5"/>
  <c r="W8" i="5"/>
  <c r="V8" i="5"/>
  <c r="U8" i="5"/>
  <c r="T8" i="5"/>
  <c r="S8" i="5"/>
  <c r="R8" i="5"/>
  <c r="Q8" i="5"/>
  <c r="P8" i="5"/>
  <c r="O8" i="5"/>
  <c r="N8" i="5"/>
  <c r="M8" i="5"/>
  <c r="X7" i="5"/>
  <c r="W7" i="5"/>
  <c r="AA8" i="5" s="1"/>
  <c r="AF7" i="5" s="1"/>
  <c r="V7" i="5"/>
  <c r="U7" i="5"/>
  <c r="T7" i="5"/>
  <c r="S7" i="5"/>
  <c r="R7" i="5"/>
  <c r="Q7" i="5"/>
  <c r="P7" i="5"/>
  <c r="O7" i="5"/>
  <c r="N7" i="5"/>
  <c r="M7" i="5"/>
  <c r="X6" i="5"/>
  <c r="W6" i="5"/>
  <c r="AA7" i="5" s="1"/>
  <c r="AF6" i="5" s="1"/>
  <c r="V6" i="5"/>
  <c r="U6" i="5"/>
  <c r="T6" i="5"/>
  <c r="S6" i="5"/>
  <c r="R6" i="5"/>
  <c r="Q6" i="5"/>
  <c r="P6" i="5"/>
  <c r="O6" i="5"/>
  <c r="N6" i="5"/>
  <c r="M6" i="5"/>
  <c r="X5" i="5"/>
  <c r="W5" i="5"/>
  <c r="AA6" i="5" s="1"/>
  <c r="AF5" i="5" s="1"/>
  <c r="V5" i="5"/>
  <c r="U5" i="5"/>
  <c r="T5" i="5"/>
  <c r="S5" i="5"/>
  <c r="R5" i="5"/>
  <c r="Q5" i="5"/>
  <c r="P5" i="5"/>
  <c r="O5" i="5"/>
  <c r="N5" i="5"/>
  <c r="M5" i="5"/>
  <c r="X4" i="5"/>
  <c r="W4" i="5"/>
  <c r="V4" i="5"/>
  <c r="U4" i="5"/>
  <c r="T4" i="5"/>
  <c r="S4" i="5"/>
  <c r="R4" i="5"/>
  <c r="Q4" i="5"/>
  <c r="AH5" i="5" s="1"/>
  <c r="P4" i="5"/>
  <c r="O4" i="5"/>
  <c r="N4" i="5"/>
  <c r="M4" i="5"/>
  <c r="AA9" i="5" l="1"/>
  <c r="AF8" i="5" s="1"/>
  <c r="AA13" i="5"/>
  <c r="AF12" i="5" s="1"/>
  <c r="AA17" i="5"/>
  <c r="AF16" i="5" s="1"/>
  <c r="AG28" i="5" s="1"/>
  <c r="AA21" i="5"/>
  <c r="AF20" i="5" s="1"/>
  <c r="AA25" i="5"/>
  <c r="AF24" i="5" s="1"/>
  <c r="AA29" i="5"/>
  <c r="AF28" i="5" s="1"/>
  <c r="AA33" i="5"/>
  <c r="AF32" i="5" s="1"/>
  <c r="AG52" i="5" s="1"/>
  <c r="AA37" i="5"/>
  <c r="AF36" i="5" s="1"/>
  <c r="AA41" i="5"/>
  <c r="AF40" i="5" s="1"/>
  <c r="AA45" i="5"/>
  <c r="AF44" i="5" s="1"/>
  <c r="AA49" i="5"/>
  <c r="AF48" i="5" s="1"/>
  <c r="AA53" i="5"/>
  <c r="AF52" i="5" s="1"/>
  <c r="AG55" i="5" s="1"/>
  <c r="AA57" i="5"/>
  <c r="AF56" i="5" s="1"/>
  <c r="AA61" i="5"/>
  <c r="AF60" i="5" s="1"/>
  <c r="AA65" i="5"/>
  <c r="AF64" i="5" s="1"/>
  <c r="AG64" i="5" s="1"/>
  <c r="AL5" i="5"/>
  <c r="AA14" i="5"/>
  <c r="AF13" i="5" s="1"/>
  <c r="AA34" i="5"/>
  <c r="AF33" i="5" s="1"/>
  <c r="AG53" i="5" s="1"/>
  <c r="AA58" i="5"/>
  <c r="AF57" i="5" s="1"/>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5" i="5"/>
  <c r="AA5" i="5"/>
  <c r="AF4" i="5" s="1"/>
  <c r="AG26" i="5"/>
  <c r="AG27" i="5"/>
  <c r="AG29" i="5"/>
  <c r="AG30" i="5"/>
  <c r="AG31" i="5"/>
  <c r="AG58" i="5"/>
  <c r="AG59" i="5"/>
  <c r="AG60" i="5"/>
  <c r="AG61" i="5"/>
  <c r="AG62" i="5"/>
  <c r="AG63" i="5"/>
  <c r="DU25" i="5"/>
  <c r="DR5" i="5"/>
  <c r="DR67" i="5"/>
  <c r="BZ4" i="5"/>
  <c r="BZ11" i="5"/>
  <c r="BZ12" i="5"/>
  <c r="BZ13" i="5"/>
  <c r="BZ14" i="5"/>
  <c r="BZ23" i="5"/>
  <c r="BZ24" i="5"/>
  <c r="BZ25" i="5"/>
  <c r="BZ26" i="5"/>
  <c r="BZ29" i="5"/>
  <c r="BZ34" i="5"/>
  <c r="BZ47" i="5"/>
  <c r="BZ48" i="5"/>
  <c r="BZ53" i="5"/>
  <c r="BZ5" i="5"/>
  <c r="BZ6" i="5"/>
  <c r="BZ8" i="5"/>
  <c r="BZ10" i="5"/>
  <c r="BZ15" i="5"/>
  <c r="BZ18" i="5"/>
  <c r="BZ19" i="5"/>
  <c r="BZ20" i="5"/>
  <c r="BZ21" i="5"/>
  <c r="BZ22" i="5"/>
  <c r="BZ30" i="5"/>
  <c r="BZ31" i="5"/>
  <c r="BZ32" i="5"/>
  <c r="BZ35" i="5"/>
  <c r="BZ37" i="5"/>
  <c r="BZ38" i="5"/>
  <c r="BZ46" i="5"/>
  <c r="BZ51" i="5"/>
  <c r="BZ54" i="5"/>
  <c r="BZ55" i="5"/>
  <c r="BZ57" i="5"/>
  <c r="BZ58" i="5"/>
  <c r="BZ61" i="5"/>
  <c r="BZ62" i="5"/>
  <c r="BZ65" i="5"/>
  <c r="BZ66" i="5"/>
  <c r="BZ7" i="5"/>
  <c r="BZ9" i="5"/>
  <c r="BZ16" i="5"/>
  <c r="BZ17" i="5"/>
  <c r="BZ27" i="5"/>
  <c r="BZ28" i="5"/>
  <c r="BZ33" i="5"/>
  <c r="BZ36" i="5"/>
  <c r="BZ39" i="5"/>
  <c r="BZ40" i="5"/>
  <c r="BZ41" i="5"/>
  <c r="BZ42" i="5"/>
  <c r="BZ43" i="5"/>
  <c r="BZ44" i="5"/>
  <c r="BZ45" i="5"/>
  <c r="BZ49" i="5"/>
  <c r="BZ50" i="5"/>
  <c r="BZ52" i="5"/>
  <c r="BZ56" i="5"/>
  <c r="BZ59" i="5"/>
  <c r="BZ60" i="5"/>
  <c r="BZ63" i="5"/>
  <c r="BZ64" i="5"/>
  <c r="BZ67" i="5"/>
  <c r="CA4" i="5"/>
  <c r="CA5" i="5"/>
  <c r="CA6" i="5"/>
  <c r="CA7" i="5"/>
  <c r="CA8" i="5"/>
  <c r="CA9" i="5"/>
  <c r="CA10" i="5"/>
  <c r="CA11" i="5"/>
  <c r="CA12" i="5"/>
  <c r="CA13" i="5"/>
  <c r="CA14" i="5"/>
  <c r="CA15" i="5"/>
  <c r="CA16" i="5"/>
  <c r="CA17" i="5"/>
  <c r="CA18" i="5"/>
  <c r="CA19" i="5"/>
  <c r="CA20" i="5"/>
  <c r="CA21" i="5"/>
  <c r="CA22" i="5"/>
  <c r="CA23" i="5"/>
  <c r="CA24" i="5"/>
  <c r="CA25" i="5"/>
  <c r="CA26" i="5"/>
  <c r="CA27" i="5"/>
  <c r="CA28" i="5"/>
  <c r="CA29" i="5"/>
  <c r="CA30" i="5"/>
  <c r="CA31" i="5"/>
  <c r="CA32" i="5"/>
  <c r="CA33" i="5"/>
  <c r="CA34" i="5"/>
  <c r="CA35" i="5"/>
  <c r="CA36" i="5"/>
  <c r="CA37" i="5"/>
  <c r="CA38" i="5"/>
  <c r="CA39" i="5"/>
  <c r="CA40" i="5"/>
  <c r="CA41" i="5"/>
  <c r="CA42" i="5"/>
  <c r="CA43" i="5"/>
  <c r="CA44" i="5"/>
  <c r="CA45" i="5"/>
  <c r="CA46" i="5"/>
  <c r="CA47" i="5"/>
  <c r="CA48" i="5"/>
  <c r="CA49" i="5"/>
  <c r="CA50" i="5"/>
  <c r="CA51" i="5"/>
  <c r="CA52" i="5"/>
  <c r="CA53" i="5"/>
  <c r="CA54" i="5"/>
  <c r="CA55" i="5"/>
  <c r="CA56" i="5"/>
  <c r="CA57" i="5"/>
  <c r="CA58" i="5"/>
  <c r="CA59" i="5"/>
  <c r="CA60" i="5"/>
  <c r="CA61" i="5"/>
  <c r="CA62" i="5"/>
  <c r="CA63" i="5"/>
  <c r="CA64" i="5"/>
  <c r="CA65" i="5"/>
  <c r="CA67" i="5"/>
  <c r="BS4" i="5"/>
  <c r="BS5" i="5"/>
  <c r="BS6" i="5"/>
  <c r="BS7" i="5"/>
  <c r="BS8" i="5"/>
  <c r="BS9" i="5"/>
  <c r="BS10" i="5"/>
  <c r="BS11" i="5"/>
  <c r="BS12" i="5"/>
  <c r="BS13" i="5"/>
  <c r="BS14" i="5"/>
  <c r="BS15" i="5"/>
  <c r="BS16" i="5"/>
  <c r="BS17" i="5"/>
  <c r="BS18" i="5"/>
  <c r="BS19" i="5"/>
  <c r="BS20" i="5"/>
  <c r="BS21" i="5"/>
  <c r="BS22" i="5"/>
  <c r="BS23" i="5"/>
  <c r="BS24" i="5"/>
  <c r="BS25" i="5"/>
  <c r="BS26" i="5"/>
  <c r="BS27" i="5"/>
  <c r="BS28" i="5"/>
  <c r="BS29" i="5"/>
  <c r="BS30" i="5"/>
  <c r="BS31" i="5"/>
  <c r="BS32" i="5"/>
  <c r="BS33" i="5"/>
  <c r="BS34" i="5"/>
  <c r="BS35" i="5"/>
  <c r="BS36" i="5"/>
  <c r="BS37" i="5"/>
  <c r="BS38" i="5"/>
  <c r="BS39" i="5"/>
  <c r="BS40" i="5"/>
  <c r="BS41" i="5"/>
  <c r="BS42" i="5"/>
  <c r="BS43" i="5"/>
  <c r="BS44" i="5"/>
  <c r="BS45" i="5"/>
  <c r="BS46" i="5"/>
  <c r="BS47" i="5"/>
  <c r="BS48" i="5"/>
  <c r="BS49" i="5"/>
  <c r="BS50" i="5"/>
  <c r="BS51" i="5"/>
  <c r="BS52" i="5"/>
  <c r="BS53" i="5"/>
  <c r="BS54" i="5"/>
  <c r="BS55" i="5"/>
  <c r="BS56" i="5"/>
  <c r="BS57" i="5"/>
  <c r="BS58" i="5"/>
  <c r="BS59" i="5"/>
  <c r="BS60" i="5"/>
  <c r="BS61" i="5"/>
  <c r="BS62" i="5"/>
  <c r="BS63" i="5"/>
  <c r="BS64" i="5"/>
  <c r="BS65" i="5"/>
  <c r="BS66" i="5"/>
  <c r="BS67" i="5"/>
  <c r="BR4" i="5"/>
  <c r="BR5" i="5"/>
  <c r="BR6" i="5"/>
  <c r="BR7" i="5"/>
  <c r="BR8" i="5"/>
  <c r="BR9" i="5"/>
  <c r="BR10" i="5"/>
  <c r="BR11" i="5"/>
  <c r="BR12" i="5"/>
  <c r="BR13" i="5"/>
  <c r="BR14" i="5"/>
  <c r="BR15" i="5"/>
  <c r="BR16" i="5"/>
  <c r="BR17" i="5"/>
  <c r="BR18" i="5"/>
  <c r="BR19" i="5"/>
  <c r="BR20" i="5"/>
  <c r="BR21" i="5"/>
  <c r="BR22" i="5"/>
  <c r="BR23" i="5"/>
  <c r="BR24" i="5"/>
  <c r="BR25" i="5"/>
  <c r="BR26" i="5"/>
  <c r="BR27" i="5"/>
  <c r="BR28" i="5"/>
  <c r="BR29" i="5"/>
  <c r="BR30" i="5"/>
  <c r="BR31" i="5"/>
  <c r="BR32" i="5"/>
  <c r="BR33" i="5"/>
  <c r="BR34" i="5"/>
  <c r="BR35" i="5"/>
  <c r="BR36" i="5"/>
  <c r="BR37" i="5"/>
  <c r="BR38" i="5"/>
  <c r="BR39" i="5"/>
  <c r="BR40" i="5"/>
  <c r="BR41" i="5"/>
  <c r="BR42" i="5"/>
  <c r="BR43" i="5"/>
  <c r="BR44" i="5"/>
  <c r="BR45" i="5"/>
  <c r="BR46" i="5"/>
  <c r="BR47" i="5"/>
  <c r="BR48" i="5"/>
  <c r="BR49" i="5"/>
  <c r="BR50" i="5"/>
  <c r="BR51" i="5"/>
  <c r="BR52" i="5"/>
  <c r="BR53" i="5"/>
  <c r="BR54" i="5"/>
  <c r="BR55" i="5"/>
  <c r="BR56" i="5"/>
  <c r="BR57" i="5"/>
  <c r="BR58" i="5"/>
  <c r="BR59" i="5"/>
  <c r="BR60" i="5"/>
  <c r="BR61" i="5"/>
  <c r="BR62" i="5"/>
  <c r="BR63" i="5"/>
  <c r="BR64" i="5"/>
  <c r="BR65" i="5"/>
  <c r="BR66" i="5"/>
  <c r="BR67" i="5"/>
  <c r="CA66" i="5"/>
  <c r="AG66" i="5" l="1"/>
  <c r="AG65" i="5"/>
  <c r="AG57" i="5"/>
  <c r="AG56" i="5"/>
  <c r="AG54" i="5"/>
  <c r="AG49" i="5"/>
  <c r="AG33" i="5"/>
  <c r="AG45" i="5"/>
  <c r="AG51" i="5"/>
  <c r="AG41" i="5"/>
  <c r="AG50" i="5"/>
  <c r="AG37" i="5"/>
  <c r="AG25" i="5"/>
  <c r="AG48" i="5"/>
  <c r="AG44" i="5"/>
  <c r="AG40" i="5"/>
  <c r="AG36" i="5"/>
  <c r="AG32" i="5"/>
  <c r="AG47" i="5"/>
  <c r="AG43" i="5"/>
  <c r="AG39" i="5"/>
  <c r="AG35" i="5"/>
  <c r="AG46" i="5"/>
  <c r="AG42" i="5"/>
  <c r="AG38" i="5"/>
  <c r="AG34" i="5"/>
  <c r="CD8" i="5"/>
  <c r="CD18" i="5"/>
  <c r="CD54" i="5"/>
  <c r="CD12" i="5"/>
  <c r="CG56" i="5"/>
  <c r="CG18" i="5"/>
  <c r="CD15" i="5"/>
  <c r="CD46" i="5"/>
  <c r="CD38" i="5"/>
  <c r="CD16" i="5"/>
  <c r="CG64" i="5"/>
  <c r="CG40" i="5"/>
  <c r="CD30" i="5"/>
  <c r="CG32" i="5"/>
  <c r="CD59" i="5"/>
  <c r="CD22" i="5"/>
  <c r="CD19" i="5"/>
  <c r="CD14" i="5"/>
  <c r="CD11" i="5"/>
  <c r="CG48" i="5"/>
  <c r="CG60" i="5"/>
  <c r="CG52" i="5"/>
  <c r="CG36" i="5"/>
  <c r="CG28" i="5"/>
  <c r="CG20" i="5"/>
  <c r="CG16" i="5"/>
  <c r="CD9" i="5"/>
  <c r="CD66" i="5"/>
  <c r="CG65" i="5"/>
  <c r="CG57" i="5"/>
  <c r="CG49" i="5"/>
  <c r="CG45" i="5"/>
  <c r="CG33" i="5"/>
  <c r="CG66" i="5"/>
  <c r="CG44" i="5"/>
  <c r="CG24" i="5"/>
  <c r="CD13" i="5"/>
  <c r="CG19" i="5"/>
  <c r="CG17" i="5"/>
  <c r="CD17" i="5"/>
  <c r="CD62" i="5"/>
  <c r="CG61" i="5"/>
  <c r="CG53" i="5"/>
  <c r="CG41" i="5"/>
  <c r="CG37" i="5"/>
  <c r="CD50" i="5"/>
  <c r="CD42" i="5"/>
  <c r="CD34" i="5"/>
  <c r="CD26" i="5"/>
  <c r="CD10" i="5"/>
  <c r="CD67" i="5"/>
  <c r="DB7" i="92" s="1"/>
  <c r="CD64" i="5"/>
  <c r="CD60" i="5"/>
  <c r="CG63" i="5"/>
  <c r="CG59" i="5"/>
  <c r="CG55" i="5"/>
  <c r="CG51" i="5"/>
  <c r="CG47" i="5"/>
  <c r="CG43" i="5"/>
  <c r="CG39" i="5"/>
  <c r="CG35" i="5"/>
  <c r="CG21" i="5"/>
  <c r="CD58" i="5"/>
  <c r="CD56" i="5"/>
  <c r="CG62" i="5"/>
  <c r="CD52" i="5"/>
  <c r="CG58" i="5"/>
  <c r="CD48" i="5"/>
  <c r="CG54" i="5"/>
  <c r="CD44" i="5"/>
  <c r="CG50" i="5"/>
  <c r="CD40" i="5"/>
  <c r="CG46" i="5"/>
  <c r="CD36" i="5"/>
  <c r="CG42" i="5"/>
  <c r="CD32" i="5"/>
  <c r="CG38" i="5"/>
  <c r="CD28" i="5"/>
  <c r="CG34" i="5"/>
  <c r="CD24" i="5"/>
  <c r="CG30" i="5"/>
  <c r="CD20" i="5"/>
  <c r="CG26" i="5"/>
  <c r="CG22" i="5"/>
  <c r="CD57" i="5"/>
  <c r="CD55" i="5"/>
  <c r="CD53" i="5"/>
  <c r="CD51" i="5"/>
  <c r="CD49" i="5"/>
  <c r="CD47" i="5"/>
  <c r="CD45" i="5"/>
  <c r="CD43" i="5"/>
  <c r="CD41" i="5"/>
  <c r="CD39" i="5"/>
  <c r="CD37" i="5"/>
  <c r="CD35" i="5"/>
  <c r="CD33" i="5"/>
  <c r="CD31" i="5"/>
  <c r="CD29" i="5"/>
  <c r="CD27" i="5"/>
  <c r="CD25" i="5"/>
  <c r="CD23" i="5"/>
  <c r="CD21" i="5"/>
  <c r="BU63" i="5"/>
  <c r="BV67" i="5"/>
  <c r="DB5" i="92" s="1"/>
  <c r="BV63" i="5"/>
  <c r="CD65" i="5"/>
  <c r="CD63" i="5"/>
  <c r="CD61" i="5"/>
  <c r="CG31" i="5"/>
  <c r="CG29" i="5"/>
  <c r="CG27" i="5"/>
  <c r="CG25" i="5"/>
  <c r="CG23" i="5"/>
  <c r="BX67" i="5"/>
  <c r="CT5" i="92" s="1"/>
  <c r="BU59" i="5"/>
  <c r="BX59" i="5"/>
  <c r="BU51" i="5"/>
  <c r="BX51" i="5"/>
  <c r="BU43" i="5"/>
  <c r="BX43" i="5"/>
  <c r="BU35" i="5"/>
  <c r="BX39" i="5"/>
  <c r="BU31" i="5"/>
  <c r="BX31" i="5"/>
  <c r="BU23" i="5"/>
  <c r="BX27" i="5"/>
  <c r="BU19" i="5"/>
  <c r="BX23" i="5"/>
  <c r="BU15" i="5"/>
  <c r="BX19" i="5"/>
  <c r="BU11" i="5"/>
  <c r="BY63" i="5"/>
  <c r="BV55" i="5"/>
  <c r="BY47" i="5"/>
  <c r="BV39" i="5"/>
  <c r="BY35" i="5"/>
  <c r="BV27" i="5"/>
  <c r="BY19" i="5"/>
  <c r="BV11" i="5"/>
  <c r="CG67" i="5"/>
  <c r="CV7" i="92" s="1"/>
  <c r="BU66" i="5"/>
  <c r="BU62" i="5"/>
  <c r="BX66" i="5"/>
  <c r="BU58" i="5"/>
  <c r="BX62" i="5"/>
  <c r="BU54" i="5"/>
  <c r="BX58" i="5"/>
  <c r="BU50" i="5"/>
  <c r="BX54" i="5"/>
  <c r="BU46" i="5"/>
  <c r="BX50" i="5"/>
  <c r="BU42" i="5"/>
  <c r="BX46" i="5"/>
  <c r="BU38" i="5"/>
  <c r="BX42" i="5"/>
  <c r="BU34" i="5"/>
  <c r="BX38" i="5"/>
  <c r="BU30" i="5"/>
  <c r="BX34" i="5"/>
  <c r="BU26" i="5"/>
  <c r="BX30" i="5"/>
  <c r="BU22" i="5"/>
  <c r="BX26" i="5"/>
  <c r="BU18" i="5"/>
  <c r="BX22" i="5"/>
  <c r="BU14" i="5"/>
  <c r="BX18" i="5"/>
  <c r="BU10" i="5"/>
  <c r="BV66" i="5"/>
  <c r="BV62" i="5"/>
  <c r="BV58" i="5"/>
  <c r="BY66" i="5"/>
  <c r="BV54" i="5"/>
  <c r="BY62" i="5"/>
  <c r="BV50" i="5"/>
  <c r="BY58" i="5"/>
  <c r="BV46" i="5"/>
  <c r="BY54" i="5"/>
  <c r="BV42" i="5"/>
  <c r="BY50" i="5"/>
  <c r="BV38" i="5"/>
  <c r="BY46" i="5"/>
  <c r="BV34" i="5"/>
  <c r="BY42" i="5"/>
  <c r="BV30" i="5"/>
  <c r="BY38" i="5"/>
  <c r="BV26" i="5"/>
  <c r="BY34" i="5"/>
  <c r="BV22" i="5"/>
  <c r="BY30" i="5"/>
  <c r="BV18" i="5"/>
  <c r="BY26" i="5"/>
  <c r="BV14" i="5"/>
  <c r="BY22" i="5"/>
  <c r="BV10" i="5"/>
  <c r="BY18" i="5"/>
  <c r="BU67" i="5"/>
  <c r="BX63" i="5"/>
  <c r="BU55" i="5"/>
  <c r="BX55" i="5"/>
  <c r="BU47" i="5"/>
  <c r="BX47" i="5"/>
  <c r="BU39" i="5"/>
  <c r="BX35" i="5"/>
  <c r="BU27" i="5"/>
  <c r="BY59" i="5"/>
  <c r="BV51" i="5"/>
  <c r="BY51" i="5"/>
  <c r="BV43" i="5"/>
  <c r="BY39" i="5"/>
  <c r="BV31" i="5"/>
  <c r="BY27" i="5"/>
  <c r="BV19" i="5"/>
  <c r="BU65" i="5"/>
  <c r="BU61" i="5"/>
  <c r="BU57" i="5"/>
  <c r="BX65" i="5"/>
  <c r="BU53" i="5"/>
  <c r="BX61" i="5"/>
  <c r="BU49" i="5"/>
  <c r="BX57" i="5"/>
  <c r="BU45" i="5"/>
  <c r="BX53" i="5"/>
  <c r="BU41" i="5"/>
  <c r="BX49" i="5"/>
  <c r="BU37" i="5"/>
  <c r="BX45" i="5"/>
  <c r="BU33" i="5"/>
  <c r="BX41" i="5"/>
  <c r="BU29" i="5"/>
  <c r="BX37" i="5"/>
  <c r="BX33" i="5"/>
  <c r="BU25" i="5"/>
  <c r="BX29" i="5"/>
  <c r="BU21" i="5"/>
  <c r="BX25" i="5"/>
  <c r="BU17" i="5"/>
  <c r="BU13" i="5"/>
  <c r="BX21" i="5"/>
  <c r="BX17" i="5"/>
  <c r="BU9" i="5"/>
  <c r="BV65" i="5"/>
  <c r="BV61" i="5"/>
  <c r="BY65" i="5"/>
  <c r="BV57" i="5"/>
  <c r="BY61" i="5"/>
  <c r="BV53" i="5"/>
  <c r="BY57" i="5"/>
  <c r="BV49" i="5"/>
  <c r="BY53" i="5"/>
  <c r="BV45" i="5"/>
  <c r="BY49" i="5"/>
  <c r="BV41" i="5"/>
  <c r="BY45" i="5"/>
  <c r="BV37" i="5"/>
  <c r="BY41" i="5"/>
  <c r="BV33" i="5"/>
  <c r="BY37" i="5"/>
  <c r="BV29" i="5"/>
  <c r="BY33" i="5"/>
  <c r="BV25" i="5"/>
  <c r="BY29" i="5"/>
  <c r="BV21" i="5"/>
  <c r="BY25" i="5"/>
  <c r="BV17" i="5"/>
  <c r="BY21" i="5"/>
  <c r="BV13" i="5"/>
  <c r="BY17" i="5"/>
  <c r="BV9" i="5"/>
  <c r="BY67" i="5"/>
  <c r="CV5" i="92" s="1"/>
  <c r="BV59" i="5"/>
  <c r="BY55" i="5"/>
  <c r="BV47" i="5"/>
  <c r="BY43" i="5"/>
  <c r="BV35" i="5"/>
  <c r="BY31" i="5"/>
  <c r="BV23" i="5"/>
  <c r="BY23" i="5"/>
  <c r="BV15" i="5"/>
  <c r="BU64" i="5"/>
  <c r="BU60" i="5"/>
  <c r="BX64" i="5"/>
  <c r="BU56" i="5"/>
  <c r="BX60" i="5"/>
  <c r="BU52" i="5"/>
  <c r="BX56" i="5"/>
  <c r="BU48" i="5"/>
  <c r="BX52" i="5"/>
  <c r="BU44" i="5"/>
  <c r="BX48" i="5"/>
  <c r="BU40" i="5"/>
  <c r="BX44" i="5"/>
  <c r="BU36" i="5"/>
  <c r="BX40" i="5"/>
  <c r="BU32" i="5"/>
  <c r="BX36" i="5"/>
  <c r="BU28" i="5"/>
  <c r="BX32" i="5"/>
  <c r="BU24" i="5"/>
  <c r="BX28" i="5"/>
  <c r="BU20" i="5"/>
  <c r="BX24" i="5"/>
  <c r="BU16" i="5"/>
  <c r="BX20" i="5"/>
  <c r="BU12" i="5"/>
  <c r="BX16" i="5"/>
  <c r="BU8" i="5"/>
  <c r="BV64" i="5"/>
  <c r="BV60" i="5"/>
  <c r="BY64" i="5"/>
  <c r="BV56" i="5"/>
  <c r="BY60" i="5"/>
  <c r="BV52" i="5"/>
  <c r="BY56" i="5"/>
  <c r="BV48" i="5"/>
  <c r="BY52" i="5"/>
  <c r="BV44" i="5"/>
  <c r="BY48" i="5"/>
  <c r="BV40" i="5"/>
  <c r="BY44" i="5"/>
  <c r="BV36" i="5"/>
  <c r="BY40" i="5"/>
  <c r="BV32" i="5"/>
  <c r="BY36" i="5"/>
  <c r="BV28" i="5"/>
  <c r="BY32" i="5"/>
  <c r="BV24" i="5"/>
  <c r="BY28" i="5"/>
  <c r="BV20" i="5"/>
  <c r="BY24" i="5"/>
  <c r="BV16" i="5"/>
  <c r="BY20" i="5"/>
  <c r="BV12" i="5"/>
  <c r="BY16" i="5"/>
  <c r="BV8" i="5"/>
  <c r="BM11" i="92" l="1"/>
  <c r="BM9" i="92"/>
  <c r="BM7" i="92"/>
  <c r="BM5" i="92"/>
  <c r="D20" i="4" l="1"/>
  <c r="D19" i="4"/>
  <c r="G4" i="5"/>
  <c r="F4" i="5"/>
  <c r="BF11" i="92"/>
  <c r="BE11" i="92"/>
  <c r="BA11" i="92"/>
  <c r="BF9" i="92"/>
  <c r="BE9" i="92"/>
  <c r="BA9" i="92"/>
  <c r="BL11" i="92"/>
  <c r="BK11" i="92"/>
  <c r="BJ11" i="92"/>
  <c r="BL9" i="92"/>
  <c r="BK9" i="92"/>
  <c r="BJ9" i="92"/>
  <c r="FT66" i="99"/>
  <c r="FX65" i="99"/>
  <c r="EV65" i="99"/>
  <c r="BA64" i="99"/>
  <c r="FX63" i="99"/>
  <c r="FT63" i="99"/>
  <c r="AV62" i="99"/>
  <c r="EV62" i="99"/>
  <c r="EW62" i="99" s="1"/>
  <c r="FT61" i="99"/>
  <c r="AV60" i="99"/>
  <c r="FF62" i="99"/>
  <c r="AV59" i="99"/>
  <c r="EV59" i="99"/>
  <c r="EW59" i="99" s="1"/>
  <c r="FX58" i="99"/>
  <c r="BA58" i="99"/>
  <c r="BB58" i="99" s="1"/>
  <c r="FX57" i="99"/>
  <c r="FX56" i="99"/>
  <c r="FT56" i="99"/>
  <c r="FX55" i="99"/>
  <c r="FX54" i="99"/>
  <c r="EV54" i="99"/>
  <c r="EW54" i="99" s="1"/>
  <c r="FX53" i="99"/>
  <c r="FX51" i="99"/>
  <c r="FT51" i="99"/>
  <c r="FX50" i="99"/>
  <c r="EV50" i="99"/>
  <c r="EW50" i="99" s="1"/>
  <c r="FT49" i="99"/>
  <c r="FX48" i="99"/>
  <c r="X71" i="99"/>
  <c r="FT47" i="99"/>
  <c r="FX46" i="99"/>
  <c r="FT46" i="99"/>
  <c r="FX45" i="99"/>
  <c r="FX44" i="99"/>
  <c r="FX43" i="99"/>
  <c r="FX41" i="99"/>
  <c r="EV41" i="99"/>
  <c r="EW41" i="99" s="1"/>
  <c r="FX40" i="99"/>
  <c r="FX39" i="99"/>
  <c r="FX37" i="99"/>
  <c r="FX36" i="99"/>
  <c r="FX35" i="99"/>
  <c r="FX34" i="99"/>
  <c r="FX33" i="99"/>
  <c r="FT33" i="99"/>
  <c r="FX32" i="99"/>
  <c r="FX31" i="99"/>
  <c r="FX30" i="99"/>
  <c r="FX29" i="99"/>
  <c r="FT29" i="99"/>
  <c r="FX28" i="99"/>
  <c r="FT28" i="99"/>
  <c r="FX27" i="99"/>
  <c r="FX26" i="99"/>
  <c r="AV25" i="99"/>
  <c r="EV25" i="99"/>
  <c r="EW25" i="99" s="1"/>
  <c r="AL24" i="99"/>
  <c r="FX23" i="99"/>
  <c r="EV23" i="99"/>
  <c r="EW23" i="99" s="1"/>
  <c r="FX22" i="99"/>
  <c r="FF22" i="99"/>
  <c r="AV19" i="99"/>
  <c r="FX18" i="99"/>
  <c r="AL18" i="99"/>
  <c r="FX17" i="99"/>
  <c r="AL17" i="99"/>
  <c r="FX16" i="99"/>
  <c r="FX15" i="99"/>
  <c r="EV15" i="99"/>
  <c r="EW15" i="99" s="1"/>
  <c r="FX14" i="99"/>
  <c r="FT14" i="99"/>
  <c r="FX13" i="99"/>
  <c r="FX12" i="99"/>
  <c r="FF14" i="99"/>
  <c r="FX11" i="99"/>
  <c r="FX10" i="99"/>
  <c r="FX8" i="99"/>
  <c r="FX7" i="99"/>
  <c r="BS6" i="99"/>
  <c r="FX6" i="99"/>
  <c r="FU4" i="99"/>
  <c r="EV4" i="99"/>
  <c r="EW4" i="99" s="1"/>
  <c r="S69" i="99"/>
  <c r="M69" i="99"/>
  <c r="EV67" i="99"/>
  <c r="EW67" i="99" s="1"/>
  <c r="AT67" i="99"/>
  <c r="AT65" i="99"/>
  <c r="AT62" i="99"/>
  <c r="AH62" i="99"/>
  <c r="AT60" i="99"/>
  <c r="FA59" i="99"/>
  <c r="FB59" i="99" s="1"/>
  <c r="AH59" i="99"/>
  <c r="AT57" i="99"/>
  <c r="AH57" i="99"/>
  <c r="AP55" i="99"/>
  <c r="AH55" i="99"/>
  <c r="AD55" i="99"/>
  <c r="AT54" i="99"/>
  <c r="AH54" i="99"/>
  <c r="FX52" i="99"/>
  <c r="AT50" i="99"/>
  <c r="AH50" i="99"/>
  <c r="FX49" i="99"/>
  <c r="J49" i="99"/>
  <c r="I49" i="99" s="1"/>
  <c r="A49" i="99"/>
  <c r="B49" i="99" s="1"/>
  <c r="AT48" i="99"/>
  <c r="J48" i="99"/>
  <c r="I48" i="99" s="1"/>
  <c r="A48" i="99"/>
  <c r="B48" i="99" s="1"/>
  <c r="AH48" i="99"/>
  <c r="J47" i="99"/>
  <c r="I47" i="99"/>
  <c r="A47" i="99"/>
  <c r="B47" i="99"/>
  <c r="AP46" i="99"/>
  <c r="J46" i="99"/>
  <c r="I46" i="99" s="1"/>
  <c r="A46" i="99"/>
  <c r="B46" i="99" s="1"/>
  <c r="AT45" i="99"/>
  <c r="J45" i="99"/>
  <c r="I45" i="99" s="1"/>
  <c r="A45" i="99"/>
  <c r="B45" i="99" s="1"/>
  <c r="AH45" i="99"/>
  <c r="I44" i="99"/>
  <c r="B44" i="99"/>
  <c r="AT43" i="99"/>
  <c r="I43" i="99"/>
  <c r="B43" i="99"/>
  <c r="AH43" i="99"/>
  <c r="FX42" i="99"/>
  <c r="I42" i="99"/>
  <c r="B42" i="99"/>
  <c r="FT41" i="99"/>
  <c r="I41" i="99"/>
  <c r="B41" i="99"/>
  <c r="AH41" i="99"/>
  <c r="I40" i="99"/>
  <c r="B40" i="99"/>
  <c r="AT39" i="99"/>
  <c r="AP39" i="99"/>
  <c r="I39" i="99"/>
  <c r="B39" i="99"/>
  <c r="AH39" i="99"/>
  <c r="AH37" i="99"/>
  <c r="AP36" i="99"/>
  <c r="AH36" i="99"/>
  <c r="AT33" i="99"/>
  <c r="G33" i="99"/>
  <c r="AH33" i="99"/>
  <c r="AT32" i="99"/>
  <c r="A32" i="99"/>
  <c r="AH32" i="99"/>
  <c r="AT31" i="99"/>
  <c r="FA30" i="99"/>
  <c r="AT28" i="99"/>
  <c r="AH29" i="99"/>
  <c r="AP28" i="99"/>
  <c r="AH28" i="99"/>
  <c r="AT27" i="99"/>
  <c r="AH27" i="99"/>
  <c r="J25" i="99"/>
  <c r="I25" i="99" s="1"/>
  <c r="A25" i="99"/>
  <c r="B25" i="99" s="1"/>
  <c r="AT24" i="99"/>
  <c r="DQ24" i="99"/>
  <c r="J24" i="99"/>
  <c r="I24" i="99"/>
  <c r="A24" i="99"/>
  <c r="B24" i="99" s="1"/>
  <c r="AT23" i="99"/>
  <c r="J23" i="99"/>
  <c r="I23" i="99" s="1"/>
  <c r="A23" i="99"/>
  <c r="B23" i="99" s="1"/>
  <c r="AT22" i="99"/>
  <c r="AP22" i="99"/>
  <c r="AD22" i="99"/>
  <c r="J22" i="99"/>
  <c r="I22" i="99" s="1"/>
  <c r="A22" i="99"/>
  <c r="B22" i="99" s="1"/>
  <c r="AV21" i="99"/>
  <c r="AT21" i="99"/>
  <c r="J21" i="99"/>
  <c r="I21" i="99" s="1"/>
  <c r="A21" i="99"/>
  <c r="B21" i="99"/>
  <c r="AT20" i="99"/>
  <c r="I20" i="99"/>
  <c r="B20" i="99"/>
  <c r="AT19" i="99"/>
  <c r="I19" i="99"/>
  <c r="B19" i="99"/>
  <c r="AP18" i="99"/>
  <c r="I18" i="99"/>
  <c r="B18" i="99"/>
  <c r="AH18" i="99"/>
  <c r="AP17" i="99"/>
  <c r="AD18" i="99"/>
  <c r="I17" i="99"/>
  <c r="B17" i="99"/>
  <c r="AT16" i="99"/>
  <c r="FA16" i="99"/>
  <c r="AD17" i="99"/>
  <c r="I16" i="99"/>
  <c r="B16" i="99"/>
  <c r="I15" i="99"/>
  <c r="B15" i="99"/>
  <c r="AT12" i="99"/>
  <c r="AH11" i="99"/>
  <c r="FA10" i="99"/>
  <c r="AT9" i="99"/>
  <c r="G9" i="99"/>
  <c r="AH9" i="99"/>
  <c r="AT8" i="99"/>
  <c r="A8" i="99"/>
  <c r="AH8" i="99"/>
  <c r="AT7" i="99"/>
  <c r="AQ5" i="99"/>
  <c r="AM5" i="99"/>
  <c r="AI5" i="99"/>
  <c r="AE5" i="99"/>
  <c r="DK25" i="99"/>
  <c r="AT5" i="99"/>
  <c r="L5" i="99"/>
  <c r="L6" i="99" s="1"/>
  <c r="L7" i="99" s="1"/>
  <c r="L8" i="99" s="1"/>
  <c r="L9" i="99" s="1"/>
  <c r="L10" i="99" s="1"/>
  <c r="L11" i="99" s="1"/>
  <c r="L12" i="99" s="1"/>
  <c r="L13" i="99" s="1"/>
  <c r="L14" i="99" s="1"/>
  <c r="L15" i="99" s="1"/>
  <c r="L16" i="99" s="1"/>
  <c r="L17" i="99" s="1"/>
  <c r="L18" i="99" s="1"/>
  <c r="L19" i="99" s="1"/>
  <c r="L20" i="99" s="1"/>
  <c r="L21" i="99" s="1"/>
  <c r="L22" i="99" s="1"/>
  <c r="L23" i="99" s="1"/>
  <c r="L24" i="99" s="1"/>
  <c r="L25" i="99" s="1"/>
  <c r="L26" i="99" s="1"/>
  <c r="L27" i="99" s="1"/>
  <c r="L28" i="99" s="1"/>
  <c r="L29" i="99" s="1"/>
  <c r="L30" i="99" s="1"/>
  <c r="L31" i="99" s="1"/>
  <c r="L32" i="99" s="1"/>
  <c r="L33" i="99" s="1"/>
  <c r="L34" i="99" s="1"/>
  <c r="L35" i="99" s="1"/>
  <c r="L36" i="99" s="1"/>
  <c r="L37" i="99" s="1"/>
  <c r="L38" i="99" s="1"/>
  <c r="L39" i="99" s="1"/>
  <c r="L40" i="99" s="1"/>
  <c r="L41" i="99" s="1"/>
  <c r="L42" i="99" s="1"/>
  <c r="L43" i="99" s="1"/>
  <c r="L44" i="99" s="1"/>
  <c r="L45" i="99" s="1"/>
  <c r="L46" i="99" s="1"/>
  <c r="L47" i="99" s="1"/>
  <c r="L48" i="99" s="1"/>
  <c r="L49" i="99" s="1"/>
  <c r="L50" i="99" s="1"/>
  <c r="L51" i="99" s="1"/>
  <c r="L52" i="99" s="1"/>
  <c r="L53" i="99" s="1"/>
  <c r="L54" i="99" s="1"/>
  <c r="L55" i="99" s="1"/>
  <c r="L56" i="99" s="1"/>
  <c r="L57" i="99" s="1"/>
  <c r="L58" i="99" s="1"/>
  <c r="L59" i="99" s="1"/>
  <c r="L60" i="99" s="1"/>
  <c r="L61" i="99" s="1"/>
  <c r="L62" i="99" s="1"/>
  <c r="L63" i="99" s="1"/>
  <c r="L64" i="99" s="1"/>
  <c r="L65" i="99" s="1"/>
  <c r="L66" i="99" s="1"/>
  <c r="L67" i="99" s="1"/>
  <c r="L69" i="99" s="1"/>
  <c r="F5" i="99"/>
  <c r="E5" i="99" s="1"/>
  <c r="AT4" i="99"/>
  <c r="AH5" i="99"/>
  <c r="FA4" i="99"/>
  <c r="AD5" i="99"/>
  <c r="G4" i="99"/>
  <c r="F4" i="99"/>
  <c r="G3" i="99"/>
  <c r="F3" i="99"/>
  <c r="E3" i="99"/>
  <c r="D3" i="99"/>
  <c r="FX2" i="99"/>
  <c r="FW2" i="99"/>
  <c r="FV2" i="99"/>
  <c r="FU2" i="99"/>
  <c r="FT2" i="99"/>
  <c r="FS2" i="99"/>
  <c r="FR2" i="99"/>
  <c r="FQ2" i="99"/>
  <c r="EO2" i="99"/>
  <c r="EF2" i="99"/>
  <c r="DW2" i="99"/>
  <c r="DN2" i="99"/>
  <c r="AC2" i="99"/>
  <c r="AB2" i="99"/>
  <c r="AA2" i="99"/>
  <c r="Z2" i="99"/>
  <c r="X2" i="99"/>
  <c r="W2" i="99"/>
  <c r="V2" i="99"/>
  <c r="U2" i="99"/>
  <c r="T2" i="99"/>
  <c r="R2" i="99"/>
  <c r="Q2" i="99"/>
  <c r="P2" i="99"/>
  <c r="O2" i="99"/>
  <c r="N2" i="99"/>
  <c r="FU1" i="99"/>
  <c r="FQ1" i="99"/>
  <c r="FN1" i="99"/>
  <c r="FL1" i="99"/>
  <c r="FJ1" i="99"/>
  <c r="FH1" i="99"/>
  <c r="FG1" i="99"/>
  <c r="FF1" i="99"/>
  <c r="FA1" i="99"/>
  <c r="EV1" i="99"/>
  <c r="ET1" i="99"/>
  <c r="ER1" i="99"/>
  <c r="EI1" i="99"/>
  <c r="DZ1" i="99"/>
  <c r="DQ1" i="99"/>
  <c r="DH1" i="99"/>
  <c r="CY1" i="99"/>
  <c r="CP1" i="99"/>
  <c r="CG1" i="99"/>
  <c r="BX1" i="99"/>
  <c r="BS1" i="99"/>
  <c r="BN1" i="99"/>
  <c r="BF1" i="99"/>
  <c r="AX1" i="99"/>
  <c r="AV1" i="99"/>
  <c r="AT1" i="99"/>
  <c r="AP1" i="99"/>
  <c r="AL1" i="99"/>
  <c r="AH1" i="99"/>
  <c r="AD1" i="99"/>
  <c r="AA1" i="99"/>
  <c r="Z1" i="99"/>
  <c r="S1" i="99"/>
  <c r="M1" i="99"/>
  <c r="FX5" i="99"/>
  <c r="DQ13" i="99"/>
  <c r="BI25" i="99"/>
  <c r="BJ25" i="99" s="1"/>
  <c r="BI42" i="99"/>
  <c r="BI56" i="99"/>
  <c r="BJ56" i="99" s="1"/>
  <c r="FX9" i="99"/>
  <c r="DQ18" i="99"/>
  <c r="DQ22" i="99"/>
  <c r="DR22" i="99" s="1"/>
  <c r="AH22" i="99"/>
  <c r="FX61" i="99"/>
  <c r="AP4" i="99"/>
  <c r="BN5" i="99"/>
  <c r="FA5" i="99"/>
  <c r="FG6" i="99"/>
  <c r="BN6" i="99"/>
  <c r="FA6" i="99"/>
  <c r="FG7" i="99"/>
  <c r="FA7" i="99"/>
  <c r="FB7" i="99" s="1"/>
  <c r="FA8" i="99"/>
  <c r="FB8" i="99" s="1"/>
  <c r="BN9" i="99"/>
  <c r="FG11" i="99"/>
  <c r="FG10" i="99"/>
  <c r="BI10" i="99"/>
  <c r="BJ10" i="99" s="1"/>
  <c r="FA11" i="99"/>
  <c r="FB11" i="99" s="1"/>
  <c r="DQ12" i="99"/>
  <c r="DR12" i="99" s="1"/>
  <c r="FG13" i="99"/>
  <c r="FA13" i="99"/>
  <c r="FB13" i="99" s="1"/>
  <c r="FA15" i="99"/>
  <c r="FB15" i="99" s="1"/>
  <c r="EI19" i="99"/>
  <c r="EJ19" i="99" s="1"/>
  <c r="FA23" i="99"/>
  <c r="FB23" i="99" s="1"/>
  <c r="FX25" i="99"/>
  <c r="AP29" i="99"/>
  <c r="FG30" i="99"/>
  <c r="FG31" i="99"/>
  <c r="AP31" i="99"/>
  <c r="AP32" i="99"/>
  <c r="EV33" i="99"/>
  <c r="EW33" i="99" s="1"/>
  <c r="AP33" i="99"/>
  <c r="FG34" i="99"/>
  <c r="FT34" i="99"/>
  <c r="EI34" i="99"/>
  <c r="DQ35" i="99"/>
  <c r="DR35" i="99" s="1"/>
  <c r="BI37" i="99"/>
  <c r="CY38" i="99" s="1"/>
  <c r="CZ38" i="99" s="1"/>
  <c r="FX38" i="99"/>
  <c r="BI38" i="99"/>
  <c r="BJ38" i="99" s="1"/>
  <c r="AP41" i="99"/>
  <c r="FG42" i="99"/>
  <c r="AP43" i="99"/>
  <c r="FG44" i="99"/>
  <c r="BI44" i="99"/>
  <c r="AP45" i="99"/>
  <c r="FG46" i="99"/>
  <c r="R71" i="99"/>
  <c r="FX47" i="99"/>
  <c r="FG49" i="99"/>
  <c r="FG51" i="99"/>
  <c r="FG52" i="99"/>
  <c r="FG53" i="99"/>
  <c r="EV57" i="99"/>
  <c r="EW57" i="99" s="1"/>
  <c r="AP57" i="99"/>
  <c r="FG58" i="99"/>
  <c r="FT58" i="99"/>
  <c r="BI58" i="99"/>
  <c r="BJ58" i="99" s="1"/>
  <c r="EV60" i="99"/>
  <c r="EW60" i="99" s="1"/>
  <c r="FG63" i="99"/>
  <c r="BI64" i="99"/>
  <c r="BJ64" i="99" s="1"/>
  <c r="EW65" i="99"/>
  <c r="AD66" i="99"/>
  <c r="AP65" i="99"/>
  <c r="AH66" i="99"/>
  <c r="FX66" i="99"/>
  <c r="AP66" i="99"/>
  <c r="EI11" i="99"/>
  <c r="EJ11" i="99" s="1"/>
  <c r="FG12" i="99"/>
  <c r="AA11" i="99"/>
  <c r="FG14" i="99"/>
  <c r="DQ14" i="99"/>
  <c r="DR14" i="99" s="1"/>
  <c r="FG15" i="99"/>
  <c r="DQ15" i="99"/>
  <c r="FG16" i="99"/>
  <c r="FG17" i="99"/>
  <c r="DQ20" i="99"/>
  <c r="FG21" i="99"/>
  <c r="EI21" i="99"/>
  <c r="EJ21" i="99" s="1"/>
  <c r="FN24" i="99"/>
  <c r="FG35" i="99"/>
  <c r="EI40" i="99"/>
  <c r="EJ40" i="99" s="1"/>
  <c r="FL22" i="99"/>
  <c r="FF32" i="99"/>
  <c r="FF43" i="99"/>
  <c r="AL66" i="99"/>
  <c r="FT4" i="99"/>
  <c r="FQ4" i="99"/>
  <c r="FS4" i="99" s="1"/>
  <c r="FT7" i="99"/>
  <c r="FF11" i="99"/>
  <c r="FT12" i="99"/>
  <c r="EV14" i="99"/>
  <c r="EW14" i="99" s="1"/>
  <c r="AT14" i="99"/>
  <c r="FT15" i="99"/>
  <c r="AT18" i="99"/>
  <c r="FL20" i="99"/>
  <c r="BA25" i="99"/>
  <c r="BB25" i="99" s="1"/>
  <c r="AT26" i="99"/>
  <c r="AT29" i="99"/>
  <c r="FT31" i="99"/>
  <c r="FL36" i="99"/>
  <c r="AT36" i="99"/>
  <c r="BA38" i="99"/>
  <c r="BB38" i="99" s="1"/>
  <c r="AT41" i="99"/>
  <c r="FT43" i="99"/>
  <c r="BA46" i="99"/>
  <c r="BB46" i="99" s="1"/>
  <c r="FT53" i="99"/>
  <c r="BA56" i="99"/>
  <c r="BB56" i="99" s="1"/>
  <c r="CB29" i="99"/>
  <c r="CB30" i="99" s="1"/>
  <c r="CB31" i="99" s="1"/>
  <c r="CB32" i="99" s="1"/>
  <c r="CB33" i="99" s="1"/>
  <c r="CB34" i="99" s="1"/>
  <c r="CB35" i="99" s="1"/>
  <c r="CB36" i="99" s="1"/>
  <c r="CB37" i="99" s="1"/>
  <c r="CB38" i="99" s="1"/>
  <c r="CB39" i="99" s="1"/>
  <c r="CB40" i="99" s="1"/>
  <c r="CB41" i="99" s="1"/>
  <c r="CB42" i="99" s="1"/>
  <c r="CB43" i="99" s="1"/>
  <c r="CB44" i="99" s="1"/>
  <c r="CB45" i="99" s="1"/>
  <c r="CB46" i="99" s="1"/>
  <c r="CB47" i="99" s="1"/>
  <c r="CB48" i="99" s="1"/>
  <c r="CB49" i="99" s="1"/>
  <c r="CB50" i="99" s="1"/>
  <c r="CB51" i="99" s="1"/>
  <c r="CB52" i="99" s="1"/>
  <c r="CB53" i="99" s="1"/>
  <c r="CB54" i="99" s="1"/>
  <c r="CB55" i="99" s="1"/>
  <c r="CB56" i="99" s="1"/>
  <c r="CB57" i="99" s="1"/>
  <c r="CB58" i="99" s="1"/>
  <c r="CB59" i="99" s="1"/>
  <c r="CB60" i="99" s="1"/>
  <c r="CB61" i="99" s="1"/>
  <c r="CB62" i="99" s="1"/>
  <c r="CB63" i="99" s="1"/>
  <c r="CB64" i="99" s="1"/>
  <c r="CB65" i="99" s="1"/>
  <c r="CB66" i="99" s="1"/>
  <c r="CB67" i="99" s="1"/>
  <c r="CK29" i="99"/>
  <c r="CK30" i="99" s="1"/>
  <c r="CK31" i="99" s="1"/>
  <c r="CK32" i="99" s="1"/>
  <c r="CK33" i="99" s="1"/>
  <c r="CK34" i="99" s="1"/>
  <c r="CK35" i="99" s="1"/>
  <c r="CK36" i="99" s="1"/>
  <c r="CK37" i="99" s="1"/>
  <c r="CK38" i="99" s="1"/>
  <c r="CK39" i="99" s="1"/>
  <c r="CK40" i="99" s="1"/>
  <c r="CK41" i="99" s="1"/>
  <c r="CK42" i="99" s="1"/>
  <c r="CK43" i="99" s="1"/>
  <c r="CK44" i="99" s="1"/>
  <c r="CK45" i="99" s="1"/>
  <c r="CK46" i="99" s="1"/>
  <c r="CK47" i="99" s="1"/>
  <c r="CK48" i="99" s="1"/>
  <c r="CK49" i="99" s="1"/>
  <c r="CK50" i="99" s="1"/>
  <c r="CK51" i="99" s="1"/>
  <c r="CK52" i="99" s="1"/>
  <c r="CK53" i="99" s="1"/>
  <c r="CK54" i="99" s="1"/>
  <c r="CK55" i="99" s="1"/>
  <c r="CK56" i="99" s="1"/>
  <c r="CK57" i="99" s="1"/>
  <c r="CK58" i="99" s="1"/>
  <c r="CK59" i="99" s="1"/>
  <c r="CK60" i="99" s="1"/>
  <c r="CK61" i="99" s="1"/>
  <c r="CK62" i="99" s="1"/>
  <c r="CK63" i="99" s="1"/>
  <c r="CK64" i="99" s="1"/>
  <c r="CK65" i="99" s="1"/>
  <c r="CK66" i="99" s="1"/>
  <c r="CK67" i="99" s="1"/>
  <c r="AV4" i="99"/>
  <c r="BS4" i="99"/>
  <c r="DT25" i="99"/>
  <c r="DT26" i="99" s="1"/>
  <c r="DT27" i="99" s="1"/>
  <c r="DT28" i="99" s="1"/>
  <c r="DT29" i="99" s="1"/>
  <c r="DT30" i="99" s="1"/>
  <c r="DT31" i="99" s="1"/>
  <c r="DT32" i="99" s="1"/>
  <c r="DT33" i="99" s="1"/>
  <c r="DT34" i="99" s="1"/>
  <c r="DT35" i="99" s="1"/>
  <c r="DT36" i="99" s="1"/>
  <c r="DT37" i="99" s="1"/>
  <c r="DT38" i="99" s="1"/>
  <c r="DT39" i="99" s="1"/>
  <c r="DT40" i="99" s="1"/>
  <c r="DT41" i="99" s="1"/>
  <c r="DT42" i="99" s="1"/>
  <c r="DT43" i="99" s="1"/>
  <c r="DT44" i="99" s="1"/>
  <c r="DT45" i="99" s="1"/>
  <c r="DT46" i="99" s="1"/>
  <c r="DT47" i="99" s="1"/>
  <c r="DT48" i="99" s="1"/>
  <c r="DT49" i="99" s="1"/>
  <c r="DT50" i="99" s="1"/>
  <c r="DT51" i="99" s="1"/>
  <c r="DT52" i="99" s="1"/>
  <c r="DT53" i="99" s="1"/>
  <c r="DT54" i="99" s="1"/>
  <c r="DT55" i="99" s="1"/>
  <c r="DT56" i="99" s="1"/>
  <c r="DT57" i="99" s="1"/>
  <c r="DT58" i="99" s="1"/>
  <c r="DT59" i="99" s="1"/>
  <c r="DT60" i="99" s="1"/>
  <c r="DT61" i="99" s="1"/>
  <c r="DT62" i="99" s="1"/>
  <c r="DT63" i="99" s="1"/>
  <c r="DT64" i="99" s="1"/>
  <c r="DT65" i="99" s="1"/>
  <c r="DT66" i="99" s="1"/>
  <c r="DT67" i="99" s="1"/>
  <c r="AA5" i="99"/>
  <c r="AV5" i="99"/>
  <c r="BS5" i="99"/>
  <c r="Z6" i="99"/>
  <c r="AD6" i="99"/>
  <c r="AH6" i="99"/>
  <c r="AP6" i="99"/>
  <c r="AT6" i="99"/>
  <c r="BI6" i="99"/>
  <c r="DH6" i="99"/>
  <c r="DI6" i="99" s="1"/>
  <c r="DQ6" i="99"/>
  <c r="DR6" i="99" s="1"/>
  <c r="DZ6" i="99"/>
  <c r="EA6" i="99" s="1"/>
  <c r="EI6" i="99"/>
  <c r="EJ6" i="99" s="1"/>
  <c r="FF6" i="99"/>
  <c r="AA7" i="99"/>
  <c r="AV7" i="99"/>
  <c r="BS7" i="99"/>
  <c r="AA8" i="99"/>
  <c r="AV8" i="99"/>
  <c r="BD8" i="99"/>
  <c r="BD9" i="99" s="1"/>
  <c r="BD10" i="99" s="1"/>
  <c r="BD11" i="99" s="1"/>
  <c r="BD12" i="99" s="1"/>
  <c r="BD13" i="99" s="1"/>
  <c r="BD14" i="99" s="1"/>
  <c r="BD15" i="99" s="1"/>
  <c r="BD16" i="99" s="1"/>
  <c r="BD17" i="99" s="1"/>
  <c r="BD18" i="99" s="1"/>
  <c r="BD19" i="99" s="1"/>
  <c r="BD20" i="99" s="1"/>
  <c r="BD21" i="99" s="1"/>
  <c r="BD22" i="99" s="1"/>
  <c r="BD23" i="99" s="1"/>
  <c r="BD24" i="99" s="1"/>
  <c r="BD25" i="99" s="1"/>
  <c r="BD26" i="99" s="1"/>
  <c r="BD27" i="99" s="1"/>
  <c r="BD28" i="99" s="1"/>
  <c r="BD29" i="99" s="1"/>
  <c r="BD30" i="99" s="1"/>
  <c r="BD31" i="99" s="1"/>
  <c r="BD32" i="99" s="1"/>
  <c r="BD33" i="99" s="1"/>
  <c r="BD34" i="99" s="1"/>
  <c r="BD35" i="99" s="1"/>
  <c r="BD36" i="99" s="1"/>
  <c r="BD37" i="99" s="1"/>
  <c r="BD38" i="99" s="1"/>
  <c r="BD39" i="99" s="1"/>
  <c r="BD40" i="99" s="1"/>
  <c r="BD41" i="99" s="1"/>
  <c r="BD42" i="99" s="1"/>
  <c r="BD43" i="99" s="1"/>
  <c r="BD44" i="99" s="1"/>
  <c r="BD45" i="99" s="1"/>
  <c r="BD46" i="99" s="1"/>
  <c r="BD47" i="99" s="1"/>
  <c r="BD48" i="99" s="1"/>
  <c r="BD49" i="99" s="1"/>
  <c r="BD50" i="99" s="1"/>
  <c r="BD51" i="99" s="1"/>
  <c r="BD52" i="99" s="1"/>
  <c r="BD53" i="99" s="1"/>
  <c r="BD54" i="99" s="1"/>
  <c r="BD55" i="99" s="1"/>
  <c r="BD56" i="99" s="1"/>
  <c r="BD57" i="99" s="1"/>
  <c r="BD58" i="99" s="1"/>
  <c r="BD59" i="99" s="1"/>
  <c r="BD60" i="99" s="1"/>
  <c r="BD61" i="99" s="1"/>
  <c r="BD62" i="99" s="1"/>
  <c r="BD63" i="99" s="1"/>
  <c r="BD64" i="99" s="1"/>
  <c r="BD65" i="99" s="1"/>
  <c r="BD66" i="99" s="1"/>
  <c r="BD67" i="99" s="1"/>
  <c r="BI8" i="99"/>
  <c r="FG8" i="99"/>
  <c r="AA9" i="99"/>
  <c r="AV9" i="99"/>
  <c r="BI9" i="99"/>
  <c r="FG9" i="99"/>
  <c r="Z10" i="99"/>
  <c r="AD10" i="99"/>
  <c r="AH10" i="99"/>
  <c r="AP10" i="99"/>
  <c r="AT10" i="99"/>
  <c r="BN10" i="99"/>
  <c r="BS10" i="99"/>
  <c r="DH10" i="99"/>
  <c r="DI10" i="99" s="1"/>
  <c r="DQ10" i="99"/>
  <c r="DR10" i="99" s="1"/>
  <c r="DZ10" i="99"/>
  <c r="EA10" i="99" s="1"/>
  <c r="EI10" i="99"/>
  <c r="EJ10" i="99" s="1"/>
  <c r="EV10" i="99"/>
  <c r="EW10" i="99" s="1"/>
  <c r="Z11" i="99"/>
  <c r="AD11" i="99"/>
  <c r="AL11" i="99"/>
  <c r="AP11" i="99"/>
  <c r="AT11" i="99"/>
  <c r="BA11" i="99"/>
  <c r="BB11" i="99" s="1"/>
  <c r="BN11" i="99"/>
  <c r="BS11" i="99"/>
  <c r="DH11" i="99"/>
  <c r="DI11" i="99" s="1"/>
  <c r="DQ11" i="99"/>
  <c r="DR11" i="99" s="1"/>
  <c r="DZ11" i="99"/>
  <c r="EA11" i="99" s="1"/>
  <c r="FL11" i="99"/>
  <c r="FM11" i="99" s="1"/>
  <c r="FN11" i="99"/>
  <c r="FO11" i="99" s="1"/>
  <c r="AA12" i="99"/>
  <c r="AV12" i="99"/>
  <c r="BI12" i="99"/>
  <c r="EC12" i="99"/>
  <c r="EC13" i="99" s="1"/>
  <c r="EC14" i="99" s="1"/>
  <c r="EC15" i="99" s="1"/>
  <c r="EC16" i="99" s="1"/>
  <c r="EC17" i="99" s="1"/>
  <c r="EC18" i="99" s="1"/>
  <c r="EC19" i="99" s="1"/>
  <c r="EC20" i="99" s="1"/>
  <c r="EC21" i="99" s="1"/>
  <c r="EC22" i="99" s="1"/>
  <c r="EC23" i="99" s="1"/>
  <c r="EC24" i="99" s="1"/>
  <c r="EC25" i="99" s="1"/>
  <c r="EC26" i="99" s="1"/>
  <c r="EC27" i="99" s="1"/>
  <c r="EC28" i="99" s="1"/>
  <c r="EC29" i="99" s="1"/>
  <c r="EC30" i="99" s="1"/>
  <c r="EC31" i="99" s="1"/>
  <c r="EC32" i="99" s="1"/>
  <c r="EC33" i="99" s="1"/>
  <c r="EC34" i="99" s="1"/>
  <c r="EC35" i="99" s="1"/>
  <c r="EC36" i="99" s="1"/>
  <c r="EC37" i="99" s="1"/>
  <c r="EC38" i="99" s="1"/>
  <c r="EC39" i="99" s="1"/>
  <c r="EC40" i="99" s="1"/>
  <c r="EC41" i="99" s="1"/>
  <c r="EC42" i="99" s="1"/>
  <c r="EC43" i="99" s="1"/>
  <c r="EC44" i="99" s="1"/>
  <c r="EC45" i="99" s="1"/>
  <c r="EC46" i="99" s="1"/>
  <c r="EC47" i="99" s="1"/>
  <c r="EC48" i="99" s="1"/>
  <c r="EC49" i="99" s="1"/>
  <c r="EC50" i="99" s="1"/>
  <c r="EC51" i="99" s="1"/>
  <c r="EC52" i="99" s="1"/>
  <c r="EC53" i="99" s="1"/>
  <c r="EC54" i="99" s="1"/>
  <c r="EC55" i="99" s="1"/>
  <c r="EC56" i="99" s="1"/>
  <c r="EC57" i="99" s="1"/>
  <c r="EC58" i="99" s="1"/>
  <c r="EC59" i="99" s="1"/>
  <c r="EC60" i="99" s="1"/>
  <c r="EC61" i="99" s="1"/>
  <c r="EC62" i="99" s="1"/>
  <c r="EC63" i="99" s="1"/>
  <c r="EC64" i="99" s="1"/>
  <c r="EC65" i="99" s="1"/>
  <c r="EC66" i="99" s="1"/>
  <c r="EC67" i="99" s="1"/>
  <c r="EI12" i="99"/>
  <c r="EJ12" i="99" s="1"/>
  <c r="FA12" i="99"/>
  <c r="FB12" i="99" s="1"/>
  <c r="Z13" i="99"/>
  <c r="AD13" i="99"/>
  <c r="AH13" i="99"/>
  <c r="AL13" i="99"/>
  <c r="AP13" i="99"/>
  <c r="AT13" i="99"/>
  <c r="BA13" i="99"/>
  <c r="BB13" i="99" s="1"/>
  <c r="BN13" i="99"/>
  <c r="BS13" i="99"/>
  <c r="DH13" i="99"/>
  <c r="DI13" i="99" s="1"/>
  <c r="DZ13" i="99"/>
  <c r="EA13" i="99" s="1"/>
  <c r="FF13" i="99"/>
  <c r="FN13" i="99"/>
  <c r="AA14" i="99"/>
  <c r="AV14" i="99"/>
  <c r="BI14" i="99"/>
  <c r="EI14" i="99"/>
  <c r="EJ14" i="99" s="1"/>
  <c r="FA14" i="99"/>
  <c r="FB14" i="99" s="1"/>
  <c r="Z15" i="99"/>
  <c r="AD15" i="99"/>
  <c r="AH15" i="99"/>
  <c r="AL15" i="99"/>
  <c r="AP15" i="99"/>
  <c r="AT15" i="99"/>
  <c r="BA15" i="99"/>
  <c r="BN15" i="99"/>
  <c r="BS15" i="99"/>
  <c r="CH15" i="99"/>
  <c r="CH16" i="99" s="1"/>
  <c r="CH17" i="99" s="1"/>
  <c r="CH18" i="99" s="1"/>
  <c r="CH19" i="99" s="1"/>
  <c r="CH20" i="99" s="1"/>
  <c r="CH21" i="99" s="1"/>
  <c r="CH22" i="99" s="1"/>
  <c r="CH23" i="99" s="1"/>
  <c r="CH24" i="99" s="1"/>
  <c r="CH25" i="99" s="1"/>
  <c r="CH26" i="99" s="1"/>
  <c r="CH27" i="99" s="1"/>
  <c r="CH28" i="99" s="1"/>
  <c r="CH29" i="99" s="1"/>
  <c r="CH30" i="99" s="1"/>
  <c r="CH31" i="99" s="1"/>
  <c r="CH32" i="99" s="1"/>
  <c r="CH33" i="99" s="1"/>
  <c r="CH34" i="99" s="1"/>
  <c r="CH35" i="99" s="1"/>
  <c r="CH36" i="99" s="1"/>
  <c r="CH37" i="99" s="1"/>
  <c r="CH38" i="99" s="1"/>
  <c r="CH39" i="99" s="1"/>
  <c r="CH40" i="99" s="1"/>
  <c r="CH41" i="99" s="1"/>
  <c r="CH42" i="99" s="1"/>
  <c r="CH43" i="99" s="1"/>
  <c r="CH44" i="99" s="1"/>
  <c r="CH45" i="99" s="1"/>
  <c r="CH46" i="99" s="1"/>
  <c r="CH47" i="99" s="1"/>
  <c r="CH48" i="99" s="1"/>
  <c r="CH49" i="99" s="1"/>
  <c r="CH50" i="99" s="1"/>
  <c r="CH51" i="99" s="1"/>
  <c r="CH52" i="99" s="1"/>
  <c r="CH53" i="99" s="1"/>
  <c r="CH54" i="99" s="1"/>
  <c r="CH55" i="99" s="1"/>
  <c r="CH56" i="99" s="1"/>
  <c r="CH57" i="99" s="1"/>
  <c r="CH58" i="99" s="1"/>
  <c r="CH59" i="99" s="1"/>
  <c r="CH60" i="99" s="1"/>
  <c r="CH61" i="99" s="1"/>
  <c r="CH62" i="99" s="1"/>
  <c r="CH63" i="99" s="1"/>
  <c r="CH64" i="99" s="1"/>
  <c r="CH65" i="99" s="1"/>
  <c r="CH66" i="99" s="1"/>
  <c r="CH67" i="99" s="1"/>
  <c r="DH15" i="99"/>
  <c r="DI15" i="99" s="1"/>
  <c r="DZ15" i="99"/>
  <c r="EA15" i="99" s="1"/>
  <c r="FF15" i="99"/>
  <c r="FL15" i="99"/>
  <c r="FN15" i="99"/>
  <c r="AA16" i="99"/>
  <c r="AV16" i="99"/>
  <c r="AY16" i="99"/>
  <c r="AY17" i="99" s="1"/>
  <c r="AY18" i="99" s="1"/>
  <c r="AY19" i="99" s="1"/>
  <c r="AY20" i="99" s="1"/>
  <c r="AY21" i="99" s="1"/>
  <c r="AY22" i="99" s="1"/>
  <c r="AY23" i="99" s="1"/>
  <c r="AY24" i="99" s="1"/>
  <c r="AY25" i="99" s="1"/>
  <c r="AY26" i="99" s="1"/>
  <c r="AY27" i="99" s="1"/>
  <c r="AY28" i="99" s="1"/>
  <c r="AY29" i="99" s="1"/>
  <c r="AY30" i="99" s="1"/>
  <c r="AY31" i="99" s="1"/>
  <c r="AY32" i="99" s="1"/>
  <c r="AY33" i="99" s="1"/>
  <c r="AY34" i="99" s="1"/>
  <c r="AY35" i="99" s="1"/>
  <c r="AY36" i="99" s="1"/>
  <c r="AY37" i="99" s="1"/>
  <c r="AY38" i="99" s="1"/>
  <c r="AY39" i="99" s="1"/>
  <c r="AY40" i="99" s="1"/>
  <c r="AY41" i="99" s="1"/>
  <c r="AY42" i="99" s="1"/>
  <c r="AY43" i="99" s="1"/>
  <c r="AY44" i="99" s="1"/>
  <c r="AY45" i="99" s="1"/>
  <c r="AY46" i="99" s="1"/>
  <c r="AY47" i="99" s="1"/>
  <c r="AY48" i="99" s="1"/>
  <c r="AY49" i="99" s="1"/>
  <c r="AY50" i="99" s="1"/>
  <c r="AY51" i="99" s="1"/>
  <c r="AY52" i="99" s="1"/>
  <c r="AY53" i="99" s="1"/>
  <c r="AY54" i="99" s="1"/>
  <c r="AY55" i="99" s="1"/>
  <c r="AY56" i="99" s="1"/>
  <c r="AY57" i="99" s="1"/>
  <c r="AY58" i="99" s="1"/>
  <c r="AY59" i="99" s="1"/>
  <c r="AY60" i="99" s="1"/>
  <c r="AY61" i="99" s="1"/>
  <c r="AY62" i="99" s="1"/>
  <c r="AY63" i="99" s="1"/>
  <c r="AY64" i="99" s="1"/>
  <c r="AY65" i="99" s="1"/>
  <c r="AY66" i="99" s="1"/>
  <c r="AY67" i="99" s="1"/>
  <c r="BA16" i="99"/>
  <c r="BB16" i="99" s="1"/>
  <c r="BG16" i="99"/>
  <c r="BG17" i="99" s="1"/>
  <c r="BG18" i="99" s="1"/>
  <c r="BG19" i="99" s="1"/>
  <c r="BG20" i="99" s="1"/>
  <c r="BG21" i="99" s="1"/>
  <c r="BG22" i="99" s="1"/>
  <c r="BG23" i="99" s="1"/>
  <c r="BG24" i="99" s="1"/>
  <c r="BG25" i="99" s="1"/>
  <c r="BG26" i="99" s="1"/>
  <c r="BG27" i="99" s="1"/>
  <c r="BG28" i="99" s="1"/>
  <c r="BG29" i="99" s="1"/>
  <c r="BG30" i="99" s="1"/>
  <c r="BG31" i="99" s="1"/>
  <c r="BG32" i="99" s="1"/>
  <c r="BG33" i="99" s="1"/>
  <c r="BG34" i="99" s="1"/>
  <c r="BG35" i="99" s="1"/>
  <c r="BG36" i="99" s="1"/>
  <c r="BG37" i="99" s="1"/>
  <c r="BG38" i="99" s="1"/>
  <c r="BG39" i="99" s="1"/>
  <c r="BG40" i="99" s="1"/>
  <c r="BG41" i="99" s="1"/>
  <c r="BG42" i="99" s="1"/>
  <c r="BG43" i="99" s="1"/>
  <c r="BG44" i="99" s="1"/>
  <c r="BG45" i="99" s="1"/>
  <c r="BG46" i="99" s="1"/>
  <c r="BG47" i="99" s="1"/>
  <c r="BG48" i="99" s="1"/>
  <c r="BG49" i="99" s="1"/>
  <c r="BG50" i="99" s="1"/>
  <c r="BG51" i="99" s="1"/>
  <c r="BG52" i="99" s="1"/>
  <c r="BG53" i="99" s="1"/>
  <c r="BG54" i="99" s="1"/>
  <c r="BG55" i="99" s="1"/>
  <c r="BG56" i="99" s="1"/>
  <c r="BG57" i="99" s="1"/>
  <c r="BG58" i="99" s="1"/>
  <c r="BG59" i="99" s="1"/>
  <c r="BG60" i="99" s="1"/>
  <c r="BG61" i="99" s="1"/>
  <c r="BG62" i="99" s="1"/>
  <c r="BG63" i="99" s="1"/>
  <c r="BG64" i="99" s="1"/>
  <c r="BG65" i="99" s="1"/>
  <c r="BG66" i="99" s="1"/>
  <c r="BG67" i="99" s="1"/>
  <c r="BI16" i="99"/>
  <c r="EI16" i="99"/>
  <c r="EJ16" i="99" s="1"/>
  <c r="EV17" i="99"/>
  <c r="EW17" i="99" s="1"/>
  <c r="FL17" i="99"/>
  <c r="FA17" i="99"/>
  <c r="FB17" i="99" s="1"/>
  <c r="FG18" i="99"/>
  <c r="AA18" i="99"/>
  <c r="FN17" i="99"/>
  <c r="Z17" i="99"/>
  <c r="AH17" i="99"/>
  <c r="AT17" i="99"/>
  <c r="BN17" i="99"/>
  <c r="BS17" i="99"/>
  <c r="DH17" i="99"/>
  <c r="DI17" i="99" s="1"/>
  <c r="DQ17" i="99"/>
  <c r="DR17" i="99" s="1"/>
  <c r="DZ17" i="99"/>
  <c r="EA17" i="99" s="1"/>
  <c r="BA18" i="99"/>
  <c r="FF19" i="99"/>
  <c r="AD19" i="99"/>
  <c r="Z19" i="99"/>
  <c r="EI18" i="99"/>
  <c r="EJ18" i="99" s="1"/>
  <c r="BI18" i="99"/>
  <c r="BJ18" i="99" s="1"/>
  <c r="AH19" i="99"/>
  <c r="Z18" i="99"/>
  <c r="BN18" i="99"/>
  <c r="BS18" i="99"/>
  <c r="DH18" i="99"/>
  <c r="DI18" i="99" s="1"/>
  <c r="DZ18" i="99"/>
  <c r="EA18" i="99" s="1"/>
  <c r="EV18" i="99"/>
  <c r="EW18" i="99" s="1"/>
  <c r="FA18" i="99"/>
  <c r="FB18" i="99" s="1"/>
  <c r="FF18" i="99"/>
  <c r="FN18" i="99"/>
  <c r="FO18" i="99" s="1"/>
  <c r="EV19" i="99"/>
  <c r="EW19" i="99" s="1"/>
  <c r="FL19" i="99"/>
  <c r="FA19" i="99"/>
  <c r="FB19" i="99" s="1"/>
  <c r="FG20" i="99"/>
  <c r="AA19" i="99"/>
  <c r="FG19" i="99"/>
  <c r="FT19" i="99"/>
  <c r="FX19" i="99"/>
  <c r="FT20" i="99"/>
  <c r="FX20" i="99"/>
  <c r="AD20" i="99"/>
  <c r="AH20" i="99"/>
  <c r="AL20" i="99"/>
  <c r="AP20" i="99"/>
  <c r="EV21" i="99"/>
  <c r="EW21" i="99" s="1"/>
  <c r="FL21" i="99"/>
  <c r="FA21" i="99"/>
  <c r="FB21" i="99" s="1"/>
  <c r="FG22" i="99"/>
  <c r="AA21" i="99"/>
  <c r="FT21" i="99"/>
  <c r="FX21" i="99"/>
  <c r="BA22" i="99"/>
  <c r="FF23" i="99"/>
  <c r="AD23" i="99"/>
  <c r="Z23" i="99"/>
  <c r="EI22" i="99"/>
  <c r="EJ22" i="99" s="1"/>
  <c r="BI22" i="99"/>
  <c r="AH23" i="99"/>
  <c r="Z22" i="99"/>
  <c r="BN22" i="99"/>
  <c r="BS22" i="99"/>
  <c r="DH22" i="99"/>
  <c r="DI22" i="99" s="1"/>
  <c r="DZ22" i="99"/>
  <c r="EA22" i="99" s="1"/>
  <c r="EV22" i="99"/>
  <c r="EW22" i="99" s="1"/>
  <c r="FA22" i="99"/>
  <c r="FB22" i="99" s="1"/>
  <c r="FN22" i="99"/>
  <c r="AL23" i="99"/>
  <c r="AP23" i="99"/>
  <c r="AV23" i="99"/>
  <c r="BA23" i="99"/>
  <c r="BI23" i="99"/>
  <c r="FT24" i="99"/>
  <c r="FX24" i="99"/>
  <c r="AD24" i="99"/>
  <c r="AH24" i="99"/>
  <c r="AP24" i="99"/>
  <c r="FF24" i="99"/>
  <c r="FJ24" i="99"/>
  <c r="FK24" i="99" s="1"/>
  <c r="AT25" i="99"/>
  <c r="FT25" i="99"/>
  <c r="AL25" i="99"/>
  <c r="AP25" i="99"/>
  <c r="DQ25" i="99"/>
  <c r="DR25" i="99" s="1"/>
  <c r="FA25" i="99"/>
  <c r="FB25" i="99" s="1"/>
  <c r="FF27" i="99"/>
  <c r="FL29" i="99"/>
  <c r="BJ37" i="99"/>
  <c r="AL4" i="99"/>
  <c r="BA4" i="99"/>
  <c r="BB4" i="99" s="1"/>
  <c r="BI4" i="99"/>
  <c r="BJ4" i="99" s="1"/>
  <c r="BN4" i="99"/>
  <c r="Z5" i="99"/>
  <c r="AL5" i="99"/>
  <c r="AN5" i="99" s="1"/>
  <c r="AM6" i="99" s="1"/>
  <c r="AP5" i="99"/>
  <c r="AR5" i="99" s="1"/>
  <c r="AQ6" i="99" s="1"/>
  <c r="BA5" i="99"/>
  <c r="BI5" i="99"/>
  <c r="BJ5" i="99" s="1"/>
  <c r="DH5" i="99"/>
  <c r="DI5" i="99" s="1"/>
  <c r="DQ5" i="99"/>
  <c r="DR5" i="99" s="1"/>
  <c r="DZ5" i="99"/>
  <c r="EA5" i="99" s="1"/>
  <c r="EI5" i="99"/>
  <c r="EJ5" i="99" s="1"/>
  <c r="EV5" i="99"/>
  <c r="EW5" i="99" s="1"/>
  <c r="AA6" i="99"/>
  <c r="AV6" i="99"/>
  <c r="Z7" i="99"/>
  <c r="AD7" i="99"/>
  <c r="AH7" i="99"/>
  <c r="AL7" i="99"/>
  <c r="AP7" i="99"/>
  <c r="BA7" i="99"/>
  <c r="BI7" i="99"/>
  <c r="BJ7" i="99" s="1"/>
  <c r="BN7" i="99"/>
  <c r="DH7" i="99"/>
  <c r="DI7" i="99" s="1"/>
  <c r="DQ7" i="99"/>
  <c r="DR7" i="99" s="1"/>
  <c r="DZ7" i="99"/>
  <c r="EA7" i="99" s="1"/>
  <c r="EI7" i="99"/>
  <c r="EJ7" i="99" s="1"/>
  <c r="Z8" i="99"/>
  <c r="AD8" i="99"/>
  <c r="AL8" i="99"/>
  <c r="AP8" i="99"/>
  <c r="BA8" i="99"/>
  <c r="BL8" i="99"/>
  <c r="BL9" i="99" s="1"/>
  <c r="BL10" i="99" s="1"/>
  <c r="BL11" i="99" s="1"/>
  <c r="BL12" i="99" s="1"/>
  <c r="BL13" i="99" s="1"/>
  <c r="BL14" i="99" s="1"/>
  <c r="BL15" i="99" s="1"/>
  <c r="BL16" i="99" s="1"/>
  <c r="BL17" i="99" s="1"/>
  <c r="BL18" i="99" s="1"/>
  <c r="BL19" i="99" s="1"/>
  <c r="BL20" i="99" s="1"/>
  <c r="BL21" i="99" s="1"/>
  <c r="BL22" i="99" s="1"/>
  <c r="BL23" i="99" s="1"/>
  <c r="BL24" i="99" s="1"/>
  <c r="BL25" i="99" s="1"/>
  <c r="BL26" i="99" s="1"/>
  <c r="BL27" i="99" s="1"/>
  <c r="BL28" i="99" s="1"/>
  <c r="BL29" i="99" s="1"/>
  <c r="BL30" i="99" s="1"/>
  <c r="BL31" i="99" s="1"/>
  <c r="BL32" i="99" s="1"/>
  <c r="BL33" i="99" s="1"/>
  <c r="BL34" i="99" s="1"/>
  <c r="BL35" i="99" s="1"/>
  <c r="BL36" i="99" s="1"/>
  <c r="BL37" i="99" s="1"/>
  <c r="BL38" i="99" s="1"/>
  <c r="BL39" i="99" s="1"/>
  <c r="BL40" i="99" s="1"/>
  <c r="BL41" i="99" s="1"/>
  <c r="BL42" i="99" s="1"/>
  <c r="BL43" i="99" s="1"/>
  <c r="BL44" i="99" s="1"/>
  <c r="BL45" i="99" s="1"/>
  <c r="BL46" i="99" s="1"/>
  <c r="BL47" i="99" s="1"/>
  <c r="BL48" i="99" s="1"/>
  <c r="BL49" i="99" s="1"/>
  <c r="BL50" i="99" s="1"/>
  <c r="BL51" i="99" s="1"/>
  <c r="BL52" i="99" s="1"/>
  <c r="BL53" i="99" s="1"/>
  <c r="BL54" i="99" s="1"/>
  <c r="BL55" i="99" s="1"/>
  <c r="BL56" i="99" s="1"/>
  <c r="BL57" i="99" s="1"/>
  <c r="BL58" i="99" s="1"/>
  <c r="BL59" i="99" s="1"/>
  <c r="BL60" i="99" s="1"/>
  <c r="BL61" i="99" s="1"/>
  <c r="BL62" i="99" s="1"/>
  <c r="BL63" i="99" s="1"/>
  <c r="BL64" i="99" s="1"/>
  <c r="BL65" i="99" s="1"/>
  <c r="BL66" i="99" s="1"/>
  <c r="BL67" i="99" s="1"/>
  <c r="BN8" i="99"/>
  <c r="BS8" i="99"/>
  <c r="DH8" i="99"/>
  <c r="DI8" i="99" s="1"/>
  <c r="DQ8" i="99"/>
  <c r="DR8" i="99" s="1"/>
  <c r="DZ8" i="99"/>
  <c r="EA8" i="99" s="1"/>
  <c r="EI8" i="99"/>
  <c r="EJ8" i="99" s="1"/>
  <c r="Z9" i="99"/>
  <c r="AD9" i="99"/>
  <c r="AL9" i="99"/>
  <c r="AP9" i="99"/>
  <c r="BA9" i="99"/>
  <c r="BB9" i="99" s="1"/>
  <c r="BS9" i="99"/>
  <c r="DH9" i="99"/>
  <c r="DI9" i="99" s="1"/>
  <c r="DQ9" i="99"/>
  <c r="DR9" i="99" s="1"/>
  <c r="DZ9" i="99"/>
  <c r="EA9" i="99" s="1"/>
  <c r="EI9" i="99"/>
  <c r="EJ9" i="99" s="1"/>
  <c r="FA9" i="99"/>
  <c r="FB9" i="99" s="1"/>
  <c r="AA10" i="99"/>
  <c r="AV10" i="99"/>
  <c r="AV11" i="99"/>
  <c r="BI11" i="99"/>
  <c r="BJ11" i="99" s="1"/>
  <c r="Z12" i="99"/>
  <c r="AD12" i="99"/>
  <c r="AH12" i="99"/>
  <c r="AL12" i="99"/>
  <c r="AP12" i="99"/>
  <c r="BA12" i="99"/>
  <c r="BN12" i="99"/>
  <c r="BS12" i="99"/>
  <c r="DH12" i="99"/>
  <c r="DI12" i="99" s="1"/>
  <c r="DZ12" i="99"/>
  <c r="EA12" i="99" s="1"/>
  <c r="EL12" i="99"/>
  <c r="EL13" i="99" s="1"/>
  <c r="EL14" i="99" s="1"/>
  <c r="EL15" i="99" s="1"/>
  <c r="EL16" i="99" s="1"/>
  <c r="EL17" i="99" s="1"/>
  <c r="EL18" i="99" s="1"/>
  <c r="EL19" i="99" s="1"/>
  <c r="EL20" i="99" s="1"/>
  <c r="EL21" i="99" s="1"/>
  <c r="EL22" i="99" s="1"/>
  <c r="EL23" i="99" s="1"/>
  <c r="EL24" i="99" s="1"/>
  <c r="EL25" i="99" s="1"/>
  <c r="EL26" i="99" s="1"/>
  <c r="EL27" i="99" s="1"/>
  <c r="EL28" i="99" s="1"/>
  <c r="EL29" i="99" s="1"/>
  <c r="EL30" i="99" s="1"/>
  <c r="EL31" i="99" s="1"/>
  <c r="EL32" i="99" s="1"/>
  <c r="EL33" i="99" s="1"/>
  <c r="EL34" i="99" s="1"/>
  <c r="EL35" i="99" s="1"/>
  <c r="EL36" i="99" s="1"/>
  <c r="EL37" i="99" s="1"/>
  <c r="EL38" i="99" s="1"/>
  <c r="EL39" i="99" s="1"/>
  <c r="EL40" i="99" s="1"/>
  <c r="EL41" i="99" s="1"/>
  <c r="EL42" i="99" s="1"/>
  <c r="EL43" i="99" s="1"/>
  <c r="EL44" i="99" s="1"/>
  <c r="EL45" i="99" s="1"/>
  <c r="EL46" i="99" s="1"/>
  <c r="EL47" i="99" s="1"/>
  <c r="EL48" i="99" s="1"/>
  <c r="EL49" i="99" s="1"/>
  <c r="EL50" i="99" s="1"/>
  <c r="EL51" i="99" s="1"/>
  <c r="EL52" i="99" s="1"/>
  <c r="EL53" i="99" s="1"/>
  <c r="EL54" i="99" s="1"/>
  <c r="EL55" i="99" s="1"/>
  <c r="EL56" i="99" s="1"/>
  <c r="EL57" i="99" s="1"/>
  <c r="EL58" i="99" s="1"/>
  <c r="EL59" i="99" s="1"/>
  <c r="EL60" i="99" s="1"/>
  <c r="EL61" i="99" s="1"/>
  <c r="EL62" i="99" s="1"/>
  <c r="EL63" i="99" s="1"/>
  <c r="EL64" i="99" s="1"/>
  <c r="EL65" i="99" s="1"/>
  <c r="EL66" i="99" s="1"/>
  <c r="EL67" i="99" s="1"/>
  <c r="EV12" i="99"/>
  <c r="EW12" i="99" s="1"/>
  <c r="FN12" i="99"/>
  <c r="AA13" i="99"/>
  <c r="AV13" i="99"/>
  <c r="BI13" i="99"/>
  <c r="EI13" i="99"/>
  <c r="EJ13" i="99" s="1"/>
  <c r="Z14" i="99"/>
  <c r="AD14" i="99"/>
  <c r="AH14" i="99"/>
  <c r="AL14" i="99"/>
  <c r="AP14" i="99"/>
  <c r="BA14" i="99"/>
  <c r="BB14" i="99" s="1"/>
  <c r="BN14" i="99"/>
  <c r="BS14" i="99"/>
  <c r="DH14" i="99"/>
  <c r="DI14" i="99" s="1"/>
  <c r="DZ14" i="99"/>
  <c r="EA14" i="99" s="1"/>
  <c r="FN14" i="99"/>
  <c r="AA15" i="99"/>
  <c r="AV15" i="99"/>
  <c r="BI15" i="99"/>
  <c r="BJ15" i="99" s="1"/>
  <c r="BY15" i="99"/>
  <c r="BY16" i="99" s="1"/>
  <c r="BY17" i="99" s="1"/>
  <c r="BY18" i="99" s="1"/>
  <c r="BY19" i="99" s="1"/>
  <c r="BY20" i="99" s="1"/>
  <c r="BY21" i="99" s="1"/>
  <c r="BY22" i="99" s="1"/>
  <c r="BY23" i="99" s="1"/>
  <c r="BY24" i="99" s="1"/>
  <c r="BY25" i="99" s="1"/>
  <c r="BY26" i="99" s="1"/>
  <c r="BY27" i="99" s="1"/>
  <c r="BY28" i="99" s="1"/>
  <c r="BY29" i="99" s="1"/>
  <c r="BY30" i="99" s="1"/>
  <c r="BY31" i="99" s="1"/>
  <c r="BY32" i="99" s="1"/>
  <c r="BY33" i="99" s="1"/>
  <c r="BY34" i="99" s="1"/>
  <c r="BY35" i="99" s="1"/>
  <c r="BY36" i="99" s="1"/>
  <c r="BY37" i="99" s="1"/>
  <c r="BY38" i="99" s="1"/>
  <c r="BY39" i="99" s="1"/>
  <c r="BY40" i="99" s="1"/>
  <c r="BY41" i="99" s="1"/>
  <c r="BY42" i="99" s="1"/>
  <c r="BY43" i="99" s="1"/>
  <c r="BY44" i="99" s="1"/>
  <c r="BY45" i="99" s="1"/>
  <c r="BY46" i="99" s="1"/>
  <c r="BY47" i="99" s="1"/>
  <c r="BY48" i="99" s="1"/>
  <c r="BY49" i="99" s="1"/>
  <c r="BY50" i="99" s="1"/>
  <c r="BY51" i="99" s="1"/>
  <c r="BY52" i="99" s="1"/>
  <c r="BY53" i="99" s="1"/>
  <c r="BY54" i="99" s="1"/>
  <c r="BY55" i="99" s="1"/>
  <c r="BY56" i="99" s="1"/>
  <c r="BY57" i="99" s="1"/>
  <c r="BY58" i="99" s="1"/>
  <c r="BY59" i="99" s="1"/>
  <c r="BY60" i="99" s="1"/>
  <c r="BY61" i="99" s="1"/>
  <c r="BY62" i="99" s="1"/>
  <c r="BY63" i="99" s="1"/>
  <c r="BY64" i="99" s="1"/>
  <c r="BY65" i="99" s="1"/>
  <c r="BY66" i="99" s="1"/>
  <c r="BY67" i="99" s="1"/>
  <c r="EI15" i="99"/>
  <c r="EJ15" i="99" s="1"/>
  <c r="FF17" i="99"/>
  <c r="Z16" i="99"/>
  <c r="AD16" i="99"/>
  <c r="AH16" i="99"/>
  <c r="AL16" i="99"/>
  <c r="AP16" i="99"/>
  <c r="BN16" i="99"/>
  <c r="BS16" i="99"/>
  <c r="DH16" i="99"/>
  <c r="DI16" i="99" s="1"/>
  <c r="DQ16" i="99"/>
  <c r="DR16" i="99" s="1"/>
  <c r="DZ16" i="99"/>
  <c r="EA16" i="99" s="1"/>
  <c r="FF16" i="99"/>
  <c r="FL16" i="99"/>
  <c r="FN16" i="99"/>
  <c r="AA17" i="99"/>
  <c r="AV17" i="99"/>
  <c r="BA17" i="99"/>
  <c r="CP17" i="99" s="1"/>
  <c r="BI17" i="99"/>
  <c r="BJ17" i="99" s="1"/>
  <c r="EI17" i="99"/>
  <c r="EJ17" i="99" s="1"/>
  <c r="AL19" i="99"/>
  <c r="AP19" i="99"/>
  <c r="BA19" i="99"/>
  <c r="BI19" i="99"/>
  <c r="BA20" i="99"/>
  <c r="BB20" i="99" s="1"/>
  <c r="FF21" i="99"/>
  <c r="AD21" i="99"/>
  <c r="Z21" i="99"/>
  <c r="EI20" i="99"/>
  <c r="EJ20" i="99" s="1"/>
  <c r="BI20" i="99"/>
  <c r="BJ20" i="99" s="1"/>
  <c r="AH21" i="99"/>
  <c r="Z20" i="99"/>
  <c r="BN20" i="99"/>
  <c r="BS20" i="99"/>
  <c r="DH20" i="99"/>
  <c r="DI20" i="99" s="1"/>
  <c r="DZ20" i="99"/>
  <c r="EA20" i="99" s="1"/>
  <c r="EV20" i="99"/>
  <c r="EW20" i="99" s="1"/>
  <c r="FA20" i="99"/>
  <c r="FB20" i="99" s="1"/>
  <c r="FF20" i="99"/>
  <c r="FN20" i="99"/>
  <c r="AL21" i="99"/>
  <c r="AP21" i="99"/>
  <c r="BA21" i="99"/>
  <c r="BI21" i="99"/>
  <c r="BJ21" i="99" s="1"/>
  <c r="FL23" i="99"/>
  <c r="FM23" i="99" s="1"/>
  <c r="FG24" i="99"/>
  <c r="AA23" i="99"/>
  <c r="EI23" i="99"/>
  <c r="EJ23" i="99" s="1"/>
  <c r="FG23" i="99"/>
  <c r="FT23" i="99"/>
  <c r="BA24" i="99"/>
  <c r="FF26" i="99"/>
  <c r="FF25" i="99"/>
  <c r="AD25" i="99"/>
  <c r="Z25" i="99"/>
  <c r="FA24" i="99"/>
  <c r="FB24" i="99" s="1"/>
  <c r="EI24" i="99"/>
  <c r="EJ24" i="99" s="1"/>
  <c r="BI24" i="99"/>
  <c r="BJ24" i="99" s="1"/>
  <c r="AH25" i="99"/>
  <c r="FG25" i="99"/>
  <c r="Z24" i="99"/>
  <c r="BN24" i="99"/>
  <c r="BS24" i="99"/>
  <c r="DH24" i="99"/>
  <c r="DI24" i="99" s="1"/>
  <c r="DZ24" i="99"/>
  <c r="EA24" i="99" s="1"/>
  <c r="EV24" i="99"/>
  <c r="EW24" i="99" s="1"/>
  <c r="FH24" i="99"/>
  <c r="FI24" i="99" s="1"/>
  <c r="FL24" i="99"/>
  <c r="FL25" i="99"/>
  <c r="FG26" i="99"/>
  <c r="AA25" i="99"/>
  <c r="EI25" i="99"/>
  <c r="EJ25" i="99" s="1"/>
  <c r="Z26" i="99"/>
  <c r="AD26" i="99"/>
  <c r="AH26" i="99"/>
  <c r="AL26" i="99"/>
  <c r="AP26" i="99"/>
  <c r="BN26" i="99"/>
  <c r="BS26" i="99"/>
  <c r="DH26" i="99"/>
  <c r="DI26" i="99" s="1"/>
  <c r="DZ26" i="99"/>
  <c r="EA26" i="99" s="1"/>
  <c r="EV26" i="99"/>
  <c r="EW26" i="99" s="1"/>
  <c r="FH26" i="99"/>
  <c r="FJ26" i="99"/>
  <c r="FL26" i="99"/>
  <c r="FN26" i="99"/>
  <c r="AA27" i="99"/>
  <c r="AV27" i="99"/>
  <c r="BA27" i="99"/>
  <c r="BI27" i="99"/>
  <c r="DQ27" i="99"/>
  <c r="DR27" i="99" s="1"/>
  <c r="EI27" i="99"/>
  <c r="EJ27" i="99" s="1"/>
  <c r="FA27" i="99"/>
  <c r="FB27" i="99" s="1"/>
  <c r="FG27" i="99"/>
  <c r="FT27" i="99"/>
  <c r="AA28" i="99"/>
  <c r="AV28" i="99"/>
  <c r="BA28" i="99"/>
  <c r="BI28" i="99"/>
  <c r="DQ28" i="99"/>
  <c r="DR28" i="99" s="1"/>
  <c r="EI28" i="99"/>
  <c r="EJ28" i="99" s="1"/>
  <c r="FA28" i="99"/>
  <c r="FB28" i="99" s="1"/>
  <c r="FG28" i="99"/>
  <c r="AA29" i="99"/>
  <c r="AV29" i="99"/>
  <c r="BA29" i="99"/>
  <c r="BI29" i="99"/>
  <c r="DQ29" i="99"/>
  <c r="DR29" i="99" s="1"/>
  <c r="EI29" i="99"/>
  <c r="EJ29" i="99" s="1"/>
  <c r="FA29" i="99"/>
  <c r="FB29" i="99" s="1"/>
  <c r="FG29" i="99"/>
  <c r="Z30" i="99"/>
  <c r="AD30" i="99"/>
  <c r="AH30" i="99"/>
  <c r="AL30" i="99"/>
  <c r="AP30" i="99"/>
  <c r="AT30" i="99"/>
  <c r="BN30" i="99"/>
  <c r="BS30" i="99"/>
  <c r="DH30" i="99"/>
  <c r="DI30" i="99" s="1"/>
  <c r="DZ30" i="99"/>
  <c r="EA30" i="99" s="1"/>
  <c r="FF30" i="99"/>
  <c r="FH30" i="99"/>
  <c r="FJ30" i="99"/>
  <c r="FL30" i="99"/>
  <c r="FN30" i="99"/>
  <c r="AA31" i="99"/>
  <c r="AV31" i="99"/>
  <c r="BA31" i="99"/>
  <c r="BI31" i="99"/>
  <c r="BJ31" i="99" s="1"/>
  <c r="DQ31" i="99"/>
  <c r="DR31" i="99" s="1"/>
  <c r="EI31" i="99"/>
  <c r="EJ31" i="99" s="1"/>
  <c r="FA31" i="99"/>
  <c r="FB31" i="99" s="1"/>
  <c r="AA32" i="99"/>
  <c r="AV32" i="99"/>
  <c r="BA32" i="99"/>
  <c r="BB32" i="99" s="1"/>
  <c r="BI32" i="99"/>
  <c r="DQ32" i="99"/>
  <c r="DR32" i="99" s="1"/>
  <c r="EI32" i="99"/>
  <c r="EJ32" i="99" s="1"/>
  <c r="FA32" i="99"/>
  <c r="FB32" i="99" s="1"/>
  <c r="FG32" i="99"/>
  <c r="AA33" i="99"/>
  <c r="AV33" i="99"/>
  <c r="BA33" i="99"/>
  <c r="CP33" i="99" s="1"/>
  <c r="BI33" i="99"/>
  <c r="DQ33" i="99"/>
  <c r="DR33" i="99" s="1"/>
  <c r="EI33" i="99"/>
  <c r="EJ33" i="99" s="1"/>
  <c r="FA33" i="99"/>
  <c r="FB33" i="99" s="1"/>
  <c r="FG33" i="99"/>
  <c r="Z34" i="99"/>
  <c r="AD34" i="99"/>
  <c r="AH34" i="99"/>
  <c r="AL34" i="99"/>
  <c r="AP34" i="99"/>
  <c r="AT34" i="99"/>
  <c r="BN34" i="99"/>
  <c r="BS34" i="99"/>
  <c r="DH34" i="99"/>
  <c r="DI34" i="99" s="1"/>
  <c r="DZ34" i="99"/>
  <c r="EA34" i="99" s="1"/>
  <c r="EV34" i="99"/>
  <c r="EW34" i="99" s="1"/>
  <c r="FF34" i="99"/>
  <c r="FH34" i="99"/>
  <c r="FJ34" i="99"/>
  <c r="FL34" i="99"/>
  <c r="FN34" i="99"/>
  <c r="Z35" i="99"/>
  <c r="AD35" i="99"/>
  <c r="AH35" i="99"/>
  <c r="AL35" i="99"/>
  <c r="AP35" i="99"/>
  <c r="AT35" i="99"/>
  <c r="BN35" i="99"/>
  <c r="BS35" i="99"/>
  <c r="DH35" i="99"/>
  <c r="DI35" i="99" s="1"/>
  <c r="DZ35" i="99"/>
  <c r="EA35" i="99" s="1"/>
  <c r="EV35" i="99"/>
  <c r="EW35" i="99" s="1"/>
  <c r="FF35" i="99"/>
  <c r="FH35" i="99"/>
  <c r="FJ35" i="99"/>
  <c r="FK35" i="99" s="1"/>
  <c r="FL35" i="99"/>
  <c r="FN35" i="99"/>
  <c r="AA36" i="99"/>
  <c r="AV36" i="99"/>
  <c r="BA36" i="99"/>
  <c r="BI36" i="99"/>
  <c r="DQ36" i="99"/>
  <c r="DR36" i="99" s="1"/>
  <c r="EI36" i="99"/>
  <c r="EJ36" i="99" s="1"/>
  <c r="FA36" i="99"/>
  <c r="FB36" i="99" s="1"/>
  <c r="FG36" i="99"/>
  <c r="FF38" i="99"/>
  <c r="AD38" i="99"/>
  <c r="Z38" i="99"/>
  <c r="FA37" i="99"/>
  <c r="FB37" i="99" s="1"/>
  <c r="EI37" i="99"/>
  <c r="EJ37" i="99" s="1"/>
  <c r="DQ37" i="99"/>
  <c r="DR37" i="99" s="1"/>
  <c r="FG38" i="99"/>
  <c r="AH38" i="99"/>
  <c r="Z37" i="99"/>
  <c r="AD37" i="99"/>
  <c r="AL37" i="99"/>
  <c r="AP37" i="99"/>
  <c r="AT37" i="99"/>
  <c r="BN37" i="99"/>
  <c r="DZ37" i="99"/>
  <c r="EA37" i="99" s="1"/>
  <c r="FF37" i="99"/>
  <c r="FJ37" i="99"/>
  <c r="FN37" i="99"/>
  <c r="FF39" i="99"/>
  <c r="AA38" i="99"/>
  <c r="AV38" i="99"/>
  <c r="FL41" i="99"/>
  <c r="BJ42" i="99"/>
  <c r="AV18" i="99"/>
  <c r="BN19" i="99"/>
  <c r="BS19" i="99"/>
  <c r="DH19" i="99"/>
  <c r="DI19" i="99" s="1"/>
  <c r="DQ19" i="99"/>
  <c r="DR19" i="99" s="1"/>
  <c r="DZ19" i="99"/>
  <c r="EA19" i="99" s="1"/>
  <c r="FN19" i="99"/>
  <c r="AA20" i="99"/>
  <c r="AV20" i="99"/>
  <c r="BN21" i="99"/>
  <c r="BS21" i="99"/>
  <c r="DH21" i="99"/>
  <c r="DI21" i="99" s="1"/>
  <c r="DQ21" i="99"/>
  <c r="DR21" i="99" s="1"/>
  <c r="DZ21" i="99"/>
  <c r="EA21" i="99" s="1"/>
  <c r="FN21" i="99"/>
  <c r="AA22" i="99"/>
  <c r="AV22" i="99"/>
  <c r="BN23" i="99"/>
  <c r="BS23" i="99"/>
  <c r="DH23" i="99"/>
  <c r="DI23" i="99" s="1"/>
  <c r="DQ23" i="99"/>
  <c r="DR23" i="99" s="1"/>
  <c r="DZ23" i="99"/>
  <c r="EA23" i="99" s="1"/>
  <c r="FN23" i="99"/>
  <c r="AA24" i="99"/>
  <c r="AV24" i="99"/>
  <c r="BN25" i="99"/>
  <c r="BS25" i="99"/>
  <c r="DH25" i="99"/>
  <c r="DI25" i="99" s="1"/>
  <c r="DZ25" i="99"/>
  <c r="EA25" i="99" s="1"/>
  <c r="FH25" i="99"/>
  <c r="FJ25" i="99"/>
  <c r="FN25" i="99"/>
  <c r="AA26" i="99"/>
  <c r="AV26" i="99"/>
  <c r="BA26" i="99"/>
  <c r="CP26" i="99" s="1"/>
  <c r="BI26" i="99"/>
  <c r="BJ26" i="99" s="1"/>
  <c r="DK26" i="99"/>
  <c r="DK27" i="99" s="1"/>
  <c r="DK28" i="99" s="1"/>
  <c r="DK29" i="99" s="1"/>
  <c r="DK30" i="99" s="1"/>
  <c r="DK31" i="99" s="1"/>
  <c r="DK32" i="99" s="1"/>
  <c r="DK33" i="99" s="1"/>
  <c r="DK34" i="99" s="1"/>
  <c r="DK35" i="99" s="1"/>
  <c r="DK36" i="99" s="1"/>
  <c r="DK37" i="99" s="1"/>
  <c r="DK38" i="99" s="1"/>
  <c r="DK39" i="99" s="1"/>
  <c r="DK40" i="99" s="1"/>
  <c r="DK41" i="99" s="1"/>
  <c r="DK42" i="99" s="1"/>
  <c r="DK43" i="99" s="1"/>
  <c r="DK44" i="99" s="1"/>
  <c r="DK45" i="99" s="1"/>
  <c r="DK46" i="99" s="1"/>
  <c r="DK47" i="99" s="1"/>
  <c r="DK48" i="99" s="1"/>
  <c r="DK49" i="99" s="1"/>
  <c r="DK50" i="99" s="1"/>
  <c r="DK51" i="99" s="1"/>
  <c r="DK52" i="99" s="1"/>
  <c r="DK53" i="99" s="1"/>
  <c r="DK54" i="99" s="1"/>
  <c r="DK55" i="99" s="1"/>
  <c r="DK56" i="99" s="1"/>
  <c r="DK57" i="99" s="1"/>
  <c r="DK58" i="99" s="1"/>
  <c r="DK59" i="99" s="1"/>
  <c r="DK60" i="99" s="1"/>
  <c r="DK61" i="99" s="1"/>
  <c r="DK62" i="99" s="1"/>
  <c r="DK63" i="99" s="1"/>
  <c r="DK64" i="99" s="1"/>
  <c r="DK65" i="99" s="1"/>
  <c r="DK66" i="99" s="1"/>
  <c r="DK67" i="99" s="1"/>
  <c r="DQ26" i="99"/>
  <c r="DR26" i="99" s="1"/>
  <c r="EI26" i="99"/>
  <c r="EJ26" i="99" s="1"/>
  <c r="FA26" i="99"/>
  <c r="FB26" i="99" s="1"/>
  <c r="Z27" i="99"/>
  <c r="AD27" i="99"/>
  <c r="AL27" i="99"/>
  <c r="AP27" i="99"/>
  <c r="BN27" i="99"/>
  <c r="BS27" i="99"/>
  <c r="DH27" i="99"/>
  <c r="DI27" i="99" s="1"/>
  <c r="DZ27" i="99"/>
  <c r="EA27" i="99" s="1"/>
  <c r="FH27" i="99"/>
  <c r="FJ27" i="99"/>
  <c r="FL27" i="99"/>
  <c r="FN27" i="99"/>
  <c r="Z28" i="99"/>
  <c r="AD28" i="99"/>
  <c r="AL28" i="99"/>
  <c r="BN28" i="99"/>
  <c r="BS28" i="99"/>
  <c r="DH28" i="99"/>
  <c r="DI28" i="99" s="1"/>
  <c r="DZ28" i="99"/>
  <c r="EA28" i="99" s="1"/>
  <c r="FH28" i="99"/>
  <c r="FJ28" i="99"/>
  <c r="FL28" i="99"/>
  <c r="FN28" i="99"/>
  <c r="Z29" i="99"/>
  <c r="AD29" i="99"/>
  <c r="AL29" i="99"/>
  <c r="BN29" i="99"/>
  <c r="BS29" i="99"/>
  <c r="DH29" i="99"/>
  <c r="DI29" i="99" s="1"/>
  <c r="DZ29" i="99"/>
  <c r="EA29" i="99" s="1"/>
  <c r="FH29" i="99"/>
  <c r="FJ29" i="99"/>
  <c r="FN29" i="99"/>
  <c r="AA30" i="99"/>
  <c r="AV30" i="99"/>
  <c r="BI30" i="99"/>
  <c r="BJ30" i="99" s="1"/>
  <c r="DQ30" i="99"/>
  <c r="DR30" i="99" s="1"/>
  <c r="EI30" i="99"/>
  <c r="EJ30" i="99" s="1"/>
  <c r="Z31" i="99"/>
  <c r="AD31" i="99"/>
  <c r="AH31" i="99"/>
  <c r="AL31" i="99"/>
  <c r="BN31" i="99"/>
  <c r="BS31" i="99"/>
  <c r="DH31" i="99"/>
  <c r="DI31" i="99" s="1"/>
  <c r="DZ31" i="99"/>
  <c r="EA31" i="99" s="1"/>
  <c r="FH31" i="99"/>
  <c r="FJ31" i="99"/>
  <c r="FL31" i="99"/>
  <c r="FN31" i="99"/>
  <c r="Z32" i="99"/>
  <c r="AD32" i="99"/>
  <c r="AL32" i="99"/>
  <c r="BN32" i="99"/>
  <c r="BS32" i="99"/>
  <c r="DH32" i="99"/>
  <c r="DI32" i="99" s="1"/>
  <c r="DZ32" i="99"/>
  <c r="EA32" i="99" s="1"/>
  <c r="FH32" i="99"/>
  <c r="FJ32" i="99"/>
  <c r="FL32" i="99"/>
  <c r="FN32" i="99"/>
  <c r="Z33" i="99"/>
  <c r="AD33" i="99"/>
  <c r="AL33" i="99"/>
  <c r="BN33" i="99"/>
  <c r="BS33" i="99"/>
  <c r="DH33" i="99"/>
  <c r="DI33" i="99" s="1"/>
  <c r="DZ33" i="99"/>
  <c r="EA33" i="99" s="1"/>
  <c r="FH33" i="99"/>
  <c r="FJ33" i="99"/>
  <c r="FN33" i="99"/>
  <c r="AA34" i="99"/>
  <c r="AV34" i="99"/>
  <c r="BI34" i="99"/>
  <c r="DQ34" i="99"/>
  <c r="DR34" i="99" s="1"/>
  <c r="FA34" i="99"/>
  <c r="FB34" i="99" s="1"/>
  <c r="AA35" i="99"/>
  <c r="AV35" i="99"/>
  <c r="BI35" i="99"/>
  <c r="BJ35" i="99" s="1"/>
  <c r="EI35" i="99"/>
  <c r="EJ35" i="99" s="1"/>
  <c r="FA35" i="99"/>
  <c r="FB35" i="99" s="1"/>
  <c r="FG37" i="99"/>
  <c r="Z36" i="99"/>
  <c r="AD36" i="99"/>
  <c r="AL36" i="99"/>
  <c r="BN36" i="99"/>
  <c r="BS36" i="99"/>
  <c r="DH36" i="99"/>
  <c r="DI36" i="99" s="1"/>
  <c r="DZ36" i="99"/>
  <c r="EA36" i="99" s="1"/>
  <c r="FH36" i="99"/>
  <c r="FJ36" i="99"/>
  <c r="FN36" i="99"/>
  <c r="AA37" i="99"/>
  <c r="AV37" i="99"/>
  <c r="BS37" i="99"/>
  <c r="DH37" i="99"/>
  <c r="DI37" i="99" s="1"/>
  <c r="EV37" i="99"/>
  <c r="EW37" i="99" s="1"/>
  <c r="FH37" i="99"/>
  <c r="FL37" i="99"/>
  <c r="FM37" i="99" s="1"/>
  <c r="FT38" i="99"/>
  <c r="AT38" i="99"/>
  <c r="AL38" i="99"/>
  <c r="FA38" i="99"/>
  <c r="FB38" i="99" s="1"/>
  <c r="EI38" i="99"/>
  <c r="EJ38" i="99" s="1"/>
  <c r="DQ38" i="99"/>
  <c r="DR38" i="99" s="1"/>
  <c r="AP38" i="99"/>
  <c r="BS38" i="99"/>
  <c r="FL39" i="99"/>
  <c r="FG40" i="99"/>
  <c r="FL43" i="99"/>
  <c r="BJ44" i="99"/>
  <c r="FL45" i="99"/>
  <c r="BN38" i="99"/>
  <c r="DH38" i="99"/>
  <c r="DI38" i="99" s="1"/>
  <c r="DZ38" i="99"/>
  <c r="EA38" i="99" s="1"/>
  <c r="EV38" i="99"/>
  <c r="EW38" i="99" s="1"/>
  <c r="FH38" i="99"/>
  <c r="FJ38" i="99"/>
  <c r="FL38" i="99"/>
  <c r="FN38" i="99"/>
  <c r="AA39" i="99"/>
  <c r="AV39" i="99"/>
  <c r="BA39" i="99"/>
  <c r="BI39" i="99"/>
  <c r="BJ39" i="99" s="1"/>
  <c r="BS39" i="99"/>
  <c r="DQ39" i="99"/>
  <c r="DR39" i="99" s="1"/>
  <c r="EI39" i="99"/>
  <c r="EJ39" i="99" s="1"/>
  <c r="FA39" i="99"/>
  <c r="FB39" i="99" s="1"/>
  <c r="FG39" i="99"/>
  <c r="Z40" i="99"/>
  <c r="AD40" i="99"/>
  <c r="AH40" i="99"/>
  <c r="AL40" i="99"/>
  <c r="AP40" i="99"/>
  <c r="AT40" i="99"/>
  <c r="BN40" i="99"/>
  <c r="DH40" i="99"/>
  <c r="DI40" i="99" s="1"/>
  <c r="DZ40" i="99"/>
  <c r="EA40" i="99" s="1"/>
  <c r="EV40" i="99"/>
  <c r="EW40" i="99" s="1"/>
  <c r="FF40" i="99"/>
  <c r="FH40" i="99"/>
  <c r="FJ40" i="99"/>
  <c r="FL40" i="99"/>
  <c r="FN40" i="99"/>
  <c r="AA41" i="99"/>
  <c r="AV41" i="99"/>
  <c r="BA41" i="99"/>
  <c r="BB41" i="99" s="1"/>
  <c r="BI41" i="99"/>
  <c r="BJ41" i="99" s="1"/>
  <c r="BS41" i="99"/>
  <c r="DQ41" i="99"/>
  <c r="DR41" i="99" s="1"/>
  <c r="EI41" i="99"/>
  <c r="EJ41" i="99" s="1"/>
  <c r="FA41" i="99"/>
  <c r="FB41" i="99" s="1"/>
  <c r="FG41" i="99"/>
  <c r="Z42" i="99"/>
  <c r="AD42" i="99"/>
  <c r="AH42" i="99"/>
  <c r="AL42" i="99"/>
  <c r="AP42" i="99"/>
  <c r="AT42" i="99"/>
  <c r="BN42" i="99"/>
  <c r="DH42" i="99"/>
  <c r="DI42" i="99" s="1"/>
  <c r="DZ42" i="99"/>
  <c r="EA42" i="99" s="1"/>
  <c r="EV42" i="99"/>
  <c r="EW42" i="99" s="1"/>
  <c r="FF42" i="99"/>
  <c r="FH42" i="99"/>
  <c r="FJ42" i="99"/>
  <c r="FL42" i="99"/>
  <c r="FN42" i="99"/>
  <c r="AA43" i="99"/>
  <c r="AV43" i="99"/>
  <c r="BA43" i="99"/>
  <c r="BB43" i="99" s="1"/>
  <c r="BI43" i="99"/>
  <c r="BJ43" i="99" s="1"/>
  <c r="BS43" i="99"/>
  <c r="DQ43" i="99"/>
  <c r="DR43" i="99" s="1"/>
  <c r="EI43" i="99"/>
  <c r="EJ43" i="99" s="1"/>
  <c r="FA43" i="99"/>
  <c r="FB43" i="99" s="1"/>
  <c r="FG43" i="99"/>
  <c r="Z44" i="99"/>
  <c r="AD44" i="99"/>
  <c r="AH44" i="99"/>
  <c r="AL44" i="99"/>
  <c r="AP44" i="99"/>
  <c r="AT44" i="99"/>
  <c r="BN44" i="99"/>
  <c r="DH44" i="99"/>
  <c r="DI44" i="99" s="1"/>
  <c r="DZ44" i="99"/>
  <c r="EA44" i="99" s="1"/>
  <c r="EV44" i="99"/>
  <c r="EW44" i="99" s="1"/>
  <c r="FF44" i="99"/>
  <c r="FH44" i="99"/>
  <c r="FJ44" i="99"/>
  <c r="FL44" i="99"/>
  <c r="FN44" i="99"/>
  <c r="AA45" i="99"/>
  <c r="AV45" i="99"/>
  <c r="BA45" i="99"/>
  <c r="BB45" i="99" s="1"/>
  <c r="BI45" i="99"/>
  <c r="BJ45" i="99" s="1"/>
  <c r="BS45" i="99"/>
  <c r="DQ45" i="99"/>
  <c r="DR45" i="99" s="1"/>
  <c r="EI45" i="99"/>
  <c r="EJ45" i="99" s="1"/>
  <c r="FA45" i="99"/>
  <c r="FB45" i="99" s="1"/>
  <c r="FG45" i="99"/>
  <c r="FF47" i="99"/>
  <c r="AD47" i="99"/>
  <c r="Z47" i="99"/>
  <c r="FG47" i="99"/>
  <c r="AA47" i="99"/>
  <c r="AH47" i="99"/>
  <c r="Z46" i="99"/>
  <c r="AD46" i="99"/>
  <c r="AH46" i="99"/>
  <c r="AL46" i="99"/>
  <c r="AT46" i="99"/>
  <c r="BN46" i="99"/>
  <c r="DH46" i="99"/>
  <c r="DI46" i="99" s="1"/>
  <c r="DZ46" i="99"/>
  <c r="EA46" i="99" s="1"/>
  <c r="EV46" i="99"/>
  <c r="EW46" i="99" s="1"/>
  <c r="FF46" i="99"/>
  <c r="FH46" i="99"/>
  <c r="FJ46" i="99"/>
  <c r="FL46" i="99"/>
  <c r="FN46" i="99"/>
  <c r="FF48" i="99"/>
  <c r="Z39" i="99"/>
  <c r="AD39" i="99"/>
  <c r="AL39" i="99"/>
  <c r="BN39" i="99"/>
  <c r="DH39" i="99"/>
  <c r="DI39" i="99" s="1"/>
  <c r="DZ39" i="99"/>
  <c r="EA39" i="99" s="1"/>
  <c r="FH39" i="99"/>
  <c r="FJ39" i="99"/>
  <c r="FK39" i="99" s="1"/>
  <c r="FN39" i="99"/>
  <c r="AA40" i="99"/>
  <c r="AV40" i="99"/>
  <c r="BI40" i="99"/>
  <c r="BJ40" i="99" s="1"/>
  <c r="BS40" i="99"/>
  <c r="DQ40" i="99"/>
  <c r="DR40" i="99" s="1"/>
  <c r="FA40" i="99"/>
  <c r="FB40" i="99" s="1"/>
  <c r="Z41" i="99"/>
  <c r="AD41" i="99"/>
  <c r="AL41" i="99"/>
  <c r="BN41" i="99"/>
  <c r="DH41" i="99"/>
  <c r="DI41" i="99" s="1"/>
  <c r="DZ41" i="99"/>
  <c r="EA41" i="99" s="1"/>
  <c r="FH41" i="99"/>
  <c r="FJ41" i="99"/>
  <c r="FN41" i="99"/>
  <c r="AA42" i="99"/>
  <c r="AV42" i="99"/>
  <c r="BS42" i="99"/>
  <c r="DQ42" i="99"/>
  <c r="DR42" i="99" s="1"/>
  <c r="EI42" i="99"/>
  <c r="EJ42" i="99" s="1"/>
  <c r="FA42" i="99"/>
  <c r="FB42" i="99" s="1"/>
  <c r="Z43" i="99"/>
  <c r="AD43" i="99"/>
  <c r="AL43" i="99"/>
  <c r="BN43" i="99"/>
  <c r="DH43" i="99"/>
  <c r="DI43" i="99" s="1"/>
  <c r="DZ43" i="99"/>
  <c r="EA43" i="99" s="1"/>
  <c r="FH43" i="99"/>
  <c r="FJ43" i="99"/>
  <c r="FN43" i="99"/>
  <c r="AA44" i="99"/>
  <c r="AV44" i="99"/>
  <c r="BS44" i="99"/>
  <c r="DQ44" i="99"/>
  <c r="DR44" i="99" s="1"/>
  <c r="EI44" i="99"/>
  <c r="EJ44" i="99" s="1"/>
  <c r="FA44" i="99"/>
  <c r="FB44" i="99" s="1"/>
  <c r="Z45" i="99"/>
  <c r="AD45" i="99"/>
  <c r="AL45" i="99"/>
  <c r="BN45" i="99"/>
  <c r="DH45" i="99"/>
  <c r="DI45" i="99" s="1"/>
  <c r="DZ45" i="99"/>
  <c r="EA45" i="99" s="1"/>
  <c r="FH45" i="99"/>
  <c r="FJ45" i="99"/>
  <c r="FN45" i="99"/>
  <c r="AA46" i="99"/>
  <c r="AV46" i="99"/>
  <c r="BI46" i="99"/>
  <c r="BS46" i="99"/>
  <c r="DQ46" i="99"/>
  <c r="DR46" i="99" s="1"/>
  <c r="EI46" i="99"/>
  <c r="EJ46" i="99" s="1"/>
  <c r="FA46" i="99"/>
  <c r="FB46" i="99" s="1"/>
  <c r="FL48" i="99"/>
  <c r="FL50" i="99"/>
  <c r="AL47" i="99"/>
  <c r="AP47" i="99"/>
  <c r="AT47" i="99"/>
  <c r="BN47" i="99"/>
  <c r="DH47" i="99"/>
  <c r="DI47" i="99" s="1"/>
  <c r="DZ47" i="99"/>
  <c r="EA47" i="99" s="1"/>
  <c r="EV47" i="99"/>
  <c r="EW47" i="99" s="1"/>
  <c r="FH47" i="99"/>
  <c r="FJ47" i="99"/>
  <c r="FL47" i="99"/>
  <c r="FN47" i="99"/>
  <c r="AA48" i="99"/>
  <c r="AV48" i="99"/>
  <c r="BA48" i="99"/>
  <c r="BI48" i="99"/>
  <c r="BJ48" i="99" s="1"/>
  <c r="BS48" i="99"/>
  <c r="DQ48" i="99"/>
  <c r="DR48" i="99" s="1"/>
  <c r="EI48" i="99"/>
  <c r="EJ48" i="99" s="1"/>
  <c r="FA48" i="99"/>
  <c r="FB48" i="99" s="1"/>
  <c r="FG48" i="99"/>
  <c r="FT48" i="99"/>
  <c r="Z49" i="99"/>
  <c r="AD49" i="99"/>
  <c r="AH49" i="99"/>
  <c r="AL49" i="99"/>
  <c r="AP49" i="99"/>
  <c r="AT49" i="99"/>
  <c r="BN49" i="99"/>
  <c r="DH49" i="99"/>
  <c r="DI49" i="99" s="1"/>
  <c r="DZ49" i="99"/>
  <c r="EA49" i="99" s="1"/>
  <c r="EV49" i="99"/>
  <c r="EW49" i="99" s="1"/>
  <c r="FF49" i="99"/>
  <c r="FH49" i="99"/>
  <c r="FJ49" i="99"/>
  <c r="FL49" i="99"/>
  <c r="FN49" i="99"/>
  <c r="AA50" i="99"/>
  <c r="AV50" i="99"/>
  <c r="BA50" i="99"/>
  <c r="BI50" i="99"/>
  <c r="BS50" i="99"/>
  <c r="DQ50" i="99"/>
  <c r="DR50" i="99" s="1"/>
  <c r="EI50" i="99"/>
  <c r="EJ50" i="99" s="1"/>
  <c r="FA50" i="99"/>
  <c r="FB50" i="99" s="1"/>
  <c r="FG50" i="99"/>
  <c r="FT50" i="99"/>
  <c r="Z51" i="99"/>
  <c r="AD51" i="99"/>
  <c r="AH51" i="99"/>
  <c r="AL51" i="99"/>
  <c r="AP51" i="99"/>
  <c r="AT51" i="99"/>
  <c r="BN51" i="99"/>
  <c r="DH51" i="99"/>
  <c r="DI51" i="99" s="1"/>
  <c r="DZ51" i="99"/>
  <c r="EA51" i="99" s="1"/>
  <c r="EV51" i="99"/>
  <c r="EW51" i="99" s="1"/>
  <c r="FF51" i="99"/>
  <c r="FH51" i="99"/>
  <c r="FJ51" i="99"/>
  <c r="FL51" i="99"/>
  <c r="FN51" i="99"/>
  <c r="Z52" i="99"/>
  <c r="AD52" i="99"/>
  <c r="AH52" i="99"/>
  <c r="AL52" i="99"/>
  <c r="AP52" i="99"/>
  <c r="AT52" i="99"/>
  <c r="BN52" i="99"/>
  <c r="DH52" i="99"/>
  <c r="DI52" i="99" s="1"/>
  <c r="DZ52" i="99"/>
  <c r="EA52" i="99" s="1"/>
  <c r="EV52" i="99"/>
  <c r="EW52" i="99" s="1"/>
  <c r="FF52" i="99"/>
  <c r="FH52" i="99"/>
  <c r="FJ52" i="99"/>
  <c r="FL52" i="99"/>
  <c r="FN52" i="99"/>
  <c r="Z53" i="99"/>
  <c r="AD53" i="99"/>
  <c r="AH53" i="99"/>
  <c r="AL53" i="99"/>
  <c r="AP53" i="99"/>
  <c r="AT53" i="99"/>
  <c r="BN53" i="99"/>
  <c r="DH53" i="99"/>
  <c r="DI53" i="99" s="1"/>
  <c r="DZ53" i="99"/>
  <c r="EA53" i="99" s="1"/>
  <c r="EV53" i="99"/>
  <c r="EW53" i="99" s="1"/>
  <c r="FF53" i="99"/>
  <c r="FH53" i="99"/>
  <c r="FJ53" i="99"/>
  <c r="FL53" i="99"/>
  <c r="FN53" i="99"/>
  <c r="AA54" i="99"/>
  <c r="AV54" i="99"/>
  <c r="BA54" i="99"/>
  <c r="BI54" i="99"/>
  <c r="BJ54" i="99" s="1"/>
  <c r="BS54" i="99"/>
  <c r="DQ54" i="99"/>
  <c r="DR54" i="99" s="1"/>
  <c r="EI54" i="99"/>
  <c r="EJ54" i="99" s="1"/>
  <c r="FA54" i="99"/>
  <c r="FB54" i="99" s="1"/>
  <c r="FG54" i="99"/>
  <c r="FT54" i="99"/>
  <c r="EV55" i="99"/>
  <c r="EW55" i="99" s="1"/>
  <c r="DZ55" i="99"/>
  <c r="EA55" i="99" s="1"/>
  <c r="FL55" i="99"/>
  <c r="FH55" i="99"/>
  <c r="FF56" i="99"/>
  <c r="AD56" i="99"/>
  <c r="Z56" i="99"/>
  <c r="FA55" i="99"/>
  <c r="FB55" i="99" s="1"/>
  <c r="EI55" i="99"/>
  <c r="EJ55" i="99" s="1"/>
  <c r="DQ55" i="99"/>
  <c r="DR55" i="99" s="1"/>
  <c r="FG56" i="99"/>
  <c r="AA56" i="99"/>
  <c r="FN55" i="99"/>
  <c r="FJ55" i="99"/>
  <c r="AH56" i="99"/>
  <c r="Z55" i="99"/>
  <c r="AT55" i="99"/>
  <c r="BN55" i="99"/>
  <c r="AV47" i="99"/>
  <c r="BA47" i="99"/>
  <c r="CP47" i="99" s="1"/>
  <c r="BI47" i="99"/>
  <c r="BS47" i="99"/>
  <c r="DQ47" i="99"/>
  <c r="DR47" i="99" s="1"/>
  <c r="EI47" i="99"/>
  <c r="EJ47" i="99" s="1"/>
  <c r="FA47" i="99"/>
  <c r="FB47" i="99" s="1"/>
  <c r="Z48" i="99"/>
  <c r="AD48" i="99"/>
  <c r="AL48" i="99"/>
  <c r="AP48" i="99"/>
  <c r="BN48" i="99"/>
  <c r="DH48" i="99"/>
  <c r="DI48" i="99" s="1"/>
  <c r="DZ48" i="99"/>
  <c r="EA48" i="99" s="1"/>
  <c r="FH48" i="99"/>
  <c r="FJ48" i="99"/>
  <c r="FN48" i="99"/>
  <c r="AA49" i="99"/>
  <c r="AV49" i="99"/>
  <c r="BA49" i="99"/>
  <c r="BI49" i="99"/>
  <c r="BS49" i="99"/>
  <c r="DQ49" i="99"/>
  <c r="DR49" i="99" s="1"/>
  <c r="EI49" i="99"/>
  <c r="EJ49" i="99" s="1"/>
  <c r="FA49" i="99"/>
  <c r="FB49" i="99" s="1"/>
  <c r="Z50" i="99"/>
  <c r="AD50" i="99"/>
  <c r="AL50" i="99"/>
  <c r="AP50" i="99"/>
  <c r="BN50" i="99"/>
  <c r="DH50" i="99"/>
  <c r="DI50" i="99" s="1"/>
  <c r="DZ50" i="99"/>
  <c r="EA50" i="99" s="1"/>
  <c r="FH50" i="99"/>
  <c r="FJ50" i="99"/>
  <c r="FN50" i="99"/>
  <c r="AA51" i="99"/>
  <c r="AV51" i="99"/>
  <c r="BA51" i="99"/>
  <c r="BB51" i="99" s="1"/>
  <c r="BI51" i="99"/>
  <c r="BS51" i="99"/>
  <c r="DQ51" i="99"/>
  <c r="DR51" i="99" s="1"/>
  <c r="EI51" i="99"/>
  <c r="EJ51" i="99" s="1"/>
  <c r="FA51" i="99"/>
  <c r="FB51" i="99" s="1"/>
  <c r="AA52" i="99"/>
  <c r="AV52" i="99"/>
  <c r="BA52" i="99"/>
  <c r="BI52" i="99"/>
  <c r="BS52" i="99"/>
  <c r="DQ52" i="99"/>
  <c r="DR52" i="99" s="1"/>
  <c r="EI52" i="99"/>
  <c r="EJ52" i="99" s="1"/>
  <c r="FA52" i="99"/>
  <c r="FB52" i="99" s="1"/>
  <c r="AA53" i="99"/>
  <c r="AV53" i="99"/>
  <c r="BA53" i="99"/>
  <c r="CP53" i="99" s="1"/>
  <c r="BI53" i="99"/>
  <c r="BS53" i="99"/>
  <c r="DQ53" i="99"/>
  <c r="DR53" i="99" s="1"/>
  <c r="EI53" i="99"/>
  <c r="EJ53" i="99" s="1"/>
  <c r="FA53" i="99"/>
  <c r="FB53" i="99" s="1"/>
  <c r="FF55" i="99"/>
  <c r="FG55" i="99"/>
  <c r="Z54" i="99"/>
  <c r="AD54" i="99"/>
  <c r="AL54" i="99"/>
  <c r="AP54" i="99"/>
  <c r="BN54" i="99"/>
  <c r="DH54" i="99"/>
  <c r="DI54" i="99" s="1"/>
  <c r="DZ54" i="99"/>
  <c r="EA54" i="99" s="1"/>
  <c r="FH54" i="99"/>
  <c r="FJ54" i="99"/>
  <c r="FL54" i="99"/>
  <c r="FN54" i="99"/>
  <c r="AA55" i="99"/>
  <c r="AV55" i="99"/>
  <c r="BA55" i="99"/>
  <c r="CP56" i="99" s="1"/>
  <c r="BI55" i="99"/>
  <c r="BS55" i="99"/>
  <c r="DH55" i="99"/>
  <c r="DI55" i="99" s="1"/>
  <c r="FF57" i="99"/>
  <c r="FL57" i="99"/>
  <c r="AL56" i="99"/>
  <c r="AP56" i="99"/>
  <c r="AT56" i="99"/>
  <c r="BN56" i="99"/>
  <c r="DH56" i="99"/>
  <c r="DI56" i="99" s="1"/>
  <c r="DZ56" i="99"/>
  <c r="EA56" i="99" s="1"/>
  <c r="EV56" i="99"/>
  <c r="EW56" i="99" s="1"/>
  <c r="FH56" i="99"/>
  <c r="FJ56" i="99"/>
  <c r="FL56" i="99"/>
  <c r="FN56" i="99"/>
  <c r="AA57" i="99"/>
  <c r="AV57" i="99"/>
  <c r="BA57" i="99"/>
  <c r="BB57" i="99" s="1"/>
  <c r="BI57" i="99"/>
  <c r="CY57" i="99" s="1"/>
  <c r="BS57" i="99"/>
  <c r="DQ57" i="99"/>
  <c r="DR57" i="99" s="1"/>
  <c r="EI57" i="99"/>
  <c r="EJ57" i="99" s="1"/>
  <c r="FA57" i="99"/>
  <c r="FB57" i="99" s="1"/>
  <c r="FG57" i="99"/>
  <c r="Z58" i="99"/>
  <c r="AD58" i="99"/>
  <c r="AH58" i="99"/>
  <c r="AL58" i="99"/>
  <c r="AP58" i="99"/>
  <c r="AT58" i="99"/>
  <c r="AV58" i="99"/>
  <c r="BN58" i="99"/>
  <c r="DH58" i="99"/>
  <c r="DI58" i="99" s="1"/>
  <c r="DZ58" i="99"/>
  <c r="EA58" i="99" s="1"/>
  <c r="EV58" i="99"/>
  <c r="EW58" i="99" s="1"/>
  <c r="FF58" i="99"/>
  <c r="FH58" i="99"/>
  <c r="FJ58" i="99"/>
  <c r="FL58" i="99"/>
  <c r="FN58" i="99"/>
  <c r="FT59" i="99"/>
  <c r="FX59" i="99"/>
  <c r="AA59" i="99"/>
  <c r="BA59" i="99"/>
  <c r="BI59" i="99"/>
  <c r="BS59" i="99"/>
  <c r="DQ59" i="99"/>
  <c r="DR59" i="99" s="1"/>
  <c r="EI59" i="99"/>
  <c r="EJ59" i="99" s="1"/>
  <c r="FG59" i="99"/>
  <c r="AV56" i="99"/>
  <c r="BS56" i="99"/>
  <c r="DQ56" i="99"/>
  <c r="DR56" i="99" s="1"/>
  <c r="EI56" i="99"/>
  <c r="EJ56" i="99" s="1"/>
  <c r="FA56" i="99"/>
  <c r="FB56" i="99" s="1"/>
  <c r="Z57" i="99"/>
  <c r="AD57" i="99"/>
  <c r="AL57" i="99"/>
  <c r="BN57" i="99"/>
  <c r="DH57" i="99"/>
  <c r="DI57" i="99" s="1"/>
  <c r="DZ57" i="99"/>
  <c r="EA57" i="99" s="1"/>
  <c r="FH57" i="99"/>
  <c r="FJ57" i="99"/>
  <c r="FN57" i="99"/>
  <c r="AA58" i="99"/>
  <c r="BS58" i="99"/>
  <c r="DQ58" i="99"/>
  <c r="DR58" i="99" s="1"/>
  <c r="EI58" i="99"/>
  <c r="EJ58" i="99" s="1"/>
  <c r="FA58" i="99"/>
  <c r="FB58" i="99" s="1"/>
  <c r="FF60" i="99"/>
  <c r="AD60" i="99"/>
  <c r="Z60" i="99"/>
  <c r="AH60" i="99"/>
  <c r="FG60" i="99"/>
  <c r="AA60" i="99"/>
  <c r="Z59" i="99"/>
  <c r="AD59" i="99"/>
  <c r="AL59" i="99"/>
  <c r="AP59" i="99"/>
  <c r="AT59" i="99"/>
  <c r="BN59" i="99"/>
  <c r="DH59" i="99"/>
  <c r="DI59" i="99" s="1"/>
  <c r="DZ59" i="99"/>
  <c r="EA59" i="99" s="1"/>
  <c r="FH59" i="99"/>
  <c r="FJ59" i="99"/>
  <c r="FL59" i="99"/>
  <c r="FN59" i="99"/>
  <c r="FL60" i="99"/>
  <c r="FG61" i="99"/>
  <c r="FL62" i="99"/>
  <c r="BB64" i="99"/>
  <c r="BA60" i="99"/>
  <c r="BI60" i="99"/>
  <c r="BS60" i="99"/>
  <c r="DQ60" i="99"/>
  <c r="DR60" i="99" s="1"/>
  <c r="EI60" i="99"/>
  <c r="EJ60" i="99" s="1"/>
  <c r="FA60" i="99"/>
  <c r="FB60" i="99" s="1"/>
  <c r="FT60" i="99"/>
  <c r="FX60" i="99"/>
  <c r="Z61" i="99"/>
  <c r="AD61" i="99"/>
  <c r="AH61" i="99"/>
  <c r="AL61" i="99"/>
  <c r="AP61" i="99"/>
  <c r="AT61" i="99"/>
  <c r="AV61" i="99"/>
  <c r="BN61" i="99"/>
  <c r="DH61" i="99"/>
  <c r="DI61" i="99" s="1"/>
  <c r="DZ61" i="99"/>
  <c r="EA61" i="99" s="1"/>
  <c r="EV61" i="99"/>
  <c r="EW61" i="99" s="1"/>
  <c r="FF61" i="99"/>
  <c r="FH61" i="99"/>
  <c r="FJ61" i="99"/>
  <c r="FL61" i="99"/>
  <c r="FN61" i="99"/>
  <c r="AA62" i="99"/>
  <c r="BA62" i="99"/>
  <c r="BI62" i="99"/>
  <c r="BJ62" i="99" s="1"/>
  <c r="BS62" i="99"/>
  <c r="DQ62" i="99"/>
  <c r="DR62" i="99" s="1"/>
  <c r="EI62" i="99"/>
  <c r="EJ62" i="99" s="1"/>
  <c r="FA62" i="99"/>
  <c r="FB62" i="99" s="1"/>
  <c r="FG62" i="99"/>
  <c r="FT62" i="99"/>
  <c r="FX62" i="99"/>
  <c r="FF64" i="99"/>
  <c r="FG64" i="99"/>
  <c r="Z63" i="99"/>
  <c r="AD63" i="99"/>
  <c r="AH63" i="99"/>
  <c r="AL63" i="99"/>
  <c r="AP63" i="99"/>
  <c r="AT63" i="99"/>
  <c r="AV63" i="99"/>
  <c r="BN63" i="99"/>
  <c r="DH63" i="99"/>
  <c r="DI63" i="99" s="1"/>
  <c r="DZ63" i="99"/>
  <c r="EA63" i="99" s="1"/>
  <c r="EV63" i="99"/>
  <c r="EW63" i="99" s="1"/>
  <c r="FF63" i="99"/>
  <c r="FH63" i="99"/>
  <c r="FJ63" i="99"/>
  <c r="FL63" i="99"/>
  <c r="FN63" i="99"/>
  <c r="FT64" i="99"/>
  <c r="AT64" i="99"/>
  <c r="FX64" i="99"/>
  <c r="AV64" i="99"/>
  <c r="AA64" i="99"/>
  <c r="AL60" i="99"/>
  <c r="AP60" i="99"/>
  <c r="BN60" i="99"/>
  <c r="DH60" i="99"/>
  <c r="DI60" i="99" s="1"/>
  <c r="DZ60" i="99"/>
  <c r="EA60" i="99" s="1"/>
  <c r="FH60" i="99"/>
  <c r="FJ60" i="99"/>
  <c r="FN60" i="99"/>
  <c r="AA61" i="99"/>
  <c r="BA61" i="99"/>
  <c r="BI61" i="99"/>
  <c r="BS61" i="99"/>
  <c r="DQ61" i="99"/>
  <c r="DR61" i="99" s="1"/>
  <c r="EI61" i="99"/>
  <c r="EJ61" i="99" s="1"/>
  <c r="FA61" i="99"/>
  <c r="FB61" i="99" s="1"/>
  <c r="Z62" i="99"/>
  <c r="AD62" i="99"/>
  <c r="AL62" i="99"/>
  <c r="AP62" i="99"/>
  <c r="BN62" i="99"/>
  <c r="DH62" i="99"/>
  <c r="DI62" i="99" s="1"/>
  <c r="DZ62" i="99"/>
  <c r="EA62" i="99" s="1"/>
  <c r="FH62" i="99"/>
  <c r="FJ62" i="99"/>
  <c r="FN62" i="99"/>
  <c r="AA63" i="99"/>
  <c r="BA63" i="99"/>
  <c r="BI63" i="99"/>
  <c r="CY64" i="99" s="1"/>
  <c r="BS63" i="99"/>
  <c r="DQ63" i="99"/>
  <c r="DR63" i="99" s="1"/>
  <c r="EI63" i="99"/>
  <c r="EJ63" i="99" s="1"/>
  <c r="FA63" i="99"/>
  <c r="FB63" i="99" s="1"/>
  <c r="EV64" i="99"/>
  <c r="EW64" i="99" s="1"/>
  <c r="DZ64" i="99"/>
  <c r="EA64" i="99" s="1"/>
  <c r="DH64" i="99"/>
  <c r="DI64" i="99" s="1"/>
  <c r="FF65" i="99"/>
  <c r="AD65" i="99"/>
  <c r="Z65" i="99"/>
  <c r="FL64" i="99"/>
  <c r="FH64" i="99"/>
  <c r="BN64" i="99"/>
  <c r="FA64" i="99"/>
  <c r="FB64" i="99" s="1"/>
  <c r="EI64" i="99"/>
  <c r="EJ64" i="99" s="1"/>
  <c r="DQ64" i="99"/>
  <c r="DR64" i="99" s="1"/>
  <c r="AH65" i="99"/>
  <c r="FG65" i="99"/>
  <c r="AA65" i="99"/>
  <c r="FN64" i="99"/>
  <c r="FJ64" i="99"/>
  <c r="Z64" i="99"/>
  <c r="AD64" i="99"/>
  <c r="AH64" i="99"/>
  <c r="AL64" i="99"/>
  <c r="AP64" i="99"/>
  <c r="BS64" i="99"/>
  <c r="BA65" i="99"/>
  <c r="BB65" i="99" s="1"/>
  <c r="BI65" i="99"/>
  <c r="CY65" i="99" s="1"/>
  <c r="BS65" i="99"/>
  <c r="DQ65" i="99"/>
  <c r="DR65" i="99" s="1"/>
  <c r="EI65" i="99"/>
  <c r="EJ65" i="99" s="1"/>
  <c r="FA65" i="99"/>
  <c r="FB65" i="99" s="1"/>
  <c r="FT65" i="99"/>
  <c r="EV66" i="99"/>
  <c r="EW66" i="99" s="1"/>
  <c r="DZ66" i="99"/>
  <c r="EA66" i="99" s="1"/>
  <c r="DH66" i="99"/>
  <c r="DI66" i="99" s="1"/>
  <c r="FF67" i="99"/>
  <c r="AD67" i="99"/>
  <c r="Z67" i="99"/>
  <c r="FL66" i="99"/>
  <c r="FH66" i="99"/>
  <c r="FA66" i="99"/>
  <c r="FB66" i="99" s="1"/>
  <c r="EI66" i="99"/>
  <c r="EJ66" i="99" s="1"/>
  <c r="DQ66" i="99"/>
  <c r="DR66" i="99" s="1"/>
  <c r="AH67" i="99"/>
  <c r="BS66" i="99"/>
  <c r="FG67" i="99"/>
  <c r="AA67" i="99"/>
  <c r="FN66" i="99"/>
  <c r="FJ66" i="99"/>
  <c r="Z66" i="99"/>
  <c r="AT66" i="99"/>
  <c r="AV66" i="99"/>
  <c r="BN66" i="99"/>
  <c r="FF66" i="99"/>
  <c r="FG66" i="99"/>
  <c r="AL65" i="99"/>
  <c r="BN65" i="99"/>
  <c r="DH65" i="99"/>
  <c r="DI65" i="99" s="1"/>
  <c r="DZ65" i="99"/>
  <c r="EA65" i="99" s="1"/>
  <c r="FH65" i="99"/>
  <c r="FJ65" i="99"/>
  <c r="FL65" i="99"/>
  <c r="FN65" i="99"/>
  <c r="AA66" i="99"/>
  <c r="BA66" i="99"/>
  <c r="BB66" i="99" s="1"/>
  <c r="BI66" i="99"/>
  <c r="BA67" i="99"/>
  <c r="BI67" i="99"/>
  <c r="BS67" i="99"/>
  <c r="DQ67" i="99"/>
  <c r="DR67" i="99" s="1"/>
  <c r="EI67" i="99"/>
  <c r="EJ67" i="99" s="1"/>
  <c r="FA67" i="99"/>
  <c r="FB67" i="99" s="1"/>
  <c r="FT67" i="99"/>
  <c r="FX67" i="99"/>
  <c r="FF69" i="99"/>
  <c r="Y9" i="92" s="1"/>
  <c r="FG69" i="99"/>
  <c r="Y11" i="92" s="1"/>
  <c r="AL67" i="99"/>
  <c r="AP67" i="99"/>
  <c r="BN67" i="99"/>
  <c r="DH67" i="99"/>
  <c r="DI67" i="99" s="1"/>
  <c r="DZ67" i="99"/>
  <c r="EA67" i="99" s="1"/>
  <c r="FH67" i="99"/>
  <c r="FJ67" i="99"/>
  <c r="FL67" i="99"/>
  <c r="FN67" i="99"/>
  <c r="FM52" i="99"/>
  <c r="BB59" i="99"/>
  <c r="FM57" i="99"/>
  <c r="BB52" i="99"/>
  <c r="CY39" i="99"/>
  <c r="CZ39" i="99" s="1"/>
  <c r="CY26" i="99"/>
  <c r="DA26" i="99" s="1"/>
  <c r="BB31" i="99"/>
  <c r="BJ28" i="99"/>
  <c r="BB27" i="99"/>
  <c r="CY17" i="99"/>
  <c r="DA17" i="99" s="1"/>
  <c r="CY7" i="99"/>
  <c r="CZ7" i="99" s="1"/>
  <c r="CY23" i="99"/>
  <c r="CP16" i="99"/>
  <c r="BO21" i="99"/>
  <c r="BJ66" i="99"/>
  <c r="BJ63" i="99"/>
  <c r="BB62" i="99"/>
  <c r="BJ60" i="99"/>
  <c r="BB60" i="99"/>
  <c r="FK58" i="99"/>
  <c r="CY55" i="99"/>
  <c r="BJ55" i="99"/>
  <c r="BB55" i="99"/>
  <c r="BJ53" i="99"/>
  <c r="BB53" i="99"/>
  <c r="BJ51" i="99"/>
  <c r="BJ49" i="99"/>
  <c r="CP49" i="99"/>
  <c r="BB49" i="99"/>
  <c r="BJ47" i="99"/>
  <c r="BB47" i="99"/>
  <c r="CY56" i="99"/>
  <c r="DA56" i="99" s="1"/>
  <c r="CY54" i="99"/>
  <c r="FO51" i="99"/>
  <c r="BJ50" i="99"/>
  <c r="BB50" i="99"/>
  <c r="CY48" i="99"/>
  <c r="DA48" i="99" s="1"/>
  <c r="BO59" i="99"/>
  <c r="BP49" i="99"/>
  <c r="BP47" i="99"/>
  <c r="BO60" i="99"/>
  <c r="BO58" i="99"/>
  <c r="CY43" i="99"/>
  <c r="BO52" i="99"/>
  <c r="CY44" i="99"/>
  <c r="DA44" i="99" s="1"/>
  <c r="BO50" i="99"/>
  <c r="BW44" i="99"/>
  <c r="FO29" i="99"/>
  <c r="BP31" i="99"/>
  <c r="BB26" i="99"/>
  <c r="BP25" i="99"/>
  <c r="FO37" i="99"/>
  <c r="BJ36" i="99"/>
  <c r="BB36" i="99"/>
  <c r="BU38" i="99"/>
  <c r="BJ33" i="99"/>
  <c r="CY33" i="99"/>
  <c r="BB33" i="99"/>
  <c r="BJ32" i="99"/>
  <c r="CP32" i="99"/>
  <c r="FI30" i="99"/>
  <c r="BJ29" i="99"/>
  <c r="CY29" i="99"/>
  <c r="BB28" i="99"/>
  <c r="CY21" i="99"/>
  <c r="CP20" i="99"/>
  <c r="CQ20" i="99" s="1"/>
  <c r="BB19" i="99"/>
  <c r="CP14" i="99"/>
  <c r="CQ14" i="99" s="1"/>
  <c r="BJ13" i="99"/>
  <c r="BU16" i="99"/>
  <c r="CP9" i="99"/>
  <c r="BB8" i="99"/>
  <c r="BB7" i="99"/>
  <c r="BT18" i="99"/>
  <c r="BB5" i="99"/>
  <c r="AO5" i="99"/>
  <c r="DA38" i="99"/>
  <c r="CY37" i="99"/>
  <c r="DA37" i="99" s="1"/>
  <c r="FM36" i="99"/>
  <c r="BB23" i="99"/>
  <c r="BO32" i="99"/>
  <c r="BB18" i="99"/>
  <c r="BO29" i="99"/>
  <c r="BB15" i="99"/>
  <c r="BJ14" i="99"/>
  <c r="BV47" i="99"/>
  <c r="CY12" i="99"/>
  <c r="BJ9" i="99"/>
  <c r="BJ8" i="99"/>
  <c r="BU11" i="99"/>
  <c r="BJ6" i="99"/>
  <c r="BW17" i="99"/>
  <c r="FO24" i="99"/>
  <c r="BP13" i="99"/>
  <c r="BU10" i="99"/>
  <c r="FX1" i="5"/>
  <c r="FV1" i="5"/>
  <c r="FV11" i="5"/>
  <c r="FW11" i="5" s="1"/>
  <c r="FX11" i="5"/>
  <c r="FY11" i="5" s="1"/>
  <c r="FV12" i="5"/>
  <c r="FX12" i="5"/>
  <c r="FV13" i="5"/>
  <c r="FX13" i="5"/>
  <c r="FV14" i="5"/>
  <c r="FX14" i="5"/>
  <c r="FV15" i="5"/>
  <c r="FX15" i="5"/>
  <c r="FV16" i="5"/>
  <c r="FX16" i="5"/>
  <c r="FV17" i="5"/>
  <c r="FX17" i="5"/>
  <c r="FV18" i="5"/>
  <c r="FX18" i="5"/>
  <c r="FV19" i="5"/>
  <c r="FX19" i="5"/>
  <c r="FV20" i="5"/>
  <c r="FX20" i="5"/>
  <c r="FV21" i="5"/>
  <c r="FX21" i="5"/>
  <c r="FV22" i="5"/>
  <c r="FX22" i="5"/>
  <c r="FV23" i="5"/>
  <c r="FX23" i="5"/>
  <c r="FV24" i="5"/>
  <c r="FR24" i="5"/>
  <c r="FS24" i="5" s="1"/>
  <c r="FX24" i="5"/>
  <c r="FT24" i="5"/>
  <c r="FU24" i="5" s="1"/>
  <c r="FV25" i="5"/>
  <c r="FW25" i="5" s="1"/>
  <c r="FX25" i="5"/>
  <c r="FV26" i="5"/>
  <c r="FX26" i="5"/>
  <c r="FV27" i="5"/>
  <c r="FX27" i="5"/>
  <c r="FV28" i="5"/>
  <c r="FX28" i="5"/>
  <c r="FV29" i="5"/>
  <c r="FX29" i="5"/>
  <c r="FV30" i="5"/>
  <c r="FX30" i="5"/>
  <c r="FV31" i="5"/>
  <c r="FX31" i="5"/>
  <c r="FV32" i="5"/>
  <c r="FX32" i="5"/>
  <c r="FV33" i="5"/>
  <c r="FX33" i="5"/>
  <c r="FV34" i="5"/>
  <c r="FX34" i="5"/>
  <c r="FV35" i="5"/>
  <c r="FX35" i="5"/>
  <c r="FV36" i="5"/>
  <c r="FX36" i="5"/>
  <c r="FV37" i="5"/>
  <c r="FX37" i="5"/>
  <c r="FV38" i="5"/>
  <c r="FX38" i="5"/>
  <c r="FV39" i="5"/>
  <c r="FX39" i="5"/>
  <c r="FV40" i="5"/>
  <c r="FX40" i="5"/>
  <c r="FV41" i="5"/>
  <c r="FX41" i="5"/>
  <c r="FV42" i="5"/>
  <c r="FX42" i="5"/>
  <c r="FV43" i="5"/>
  <c r="FX43" i="5"/>
  <c r="FV44" i="5"/>
  <c r="FX44" i="5"/>
  <c r="FV45" i="5"/>
  <c r="FX45" i="5"/>
  <c r="FV46" i="5"/>
  <c r="FX46" i="5"/>
  <c r="FV47" i="5"/>
  <c r="FX47" i="5"/>
  <c r="FV48" i="5"/>
  <c r="FX48" i="5"/>
  <c r="FV49" i="5"/>
  <c r="FX49" i="5"/>
  <c r="FV50" i="5"/>
  <c r="FX50" i="5"/>
  <c r="FV51" i="5"/>
  <c r="FX51" i="5"/>
  <c r="FV52" i="5"/>
  <c r="FX52" i="5"/>
  <c r="FV53" i="5"/>
  <c r="FX53" i="5"/>
  <c r="FV54" i="5"/>
  <c r="FX54" i="5"/>
  <c r="FV55" i="5"/>
  <c r="FX55" i="5"/>
  <c r="FV56" i="5"/>
  <c r="FX56" i="5"/>
  <c r="FV57" i="5"/>
  <c r="FX57" i="5"/>
  <c r="FV58" i="5"/>
  <c r="FX58" i="5"/>
  <c r="FV59" i="5"/>
  <c r="FX59" i="5"/>
  <c r="FV60" i="5"/>
  <c r="FX60" i="5"/>
  <c r="FV61" i="5"/>
  <c r="FX61" i="5"/>
  <c r="FV62" i="5"/>
  <c r="FX62" i="5"/>
  <c r="FV63" i="5"/>
  <c r="FX63" i="5"/>
  <c r="FV64" i="5"/>
  <c r="FX64" i="5"/>
  <c r="FV65" i="5"/>
  <c r="FX65" i="5"/>
  <c r="FV66" i="5"/>
  <c r="FX66" i="5"/>
  <c r="FV67" i="5"/>
  <c r="FX67" i="5"/>
  <c r="FP67" i="5"/>
  <c r="FQ67" i="5"/>
  <c r="ES1" i="5"/>
  <c r="EJ1" i="5"/>
  <c r="EA1" i="5"/>
  <c r="DR1" i="5"/>
  <c r="CQ1" i="5"/>
  <c r="G33" i="5"/>
  <c r="AM5" i="5"/>
  <c r="AL1" i="5"/>
  <c r="AZ1" i="5"/>
  <c r="AX1" i="5"/>
  <c r="BB1" i="5"/>
  <c r="EJ7" i="92"/>
  <c r="EJ5" i="92"/>
  <c r="EI7" i="92"/>
  <c r="EI5" i="92"/>
  <c r="DW7" i="92"/>
  <c r="DX7" i="92" s="1"/>
  <c r="DV7" i="92"/>
  <c r="DU7" i="92" s="1"/>
  <c r="DV5" i="92"/>
  <c r="DU5" i="92" s="1"/>
  <c r="DT7" i="92"/>
  <c r="DT5" i="92"/>
  <c r="DW5" i="92" s="1"/>
  <c r="DX5" i="92" s="1"/>
  <c r="DI5" i="92"/>
  <c r="DP5" i="92" s="1"/>
  <c r="DQ5" i="92" s="1"/>
  <c r="DP7" i="92"/>
  <c r="DQ7" i="92" s="1"/>
  <c r="DO7" i="92"/>
  <c r="DO5" i="92"/>
  <c r="DN7" i="92"/>
  <c r="DN5" i="92"/>
  <c r="DM7" i="92"/>
  <c r="DM5" i="92"/>
  <c r="DL7" i="92"/>
  <c r="DL5" i="92"/>
  <c r="DK7" i="92"/>
  <c r="DJ7" i="92" s="1"/>
  <c r="DK5" i="92"/>
  <c r="DJ5" i="92" s="1"/>
  <c r="DI7" i="92"/>
  <c r="AZ67" i="5"/>
  <c r="AX67" i="5"/>
  <c r="AL67" i="5"/>
  <c r="AZ66" i="5"/>
  <c r="AH67" i="5"/>
  <c r="AX66" i="5"/>
  <c r="AL66" i="5"/>
  <c r="AZ65" i="5"/>
  <c r="AH66" i="5"/>
  <c r="AX65" i="5"/>
  <c r="AL65" i="5"/>
  <c r="AZ64" i="5"/>
  <c r="AH65" i="5"/>
  <c r="AX64" i="5"/>
  <c r="AL64" i="5"/>
  <c r="AZ63" i="5"/>
  <c r="AH64" i="5"/>
  <c r="AX63" i="5"/>
  <c r="AL63" i="5"/>
  <c r="AZ62" i="5"/>
  <c r="AH63" i="5"/>
  <c r="AX62" i="5"/>
  <c r="AL62" i="5"/>
  <c r="AZ61" i="5"/>
  <c r="AH62" i="5"/>
  <c r="AX61" i="5"/>
  <c r="AL61" i="5"/>
  <c r="AZ60" i="5"/>
  <c r="AH61" i="5"/>
  <c r="AX60" i="5"/>
  <c r="AL60" i="5"/>
  <c r="AZ59" i="5"/>
  <c r="AH60" i="5"/>
  <c r="AX59" i="5"/>
  <c r="AL59" i="5"/>
  <c r="AZ58" i="5"/>
  <c r="AH59" i="5"/>
  <c r="AX58" i="5"/>
  <c r="AL58" i="5"/>
  <c r="AZ57" i="5"/>
  <c r="AH58" i="5"/>
  <c r="AX57" i="5"/>
  <c r="AL57" i="5"/>
  <c r="AZ56" i="5"/>
  <c r="AH57" i="5"/>
  <c r="AX56" i="5"/>
  <c r="AL56" i="5"/>
  <c r="AZ55" i="5"/>
  <c r="AH56" i="5"/>
  <c r="AX55" i="5"/>
  <c r="AL55" i="5"/>
  <c r="AZ54" i="5"/>
  <c r="CB66" i="5" s="1"/>
  <c r="AH55" i="5"/>
  <c r="AX54" i="5"/>
  <c r="AL54" i="5"/>
  <c r="AZ53" i="5"/>
  <c r="AH54" i="5"/>
  <c r="AX53" i="5"/>
  <c r="AL53" i="5"/>
  <c r="AZ52" i="5"/>
  <c r="AH53" i="5"/>
  <c r="AX52" i="5"/>
  <c r="AL52" i="5"/>
  <c r="AZ51" i="5"/>
  <c r="AH52" i="5"/>
  <c r="AX51" i="5"/>
  <c r="AL51" i="5"/>
  <c r="AZ50" i="5"/>
  <c r="AH51" i="5"/>
  <c r="AX50" i="5"/>
  <c r="AL50" i="5"/>
  <c r="AZ49" i="5"/>
  <c r="AH50" i="5"/>
  <c r="AX49" i="5"/>
  <c r="AL49" i="5"/>
  <c r="AZ48" i="5"/>
  <c r="AH49" i="5"/>
  <c r="AX48" i="5"/>
  <c r="X71" i="5"/>
  <c r="AL48" i="5"/>
  <c r="AZ47" i="5"/>
  <c r="AH48" i="5"/>
  <c r="AX47" i="5"/>
  <c r="AL47" i="5"/>
  <c r="AZ46" i="5"/>
  <c r="AH47" i="5"/>
  <c r="AX46" i="5"/>
  <c r="AL46" i="5"/>
  <c r="AZ45" i="5"/>
  <c r="AH46" i="5"/>
  <c r="AX45" i="5"/>
  <c r="AL45" i="5"/>
  <c r="AZ44" i="5"/>
  <c r="AH45" i="5"/>
  <c r="AX44" i="5"/>
  <c r="AL44" i="5"/>
  <c r="AZ43" i="5"/>
  <c r="AH44" i="5"/>
  <c r="AX43" i="5"/>
  <c r="AL43" i="5"/>
  <c r="AZ42" i="5"/>
  <c r="AH43" i="5"/>
  <c r="AX42" i="5"/>
  <c r="AL42" i="5"/>
  <c r="AZ41" i="5"/>
  <c r="AH42" i="5"/>
  <c r="AX41" i="5"/>
  <c r="AL41" i="5"/>
  <c r="AZ40" i="5"/>
  <c r="AH41" i="5"/>
  <c r="AX40" i="5"/>
  <c r="AL40" i="5"/>
  <c r="AZ39" i="5"/>
  <c r="AH40" i="5"/>
  <c r="AX39" i="5"/>
  <c r="AL39" i="5"/>
  <c r="AZ38" i="5"/>
  <c r="AH39" i="5"/>
  <c r="AL38" i="5"/>
  <c r="AZ37" i="5"/>
  <c r="AH38" i="5"/>
  <c r="AX37" i="5"/>
  <c r="AL37" i="5"/>
  <c r="AZ36" i="5"/>
  <c r="AH37" i="5"/>
  <c r="AX36" i="5"/>
  <c r="AL36" i="5"/>
  <c r="AZ35" i="5"/>
  <c r="AH36" i="5"/>
  <c r="AX35" i="5"/>
  <c r="AL35" i="5"/>
  <c r="AZ34" i="5"/>
  <c r="AH35" i="5"/>
  <c r="AX34" i="5"/>
  <c r="AL34" i="5"/>
  <c r="AZ33" i="5"/>
  <c r="AH34" i="5"/>
  <c r="AX33" i="5"/>
  <c r="AL33" i="5"/>
  <c r="AZ32" i="5"/>
  <c r="AH33" i="5"/>
  <c r="AL32" i="5"/>
  <c r="AZ31" i="5"/>
  <c r="AH32" i="5"/>
  <c r="AX31" i="5"/>
  <c r="AL31" i="5"/>
  <c r="AZ30" i="5"/>
  <c r="AH31" i="5"/>
  <c r="AX30" i="5"/>
  <c r="AL30" i="5"/>
  <c r="AZ29" i="5"/>
  <c r="AH30" i="5"/>
  <c r="AX29" i="5"/>
  <c r="AL29" i="5"/>
  <c r="AZ28" i="5"/>
  <c r="AH29" i="5"/>
  <c r="AX28" i="5"/>
  <c r="AL28" i="5"/>
  <c r="AZ27" i="5"/>
  <c r="AH28" i="5"/>
  <c r="AX27" i="5"/>
  <c r="AL27" i="5"/>
  <c r="AZ26" i="5"/>
  <c r="AH27" i="5"/>
  <c r="AX26" i="5"/>
  <c r="AL26" i="5"/>
  <c r="AZ25" i="5"/>
  <c r="AH26" i="5"/>
  <c r="AX25" i="5"/>
  <c r="AL25" i="5"/>
  <c r="AZ24" i="5"/>
  <c r="AH25" i="5"/>
  <c r="AX24" i="5"/>
  <c r="AL24" i="5"/>
  <c r="AZ23" i="5"/>
  <c r="AH24" i="5"/>
  <c r="AX23" i="5"/>
  <c r="AL23" i="5"/>
  <c r="AZ22" i="5"/>
  <c r="AH23" i="5"/>
  <c r="AX22" i="5"/>
  <c r="AL22" i="5"/>
  <c r="AZ21" i="5"/>
  <c r="AH22" i="5"/>
  <c r="AX21" i="5"/>
  <c r="AL21" i="5"/>
  <c r="AZ20" i="5"/>
  <c r="AH21" i="5"/>
  <c r="AX20" i="5"/>
  <c r="AL20" i="5"/>
  <c r="AZ19" i="5"/>
  <c r="CB31" i="5" s="1"/>
  <c r="AH20" i="5"/>
  <c r="AX19" i="5"/>
  <c r="AL19" i="5"/>
  <c r="AZ18" i="5"/>
  <c r="AH19" i="5"/>
  <c r="AX18" i="5"/>
  <c r="AL18" i="5"/>
  <c r="AZ17" i="5"/>
  <c r="AH18" i="5"/>
  <c r="AX17" i="5"/>
  <c r="BT29" i="5" s="1"/>
  <c r="AL17" i="5"/>
  <c r="AZ16" i="5"/>
  <c r="AH17" i="5"/>
  <c r="AX16" i="5"/>
  <c r="BT28" i="5" s="1"/>
  <c r="AL16" i="5"/>
  <c r="AZ15" i="5"/>
  <c r="AH16" i="5"/>
  <c r="AX15" i="5"/>
  <c r="AL15" i="5"/>
  <c r="AZ14" i="5"/>
  <c r="AH15" i="5"/>
  <c r="AX14" i="5"/>
  <c r="AL14" i="5"/>
  <c r="AZ13" i="5"/>
  <c r="AH14" i="5"/>
  <c r="AX13" i="5"/>
  <c r="BT25" i="5" s="1"/>
  <c r="AL13" i="5"/>
  <c r="AZ12" i="5"/>
  <c r="AH13" i="5"/>
  <c r="AX12" i="5"/>
  <c r="AL12" i="5"/>
  <c r="AZ11" i="5"/>
  <c r="AH12" i="5"/>
  <c r="AX11" i="5"/>
  <c r="AL11" i="5"/>
  <c r="AZ10" i="5"/>
  <c r="AH11" i="5"/>
  <c r="AX10" i="5"/>
  <c r="AL10" i="5"/>
  <c r="AZ9" i="5"/>
  <c r="AH10" i="5"/>
  <c r="AX9" i="5"/>
  <c r="BT21" i="5" s="1"/>
  <c r="AL9" i="5"/>
  <c r="AH9" i="5"/>
  <c r="AX8" i="5"/>
  <c r="AL8" i="5"/>
  <c r="AZ7" i="5"/>
  <c r="AH8" i="5"/>
  <c r="AX7" i="5"/>
  <c r="AL7" i="5"/>
  <c r="AH7" i="5"/>
  <c r="AX6" i="5"/>
  <c r="AL6" i="5"/>
  <c r="AZ5" i="5"/>
  <c r="AH6" i="5"/>
  <c r="AX5" i="5"/>
  <c r="AN5" i="5"/>
  <c r="BC16" i="5"/>
  <c r="BC17" i="5" s="1"/>
  <c r="BC18" i="5" s="1"/>
  <c r="BC19" i="5" s="1"/>
  <c r="BC20" i="5" s="1"/>
  <c r="BC21" i="5" s="1"/>
  <c r="BC22" i="5" s="1"/>
  <c r="BC23" i="5" s="1"/>
  <c r="BC24" i="5" s="1"/>
  <c r="BC25" i="5" s="1"/>
  <c r="BC26" i="5" s="1"/>
  <c r="BC27" i="5" s="1"/>
  <c r="BC28" i="5" s="1"/>
  <c r="BC29" i="5" s="1"/>
  <c r="BC30" i="5" s="1"/>
  <c r="BC31" i="5" s="1"/>
  <c r="BC32" i="5" s="1"/>
  <c r="BC33" i="5" s="1"/>
  <c r="BC34" i="5" s="1"/>
  <c r="BC35" i="5" s="1"/>
  <c r="BC36" i="5" s="1"/>
  <c r="BC37" i="5" s="1"/>
  <c r="BC38" i="5" s="1"/>
  <c r="BC39" i="5" s="1"/>
  <c r="BC40" i="5" s="1"/>
  <c r="BC41" i="5" s="1"/>
  <c r="BC42" i="5" s="1"/>
  <c r="BC43" i="5" s="1"/>
  <c r="BC44" i="5" s="1"/>
  <c r="BC45" i="5" s="1"/>
  <c r="BC46" i="5" s="1"/>
  <c r="BC47" i="5" s="1"/>
  <c r="BC48" i="5" s="1"/>
  <c r="BC49" i="5" s="1"/>
  <c r="BC50" i="5" s="1"/>
  <c r="BC51" i="5" s="1"/>
  <c r="BC52" i="5" s="1"/>
  <c r="BC53" i="5" s="1"/>
  <c r="BC54" i="5" s="1"/>
  <c r="BC55" i="5" s="1"/>
  <c r="BC56" i="5" s="1"/>
  <c r="BC57" i="5" s="1"/>
  <c r="BC58" i="5" s="1"/>
  <c r="BC59" i="5" s="1"/>
  <c r="BC60" i="5" s="1"/>
  <c r="BC61" i="5" s="1"/>
  <c r="BC62" i="5" s="1"/>
  <c r="BC63" i="5" s="1"/>
  <c r="BC64" i="5" s="1"/>
  <c r="BC65" i="5" s="1"/>
  <c r="BC66" i="5" s="1"/>
  <c r="BC67" i="5" s="1"/>
  <c r="AZ8" i="5"/>
  <c r="AZ6" i="5"/>
  <c r="R71" i="5"/>
  <c r="AX32" i="5"/>
  <c r="AX38" i="5"/>
  <c r="AX4" i="5"/>
  <c r="AZ4" i="5"/>
  <c r="BK16" i="5"/>
  <c r="BK17" i="5" s="1"/>
  <c r="BK18" i="5" s="1"/>
  <c r="BK19" i="5" s="1"/>
  <c r="BK20" i="5" s="1"/>
  <c r="BK21" i="5" s="1"/>
  <c r="BK22" i="5" s="1"/>
  <c r="BK23" i="5" s="1"/>
  <c r="BK24" i="5" s="1"/>
  <c r="BK25" i="5" s="1"/>
  <c r="BK26" i="5" s="1"/>
  <c r="BK27" i="5" s="1"/>
  <c r="BK28" i="5" s="1"/>
  <c r="BK29" i="5" s="1"/>
  <c r="BK30" i="5" s="1"/>
  <c r="BK31" i="5" s="1"/>
  <c r="BK32" i="5" s="1"/>
  <c r="BK33" i="5" s="1"/>
  <c r="BK34" i="5" s="1"/>
  <c r="BK35" i="5" s="1"/>
  <c r="BK36" i="5" s="1"/>
  <c r="BK37" i="5" s="1"/>
  <c r="BK38" i="5" s="1"/>
  <c r="BK39" i="5" s="1"/>
  <c r="BK40" i="5" s="1"/>
  <c r="BK41" i="5" s="1"/>
  <c r="BK42" i="5" s="1"/>
  <c r="BK43" i="5" s="1"/>
  <c r="BK44" i="5" s="1"/>
  <c r="BK45" i="5" s="1"/>
  <c r="BK46" i="5" s="1"/>
  <c r="BK47" i="5" s="1"/>
  <c r="BK48" i="5" s="1"/>
  <c r="BK49" i="5" s="1"/>
  <c r="BK50" i="5" s="1"/>
  <c r="BK51" i="5" s="1"/>
  <c r="BK52" i="5" s="1"/>
  <c r="BK53" i="5" s="1"/>
  <c r="BK54" i="5" s="1"/>
  <c r="BK55" i="5" s="1"/>
  <c r="BK56" i="5" s="1"/>
  <c r="BK57" i="5" s="1"/>
  <c r="BK58" i="5" s="1"/>
  <c r="BK59" i="5" s="1"/>
  <c r="BK60" i="5" s="1"/>
  <c r="BK61" i="5" s="1"/>
  <c r="BK62" i="5" s="1"/>
  <c r="BK63" i="5" s="1"/>
  <c r="BK64" i="5" s="1"/>
  <c r="BK65" i="5" s="1"/>
  <c r="BK66" i="5" s="1"/>
  <c r="BK67" i="5" s="1"/>
  <c r="AP1" i="5"/>
  <c r="AT1" i="5"/>
  <c r="AP67" i="5"/>
  <c r="AP66" i="5"/>
  <c r="AP65" i="5"/>
  <c r="AP64" i="5"/>
  <c r="AP63" i="5"/>
  <c r="AP62" i="5"/>
  <c r="AP61" i="5"/>
  <c r="AP60" i="5"/>
  <c r="AP59" i="5"/>
  <c r="AP58" i="5"/>
  <c r="AP57" i="5"/>
  <c r="AP56" i="5"/>
  <c r="AP55" i="5"/>
  <c r="AP54" i="5"/>
  <c r="AP53" i="5"/>
  <c r="AP52" i="5"/>
  <c r="AP51" i="5"/>
  <c r="AP50" i="5"/>
  <c r="AP49" i="5"/>
  <c r="AP48" i="5"/>
  <c r="AP47" i="5"/>
  <c r="AP46" i="5"/>
  <c r="AP45" i="5"/>
  <c r="AP44" i="5"/>
  <c r="AP43" i="5"/>
  <c r="AP42" i="5"/>
  <c r="AP41" i="5"/>
  <c r="AP40"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P8" i="5"/>
  <c r="AP7" i="5"/>
  <c r="AP6" i="5"/>
  <c r="AP5" i="5"/>
  <c r="AP4" i="5"/>
  <c r="AT4" i="5"/>
  <c r="AT5" i="5"/>
  <c r="AT6" i="5"/>
  <c r="AT7" i="5"/>
  <c r="AT8" i="5"/>
  <c r="AT9" i="5"/>
  <c r="AT10" i="5"/>
  <c r="AT11" i="5"/>
  <c r="AT12" i="5"/>
  <c r="AT13" i="5"/>
  <c r="AT14" i="5"/>
  <c r="AT15" i="5"/>
  <c r="AT16" i="5"/>
  <c r="AT17" i="5"/>
  <c r="AT18" i="5"/>
  <c r="AT19" i="5"/>
  <c r="AT20" i="5"/>
  <c r="AT21" i="5"/>
  <c r="AT22" i="5"/>
  <c r="AT23" i="5"/>
  <c r="AT24" i="5"/>
  <c r="AT25" i="5"/>
  <c r="AT26" i="5"/>
  <c r="AT27" i="5"/>
  <c r="AT28" i="5"/>
  <c r="AT29" i="5"/>
  <c r="AT30" i="5"/>
  <c r="AT31" i="5"/>
  <c r="AT32" i="5"/>
  <c r="AT33" i="5"/>
  <c r="AT34" i="5"/>
  <c r="AT35" i="5"/>
  <c r="AT36" i="5"/>
  <c r="AT37" i="5"/>
  <c r="AT38" i="5"/>
  <c r="AT39" i="5"/>
  <c r="AT40" i="5"/>
  <c r="AT41" i="5"/>
  <c r="AT42" i="5"/>
  <c r="AT43" i="5"/>
  <c r="AT44" i="5"/>
  <c r="AT45" i="5"/>
  <c r="AT46" i="5"/>
  <c r="AT47" i="5"/>
  <c r="AT48" i="5"/>
  <c r="AT49" i="5"/>
  <c r="AT50" i="5"/>
  <c r="AT51" i="5"/>
  <c r="AT52" i="5"/>
  <c r="AT53" i="5"/>
  <c r="AT54" i="5"/>
  <c r="AT55" i="5"/>
  <c r="AT56" i="5"/>
  <c r="AT57" i="5"/>
  <c r="AT58" i="5"/>
  <c r="AT59" i="5"/>
  <c r="AT60" i="5"/>
  <c r="AT61" i="5"/>
  <c r="AT62" i="5"/>
  <c r="AT63" i="5"/>
  <c r="AT64" i="5"/>
  <c r="AT65" i="5"/>
  <c r="AT66" i="5"/>
  <c r="AT67" i="5"/>
  <c r="FP1" i="5"/>
  <c r="FB1" i="5"/>
  <c r="FF1" i="5"/>
  <c r="CH1" i="5"/>
  <c r="FD1" i="5"/>
  <c r="FT35" i="5"/>
  <c r="FT63" i="5"/>
  <c r="FT27" i="5"/>
  <c r="FT31" i="5"/>
  <c r="FT39" i="5"/>
  <c r="FT47" i="5"/>
  <c r="FT55" i="5"/>
  <c r="FR29" i="5"/>
  <c r="FR30" i="5"/>
  <c r="FR31" i="5"/>
  <c r="FR32" i="5"/>
  <c r="FR33" i="5"/>
  <c r="FR35" i="5"/>
  <c r="FR36" i="5"/>
  <c r="FR37" i="5"/>
  <c r="FR38" i="5"/>
  <c r="FR39" i="5"/>
  <c r="FR40" i="5"/>
  <c r="FR41" i="5"/>
  <c r="FR42" i="5"/>
  <c r="FR43" i="5"/>
  <c r="FR44" i="5"/>
  <c r="FR45" i="5"/>
  <c r="FR46" i="5"/>
  <c r="FR47" i="5"/>
  <c r="FR48" i="5"/>
  <c r="FR49" i="5"/>
  <c r="FR50" i="5"/>
  <c r="FR51" i="5"/>
  <c r="FR52" i="5"/>
  <c r="FR53" i="5"/>
  <c r="FR54" i="5"/>
  <c r="FR55" i="5"/>
  <c r="FR56" i="5"/>
  <c r="FR57" i="5"/>
  <c r="FR58" i="5"/>
  <c r="FR59" i="5"/>
  <c r="FR60" i="5"/>
  <c r="FR61" i="5"/>
  <c r="FR62" i="5"/>
  <c r="FR63" i="5"/>
  <c r="FR64" i="5"/>
  <c r="FR65" i="5"/>
  <c r="FR66" i="5"/>
  <c r="FR67" i="5"/>
  <c r="FR25" i="5"/>
  <c r="FR27" i="5"/>
  <c r="FR28" i="5"/>
  <c r="FR34" i="5"/>
  <c r="FR26" i="5"/>
  <c r="FT25" i="5"/>
  <c r="FT26" i="5"/>
  <c r="FT28" i="5"/>
  <c r="FT29" i="5"/>
  <c r="FT30" i="5"/>
  <c r="FT32" i="5"/>
  <c r="FT33" i="5"/>
  <c r="FT34" i="5"/>
  <c r="FT36" i="5"/>
  <c r="FT37" i="5"/>
  <c r="FT38" i="5"/>
  <c r="FT40" i="5"/>
  <c r="FT41" i="5"/>
  <c r="FT42" i="5"/>
  <c r="FT43" i="5"/>
  <c r="FT44" i="5"/>
  <c r="FT45" i="5"/>
  <c r="FT46" i="5"/>
  <c r="FT48" i="5"/>
  <c r="FT49" i="5"/>
  <c r="FT50" i="5"/>
  <c r="FT51" i="5"/>
  <c r="FT52" i="5"/>
  <c r="FT53" i="5"/>
  <c r="FT54" i="5"/>
  <c r="FT56" i="5"/>
  <c r="FT57" i="5"/>
  <c r="FT58" i="5"/>
  <c r="FT59" i="5"/>
  <c r="FT60" i="5"/>
  <c r="FT61" i="5"/>
  <c r="FT62" i="5"/>
  <c r="FT64" i="5"/>
  <c r="FT65" i="5"/>
  <c r="FT66" i="5"/>
  <c r="FT67" i="5"/>
  <c r="EY2" i="5"/>
  <c r="EP2" i="5"/>
  <c r="EG2" i="5"/>
  <c r="DX2" i="5"/>
  <c r="ED25" i="5"/>
  <c r="ED26" i="5" s="1"/>
  <c r="ED27" i="5" s="1"/>
  <c r="ED28" i="5" s="1"/>
  <c r="ED29" i="5" s="1"/>
  <c r="ED30" i="5" s="1"/>
  <c r="ED31" i="5" s="1"/>
  <c r="ED32" i="5" s="1"/>
  <c r="ED33" i="5" s="1"/>
  <c r="ED34" i="5" s="1"/>
  <c r="ED35" i="5" s="1"/>
  <c r="ED36" i="5" s="1"/>
  <c r="ED37" i="5" s="1"/>
  <c r="ED38" i="5" s="1"/>
  <c r="ED39" i="5" s="1"/>
  <c r="ED40" i="5" s="1"/>
  <c r="ED41" i="5" s="1"/>
  <c r="ED42" i="5" s="1"/>
  <c r="ED43" i="5" s="1"/>
  <c r="ED44" i="5" s="1"/>
  <c r="ED45" i="5" s="1"/>
  <c r="ED46" i="5" s="1"/>
  <c r="ED47" i="5" s="1"/>
  <c r="ED48" i="5" s="1"/>
  <c r="ED49" i="5" s="1"/>
  <c r="ED50" i="5" s="1"/>
  <c r="ED51" i="5" s="1"/>
  <c r="ED52" i="5" s="1"/>
  <c r="ED53" i="5" s="1"/>
  <c r="ED54" i="5" s="1"/>
  <c r="ED55" i="5" s="1"/>
  <c r="ED56" i="5" s="1"/>
  <c r="ED57" i="5" s="1"/>
  <c r="ED58" i="5" s="1"/>
  <c r="ED59" i="5" s="1"/>
  <c r="ED60" i="5" s="1"/>
  <c r="ED61" i="5" s="1"/>
  <c r="ED62" i="5" s="1"/>
  <c r="ED63" i="5" s="1"/>
  <c r="ED64" i="5" s="1"/>
  <c r="ED65" i="5" s="1"/>
  <c r="ED66" i="5" s="1"/>
  <c r="ED67" i="5" s="1"/>
  <c r="EV12" i="5"/>
  <c r="EV13" i="5" s="1"/>
  <c r="EV14" i="5" s="1"/>
  <c r="EV15" i="5" s="1"/>
  <c r="EV16" i="5" s="1"/>
  <c r="EV17" i="5" s="1"/>
  <c r="EV18" i="5" s="1"/>
  <c r="EV19" i="5" s="1"/>
  <c r="EV20" i="5" s="1"/>
  <c r="EV21" i="5" s="1"/>
  <c r="EV22" i="5" s="1"/>
  <c r="EV23" i="5" s="1"/>
  <c r="EV24" i="5" s="1"/>
  <c r="EV25" i="5" s="1"/>
  <c r="EV26" i="5" s="1"/>
  <c r="EV27" i="5" s="1"/>
  <c r="EV28" i="5" s="1"/>
  <c r="EV29" i="5" s="1"/>
  <c r="EV30" i="5" s="1"/>
  <c r="EV31" i="5" s="1"/>
  <c r="EV32" i="5" s="1"/>
  <c r="EV33" i="5" s="1"/>
  <c r="EV34" i="5" s="1"/>
  <c r="EV35" i="5" s="1"/>
  <c r="EV36" i="5" s="1"/>
  <c r="EV37" i="5" s="1"/>
  <c r="EV38" i="5" s="1"/>
  <c r="EV39" i="5" s="1"/>
  <c r="EV40" i="5" s="1"/>
  <c r="EV41" i="5" s="1"/>
  <c r="EV42" i="5" s="1"/>
  <c r="EV43" i="5" s="1"/>
  <c r="EV44" i="5" s="1"/>
  <c r="EV45" i="5" s="1"/>
  <c r="EV46" i="5" s="1"/>
  <c r="EV47" i="5" s="1"/>
  <c r="EV48" i="5" s="1"/>
  <c r="EV49" i="5" s="1"/>
  <c r="EV50" i="5" s="1"/>
  <c r="EV51" i="5" s="1"/>
  <c r="EV52" i="5" s="1"/>
  <c r="EV53" i="5" s="1"/>
  <c r="EV54" i="5" s="1"/>
  <c r="EV55" i="5" s="1"/>
  <c r="EV56" i="5" s="1"/>
  <c r="EV57" i="5" s="1"/>
  <c r="EV58" i="5" s="1"/>
  <c r="EV59" i="5" s="1"/>
  <c r="EV60" i="5" s="1"/>
  <c r="EV61" i="5" s="1"/>
  <c r="EV62" i="5" s="1"/>
  <c r="EV63" i="5" s="1"/>
  <c r="EV64" i="5" s="1"/>
  <c r="EV65" i="5" s="1"/>
  <c r="EV66" i="5" s="1"/>
  <c r="EV67" i="5" s="1"/>
  <c r="DU26" i="5"/>
  <c r="DU27" i="5" s="1"/>
  <c r="DU28" i="5" s="1"/>
  <c r="DU29" i="5" s="1"/>
  <c r="DU30" i="5" s="1"/>
  <c r="DU31" i="5" s="1"/>
  <c r="DU32" i="5" s="1"/>
  <c r="DU33" i="5" s="1"/>
  <c r="DU34" i="5" s="1"/>
  <c r="DU35" i="5" s="1"/>
  <c r="DU36" i="5" s="1"/>
  <c r="DU37" i="5" s="1"/>
  <c r="DU38" i="5" s="1"/>
  <c r="DU39" i="5" s="1"/>
  <c r="DU40" i="5" s="1"/>
  <c r="DU41" i="5" s="1"/>
  <c r="DU42" i="5" s="1"/>
  <c r="DU43" i="5" s="1"/>
  <c r="DU44" i="5" s="1"/>
  <c r="DU45" i="5" s="1"/>
  <c r="DU46" i="5" s="1"/>
  <c r="DU47" i="5" s="1"/>
  <c r="DU48" i="5" s="1"/>
  <c r="DU49" i="5" s="1"/>
  <c r="DU50" i="5" s="1"/>
  <c r="DU51" i="5" s="1"/>
  <c r="DU52" i="5" s="1"/>
  <c r="DU53" i="5" s="1"/>
  <c r="DU54" i="5" s="1"/>
  <c r="DU55" i="5" s="1"/>
  <c r="DU56" i="5" s="1"/>
  <c r="DU57" i="5" s="1"/>
  <c r="DU58" i="5" s="1"/>
  <c r="DU59" i="5" s="1"/>
  <c r="DU60" i="5" s="1"/>
  <c r="DU61" i="5" s="1"/>
  <c r="DU62" i="5" s="1"/>
  <c r="DU63" i="5" s="1"/>
  <c r="DU64" i="5" s="1"/>
  <c r="DU65" i="5" s="1"/>
  <c r="DU66" i="5" s="1"/>
  <c r="DU67" i="5" s="1"/>
  <c r="EM12" i="5"/>
  <c r="EM13" i="5" s="1"/>
  <c r="EM14" i="5" s="1"/>
  <c r="EM15" i="5" s="1"/>
  <c r="EM16" i="5" s="1"/>
  <c r="EM17" i="5" s="1"/>
  <c r="EM18" i="5" s="1"/>
  <c r="EM19" i="5" s="1"/>
  <c r="EM20" i="5" s="1"/>
  <c r="EM21" i="5" s="1"/>
  <c r="EM22" i="5" s="1"/>
  <c r="EM23" i="5" s="1"/>
  <c r="EM24" i="5" s="1"/>
  <c r="EM25" i="5" s="1"/>
  <c r="EM26" i="5" s="1"/>
  <c r="EM27" i="5" s="1"/>
  <c r="EM28" i="5" s="1"/>
  <c r="EM29" i="5" s="1"/>
  <c r="EM30" i="5" s="1"/>
  <c r="EM31" i="5" s="1"/>
  <c r="EM32" i="5" s="1"/>
  <c r="EM33" i="5" s="1"/>
  <c r="EM34" i="5" s="1"/>
  <c r="EM35" i="5" s="1"/>
  <c r="EM36" i="5" s="1"/>
  <c r="EM37" i="5" s="1"/>
  <c r="EM38" i="5" s="1"/>
  <c r="EM39" i="5" s="1"/>
  <c r="EM40" i="5" s="1"/>
  <c r="EM41" i="5" s="1"/>
  <c r="EM42" i="5" s="1"/>
  <c r="EM43" i="5" s="1"/>
  <c r="EM44" i="5" s="1"/>
  <c r="EM45" i="5" s="1"/>
  <c r="EM46" i="5" s="1"/>
  <c r="EM47" i="5" s="1"/>
  <c r="EM48" i="5" s="1"/>
  <c r="EM49" i="5" s="1"/>
  <c r="EM50" i="5" s="1"/>
  <c r="EM51" i="5" s="1"/>
  <c r="EM52" i="5" s="1"/>
  <c r="EM53" i="5" s="1"/>
  <c r="EM54" i="5" s="1"/>
  <c r="EM55" i="5" s="1"/>
  <c r="EM56" i="5" s="1"/>
  <c r="EM57" i="5" s="1"/>
  <c r="EM58" i="5" s="1"/>
  <c r="EM59" i="5" s="1"/>
  <c r="EM60" i="5" s="1"/>
  <c r="EM61" i="5" s="1"/>
  <c r="EM62" i="5" s="1"/>
  <c r="EM63" i="5" s="1"/>
  <c r="EM64" i="5" s="1"/>
  <c r="EM65" i="5" s="1"/>
  <c r="EM66" i="5" s="1"/>
  <c r="EM67" i="5" s="1"/>
  <c r="EJ6" i="5"/>
  <c r="EK6" i="5" s="1"/>
  <c r="EJ7" i="5"/>
  <c r="EK7" i="5" s="1"/>
  <c r="EJ9" i="5"/>
  <c r="EK9" i="5" s="1"/>
  <c r="EJ8" i="5"/>
  <c r="EK8" i="5" s="1"/>
  <c r="EJ10" i="5"/>
  <c r="EK10" i="5" s="1"/>
  <c r="EJ11" i="5"/>
  <c r="EK11" i="5" s="1"/>
  <c r="EJ12" i="5"/>
  <c r="EK12" i="5" s="1"/>
  <c r="EJ13" i="5"/>
  <c r="EK13" i="5" s="1"/>
  <c r="EJ14" i="5"/>
  <c r="EK14" i="5" s="1"/>
  <c r="EJ15" i="5"/>
  <c r="EK15" i="5" s="1"/>
  <c r="EJ16" i="5"/>
  <c r="EK16" i="5" s="1"/>
  <c r="EJ17" i="5"/>
  <c r="EK17" i="5" s="1"/>
  <c r="EJ18" i="5"/>
  <c r="EK18" i="5" s="1"/>
  <c r="EJ19" i="5"/>
  <c r="EK19" i="5" s="1"/>
  <c r="EJ20" i="5"/>
  <c r="EK20" i="5" s="1"/>
  <c r="EJ21" i="5"/>
  <c r="EK21" i="5" s="1"/>
  <c r="EJ22" i="5"/>
  <c r="EK22" i="5" s="1"/>
  <c r="EJ23" i="5"/>
  <c r="EK23" i="5" s="1"/>
  <c r="EJ24" i="5"/>
  <c r="EK24" i="5" s="1"/>
  <c r="EJ25" i="5"/>
  <c r="EK25" i="5" s="1"/>
  <c r="EJ26" i="5"/>
  <c r="EK26" i="5" s="1"/>
  <c r="EJ27" i="5"/>
  <c r="EK27" i="5" s="1"/>
  <c r="EJ28" i="5"/>
  <c r="EK28" i="5" s="1"/>
  <c r="EJ29" i="5"/>
  <c r="EK29" i="5" s="1"/>
  <c r="EJ30" i="5"/>
  <c r="EK30" i="5" s="1"/>
  <c r="EJ31" i="5"/>
  <c r="EK31" i="5" s="1"/>
  <c r="EJ32" i="5"/>
  <c r="EK32" i="5" s="1"/>
  <c r="EJ33" i="5"/>
  <c r="EK33" i="5" s="1"/>
  <c r="EJ34" i="5"/>
  <c r="EK34" i="5" s="1"/>
  <c r="EJ35" i="5"/>
  <c r="EK35" i="5" s="1"/>
  <c r="EJ36" i="5"/>
  <c r="EK36" i="5" s="1"/>
  <c r="EJ37" i="5"/>
  <c r="EK37" i="5" s="1"/>
  <c r="EJ38" i="5"/>
  <c r="EK38" i="5" s="1"/>
  <c r="EJ39" i="5"/>
  <c r="EK39" i="5" s="1"/>
  <c r="EJ40" i="5"/>
  <c r="EK40" i="5" s="1"/>
  <c r="EJ41" i="5"/>
  <c r="EK41" i="5" s="1"/>
  <c r="EJ42" i="5"/>
  <c r="EK42" i="5" s="1"/>
  <c r="EJ43" i="5"/>
  <c r="EK43" i="5" s="1"/>
  <c r="EJ44" i="5"/>
  <c r="EK44" i="5" s="1"/>
  <c r="EJ45" i="5"/>
  <c r="EK45" i="5" s="1"/>
  <c r="EJ46" i="5"/>
  <c r="EK46" i="5" s="1"/>
  <c r="EJ47" i="5"/>
  <c r="EK47" i="5" s="1"/>
  <c r="EJ48" i="5"/>
  <c r="EK48" i="5" s="1"/>
  <c r="EJ49" i="5"/>
  <c r="EK49" i="5" s="1"/>
  <c r="EJ50" i="5"/>
  <c r="EK50" i="5" s="1"/>
  <c r="EJ51" i="5"/>
  <c r="EK51" i="5" s="1"/>
  <c r="EJ52" i="5"/>
  <c r="EK52" i="5" s="1"/>
  <c r="EJ53" i="5"/>
  <c r="EK53" i="5" s="1"/>
  <c r="EJ54" i="5"/>
  <c r="EK54" i="5" s="1"/>
  <c r="EJ55" i="5"/>
  <c r="EK55" i="5" s="1"/>
  <c r="EJ56" i="5"/>
  <c r="EK56" i="5" s="1"/>
  <c r="EJ57" i="5"/>
  <c r="EK57" i="5" s="1"/>
  <c r="EJ58" i="5"/>
  <c r="EK58" i="5" s="1"/>
  <c r="EJ59" i="5"/>
  <c r="EK59" i="5" s="1"/>
  <c r="EJ60" i="5"/>
  <c r="EK60" i="5" s="1"/>
  <c r="EJ61" i="5"/>
  <c r="EK61" i="5" s="1"/>
  <c r="EJ62" i="5"/>
  <c r="EK62" i="5" s="1"/>
  <c r="EJ63" i="5"/>
  <c r="EK63" i="5" s="1"/>
  <c r="EJ64" i="5"/>
  <c r="EK64" i="5" s="1"/>
  <c r="EJ65" i="5"/>
  <c r="EK65" i="5" s="1"/>
  <c r="EJ66" i="5"/>
  <c r="EK66" i="5" s="1"/>
  <c r="EJ67" i="5"/>
  <c r="EK67" i="5" s="1"/>
  <c r="EJ5" i="5"/>
  <c r="EK5" i="5" s="1"/>
  <c r="ES5" i="5"/>
  <c r="ET5" i="5" s="1"/>
  <c r="EA8" i="5"/>
  <c r="EB8" i="5" s="1"/>
  <c r="ES8" i="5"/>
  <c r="ET8" i="5" s="1"/>
  <c r="ES9" i="5"/>
  <c r="ET9" i="5" s="1"/>
  <c r="ES10" i="5"/>
  <c r="ET10" i="5" s="1"/>
  <c r="ES11" i="5"/>
  <c r="ET11" i="5" s="1"/>
  <c r="ES12" i="5"/>
  <c r="ET12" i="5" s="1"/>
  <c r="ES13" i="5"/>
  <c r="ET13" i="5" s="1"/>
  <c r="ES14" i="5"/>
  <c r="ET14" i="5" s="1"/>
  <c r="ES15" i="5"/>
  <c r="ET15" i="5" s="1"/>
  <c r="ES16" i="5"/>
  <c r="ET16" i="5" s="1"/>
  <c r="ES17" i="5"/>
  <c r="ET17" i="5" s="1"/>
  <c r="ES18" i="5"/>
  <c r="ET18" i="5" s="1"/>
  <c r="ES19" i="5"/>
  <c r="ET19" i="5" s="1"/>
  <c r="ES20" i="5"/>
  <c r="ET20" i="5" s="1"/>
  <c r="ES21" i="5"/>
  <c r="ET21" i="5" s="1"/>
  <c r="ES22" i="5"/>
  <c r="ET22" i="5" s="1"/>
  <c r="ES23" i="5"/>
  <c r="ET23" i="5" s="1"/>
  <c r="ES24" i="5"/>
  <c r="ET24" i="5" s="1"/>
  <c r="ES25" i="5"/>
  <c r="ET25" i="5" s="1"/>
  <c r="ES26" i="5"/>
  <c r="ET26" i="5" s="1"/>
  <c r="ES27" i="5"/>
  <c r="ET27" i="5" s="1"/>
  <c r="ES28" i="5"/>
  <c r="ET28" i="5" s="1"/>
  <c r="ES29" i="5"/>
  <c r="ET29" i="5" s="1"/>
  <c r="ES30" i="5"/>
  <c r="ET30" i="5" s="1"/>
  <c r="ES31" i="5"/>
  <c r="ET31" i="5" s="1"/>
  <c r="ES32" i="5"/>
  <c r="ET32" i="5" s="1"/>
  <c r="ES33" i="5"/>
  <c r="ET33" i="5" s="1"/>
  <c r="ES34" i="5"/>
  <c r="ET34" i="5" s="1"/>
  <c r="ES35" i="5"/>
  <c r="ET35" i="5" s="1"/>
  <c r="ES36" i="5"/>
  <c r="ET36" i="5" s="1"/>
  <c r="ES37" i="5"/>
  <c r="ET37" i="5" s="1"/>
  <c r="ES38" i="5"/>
  <c r="ET38" i="5" s="1"/>
  <c r="ES39" i="5"/>
  <c r="ET39" i="5" s="1"/>
  <c r="ES40" i="5"/>
  <c r="ET40" i="5" s="1"/>
  <c r="ES41" i="5"/>
  <c r="ET41" i="5" s="1"/>
  <c r="ES42" i="5"/>
  <c r="ET42" i="5" s="1"/>
  <c r="ES43" i="5"/>
  <c r="ET43" i="5" s="1"/>
  <c r="ES44" i="5"/>
  <c r="ET44" i="5" s="1"/>
  <c r="ES45" i="5"/>
  <c r="ET45" i="5" s="1"/>
  <c r="ES46" i="5"/>
  <c r="ET46" i="5" s="1"/>
  <c r="ES47" i="5"/>
  <c r="ET47" i="5" s="1"/>
  <c r="ES48" i="5"/>
  <c r="ET48" i="5" s="1"/>
  <c r="ES49" i="5"/>
  <c r="ET49" i="5" s="1"/>
  <c r="ES50" i="5"/>
  <c r="ET50" i="5" s="1"/>
  <c r="ES51" i="5"/>
  <c r="ET51" i="5" s="1"/>
  <c r="ES52" i="5"/>
  <c r="ET52" i="5" s="1"/>
  <c r="ES53" i="5"/>
  <c r="ET53" i="5" s="1"/>
  <c r="ES54" i="5"/>
  <c r="ET54" i="5" s="1"/>
  <c r="ES55" i="5"/>
  <c r="ET55" i="5" s="1"/>
  <c r="ES56" i="5"/>
  <c r="ET56" i="5" s="1"/>
  <c r="ES57" i="5"/>
  <c r="ET57" i="5" s="1"/>
  <c r="ES58" i="5"/>
  <c r="ET58" i="5" s="1"/>
  <c r="ES59" i="5"/>
  <c r="ET59" i="5" s="1"/>
  <c r="ES60" i="5"/>
  <c r="ET60" i="5" s="1"/>
  <c r="ES61" i="5"/>
  <c r="ET61" i="5" s="1"/>
  <c r="ES62" i="5"/>
  <c r="ET62" i="5" s="1"/>
  <c r="ES63" i="5"/>
  <c r="ET63" i="5" s="1"/>
  <c r="ES64" i="5"/>
  <c r="ET64" i="5" s="1"/>
  <c r="ES65" i="5"/>
  <c r="ET65" i="5" s="1"/>
  <c r="ES66" i="5"/>
  <c r="ET66" i="5" s="1"/>
  <c r="ES67" i="5"/>
  <c r="ET67" i="5" s="1"/>
  <c r="EA6" i="5"/>
  <c r="EB6" i="5" s="1"/>
  <c r="ES6" i="5"/>
  <c r="ET6" i="5" s="1"/>
  <c r="EA7" i="5"/>
  <c r="EB7" i="5" s="1"/>
  <c r="ES7" i="5"/>
  <c r="ET7" i="5" s="1"/>
  <c r="EA9" i="5"/>
  <c r="EB9" i="5" s="1"/>
  <c r="EA5" i="5"/>
  <c r="EB5" i="5" s="1"/>
  <c r="DR6" i="5"/>
  <c r="DS6" i="5" s="1"/>
  <c r="DR7" i="5"/>
  <c r="DS7" i="5" s="1"/>
  <c r="DR9" i="5"/>
  <c r="DS9" i="5" s="1"/>
  <c r="DR10" i="5"/>
  <c r="DS10" i="5" s="1"/>
  <c r="DR11" i="5"/>
  <c r="DS11" i="5" s="1"/>
  <c r="DR13" i="5"/>
  <c r="DS13" i="5" s="1"/>
  <c r="DR14" i="5"/>
  <c r="DS14" i="5" s="1"/>
  <c r="DR15" i="5"/>
  <c r="DS15" i="5" s="1"/>
  <c r="DR16" i="5"/>
  <c r="DS16" i="5" s="1"/>
  <c r="DR17" i="5"/>
  <c r="DS17" i="5" s="1"/>
  <c r="DR18" i="5"/>
  <c r="DS18" i="5" s="1"/>
  <c r="DR19" i="5"/>
  <c r="DS19" i="5" s="1"/>
  <c r="DR20" i="5"/>
  <c r="DS20" i="5" s="1"/>
  <c r="DR21" i="5"/>
  <c r="DS21" i="5" s="1"/>
  <c r="DR22" i="5"/>
  <c r="DS22" i="5" s="1"/>
  <c r="DR23" i="5"/>
  <c r="DS23" i="5" s="1"/>
  <c r="DR24" i="5"/>
  <c r="DS24" i="5" s="1"/>
  <c r="DR25" i="5"/>
  <c r="DS25" i="5" s="1"/>
  <c r="DR26" i="5"/>
  <c r="DS26" i="5" s="1"/>
  <c r="DR27" i="5"/>
  <c r="DS27" i="5" s="1"/>
  <c r="DR28" i="5"/>
  <c r="DS28" i="5" s="1"/>
  <c r="DR29" i="5"/>
  <c r="DS29" i="5" s="1"/>
  <c r="DR30" i="5"/>
  <c r="DS30" i="5" s="1"/>
  <c r="DR31" i="5"/>
  <c r="DS31" i="5" s="1"/>
  <c r="DR32" i="5"/>
  <c r="DS32" i="5" s="1"/>
  <c r="DR33" i="5"/>
  <c r="DS33" i="5" s="1"/>
  <c r="DR34" i="5"/>
  <c r="DS34" i="5" s="1"/>
  <c r="DR35" i="5"/>
  <c r="DS35" i="5" s="1"/>
  <c r="DR36" i="5"/>
  <c r="DS36" i="5" s="1"/>
  <c r="DR37" i="5"/>
  <c r="DS37" i="5" s="1"/>
  <c r="DR38" i="5"/>
  <c r="DS38" i="5" s="1"/>
  <c r="DR39" i="5"/>
  <c r="DS39" i="5" s="1"/>
  <c r="DR40" i="5"/>
  <c r="DS40" i="5" s="1"/>
  <c r="DR41" i="5"/>
  <c r="DS41" i="5" s="1"/>
  <c r="DR42" i="5"/>
  <c r="DS42" i="5" s="1"/>
  <c r="DR43" i="5"/>
  <c r="DS43" i="5" s="1"/>
  <c r="DR44" i="5"/>
  <c r="DS44" i="5" s="1"/>
  <c r="DR45" i="5"/>
  <c r="DS45" i="5" s="1"/>
  <c r="DR46" i="5"/>
  <c r="DS46" i="5" s="1"/>
  <c r="DR47" i="5"/>
  <c r="DS47" i="5" s="1"/>
  <c r="DR48" i="5"/>
  <c r="DS48" i="5" s="1"/>
  <c r="DR49" i="5"/>
  <c r="DS49" i="5" s="1"/>
  <c r="DR50" i="5"/>
  <c r="DS50" i="5" s="1"/>
  <c r="DR51" i="5"/>
  <c r="DS51" i="5" s="1"/>
  <c r="DR52" i="5"/>
  <c r="DS52" i="5" s="1"/>
  <c r="DR53" i="5"/>
  <c r="DS53" i="5" s="1"/>
  <c r="DR54" i="5"/>
  <c r="DS54" i="5" s="1"/>
  <c r="DR55" i="5"/>
  <c r="DS55" i="5" s="1"/>
  <c r="DR56" i="5"/>
  <c r="DS56" i="5" s="1"/>
  <c r="DR57" i="5"/>
  <c r="DS57" i="5" s="1"/>
  <c r="DR58" i="5"/>
  <c r="DS58" i="5" s="1"/>
  <c r="DR59" i="5"/>
  <c r="DS59" i="5" s="1"/>
  <c r="DR8" i="5"/>
  <c r="DS8" i="5" s="1"/>
  <c r="DR12" i="5"/>
  <c r="DS12" i="5" s="1"/>
  <c r="EA10" i="5"/>
  <c r="EB10" i="5" s="1"/>
  <c r="EA11" i="5"/>
  <c r="EB11" i="5" s="1"/>
  <c r="EA12" i="5"/>
  <c r="EB12" i="5" s="1"/>
  <c r="EA13" i="5"/>
  <c r="EB13" i="5" s="1"/>
  <c r="EA14" i="5"/>
  <c r="EB14" i="5" s="1"/>
  <c r="EA15" i="5"/>
  <c r="EB15" i="5" s="1"/>
  <c r="EA16" i="5"/>
  <c r="EB16" i="5" s="1"/>
  <c r="EA17" i="5"/>
  <c r="EB17" i="5" s="1"/>
  <c r="EA18" i="5"/>
  <c r="EB18" i="5" s="1"/>
  <c r="EA19" i="5"/>
  <c r="EB19" i="5" s="1"/>
  <c r="EA20" i="5"/>
  <c r="EB20" i="5" s="1"/>
  <c r="EA21" i="5"/>
  <c r="EB21" i="5" s="1"/>
  <c r="EA22" i="5"/>
  <c r="EB22" i="5" s="1"/>
  <c r="EA23" i="5"/>
  <c r="EB23" i="5" s="1"/>
  <c r="EA24" i="5"/>
  <c r="EB24" i="5" s="1"/>
  <c r="EA25" i="5"/>
  <c r="EB25" i="5" s="1"/>
  <c r="EA26" i="5"/>
  <c r="EB26" i="5" s="1"/>
  <c r="EA27" i="5"/>
  <c r="EB27" i="5" s="1"/>
  <c r="EA28" i="5"/>
  <c r="EB28" i="5" s="1"/>
  <c r="EA29" i="5"/>
  <c r="EB29" i="5" s="1"/>
  <c r="EA30" i="5"/>
  <c r="EB30" i="5" s="1"/>
  <c r="EA31" i="5"/>
  <c r="EB31" i="5" s="1"/>
  <c r="EA32" i="5"/>
  <c r="EB32" i="5" s="1"/>
  <c r="EA33" i="5"/>
  <c r="EB33" i="5" s="1"/>
  <c r="EA34" i="5"/>
  <c r="EB34" i="5" s="1"/>
  <c r="EA35" i="5"/>
  <c r="EB35" i="5" s="1"/>
  <c r="EA36" i="5"/>
  <c r="EB36" i="5" s="1"/>
  <c r="EA37" i="5"/>
  <c r="EB37" i="5" s="1"/>
  <c r="EA38" i="5"/>
  <c r="EB38" i="5" s="1"/>
  <c r="EA39" i="5"/>
  <c r="EB39" i="5" s="1"/>
  <c r="EA40" i="5"/>
  <c r="EB40" i="5" s="1"/>
  <c r="EA41" i="5"/>
  <c r="EB41" i="5" s="1"/>
  <c r="EA42" i="5"/>
  <c r="EB42" i="5" s="1"/>
  <c r="EA43" i="5"/>
  <c r="EB43" i="5" s="1"/>
  <c r="EA44" i="5"/>
  <c r="EB44" i="5" s="1"/>
  <c r="EA45" i="5"/>
  <c r="EB45" i="5" s="1"/>
  <c r="EA46" i="5"/>
  <c r="EB46" i="5" s="1"/>
  <c r="EA47" i="5"/>
  <c r="EB47" i="5" s="1"/>
  <c r="EA48" i="5"/>
  <c r="EB48" i="5" s="1"/>
  <c r="EA49" i="5"/>
  <c r="EB49" i="5" s="1"/>
  <c r="EA50" i="5"/>
  <c r="EB50" i="5" s="1"/>
  <c r="EA51" i="5"/>
  <c r="EB51" i="5" s="1"/>
  <c r="EA52" i="5"/>
  <c r="EB52" i="5" s="1"/>
  <c r="EA53" i="5"/>
  <c r="EB53" i="5" s="1"/>
  <c r="EA54" i="5"/>
  <c r="EB54" i="5" s="1"/>
  <c r="EA55" i="5"/>
  <c r="EB55" i="5" s="1"/>
  <c r="EA56" i="5"/>
  <c r="EB56" i="5" s="1"/>
  <c r="EA57" i="5"/>
  <c r="EB57" i="5" s="1"/>
  <c r="EA58" i="5"/>
  <c r="EB58" i="5" s="1"/>
  <c r="EA59" i="5"/>
  <c r="EB59" i="5" s="1"/>
  <c r="EA60" i="5"/>
  <c r="EB60" i="5" s="1"/>
  <c r="EA61" i="5"/>
  <c r="EB61" i="5" s="1"/>
  <c r="EA62" i="5"/>
  <c r="EB62" i="5" s="1"/>
  <c r="EA63" i="5"/>
  <c r="EB63" i="5" s="1"/>
  <c r="EA64" i="5"/>
  <c r="EB64" i="5" s="1"/>
  <c r="EA65" i="5"/>
  <c r="EB65" i="5" s="1"/>
  <c r="EA66" i="5"/>
  <c r="EB66" i="5" s="1"/>
  <c r="EA67" i="5"/>
  <c r="EB67" i="5" s="1"/>
  <c r="DR60" i="5"/>
  <c r="DS60" i="5" s="1"/>
  <c r="DR61" i="5"/>
  <c r="DS61" i="5" s="1"/>
  <c r="DR62" i="5"/>
  <c r="DS62" i="5" s="1"/>
  <c r="DR63" i="5"/>
  <c r="DS63" i="5" s="1"/>
  <c r="DR64" i="5"/>
  <c r="DS64" i="5" s="1"/>
  <c r="DR65" i="5"/>
  <c r="DS65" i="5" s="1"/>
  <c r="DR66" i="5"/>
  <c r="DS66" i="5" s="1"/>
  <c r="DS67" i="5"/>
  <c r="DS5" i="5"/>
  <c r="AA1" i="5"/>
  <c r="BF7" i="92"/>
  <c r="BE7" i="92"/>
  <c r="BF5" i="92"/>
  <c r="BE5" i="92"/>
  <c r="FF62" i="5"/>
  <c r="FG62" i="5" s="1"/>
  <c r="BP8" i="5"/>
  <c r="BP9" i="5" s="1"/>
  <c r="BP10" i="5" s="1"/>
  <c r="BP11" i="5" s="1"/>
  <c r="BP12" i="5" s="1"/>
  <c r="BP13" i="5" s="1"/>
  <c r="BP14" i="5" s="1"/>
  <c r="BP15" i="5" s="1"/>
  <c r="BP16" i="5" s="1"/>
  <c r="BP17" i="5" s="1"/>
  <c r="BP18" i="5" s="1"/>
  <c r="BP19" i="5" s="1"/>
  <c r="BP20" i="5" s="1"/>
  <c r="BP21" i="5" s="1"/>
  <c r="BP22" i="5" s="1"/>
  <c r="BP23" i="5" s="1"/>
  <c r="BP24" i="5" s="1"/>
  <c r="BP25" i="5" s="1"/>
  <c r="BP26" i="5" s="1"/>
  <c r="BP27" i="5" s="1"/>
  <c r="BP28" i="5" s="1"/>
  <c r="BP29" i="5" s="1"/>
  <c r="BP30" i="5" s="1"/>
  <c r="BP31" i="5" s="1"/>
  <c r="BP32" i="5" s="1"/>
  <c r="BP33" i="5" s="1"/>
  <c r="BP34" i="5" s="1"/>
  <c r="BP35" i="5" s="1"/>
  <c r="BP36" i="5" s="1"/>
  <c r="BP37" i="5" s="1"/>
  <c r="BP38" i="5" s="1"/>
  <c r="BP39" i="5" s="1"/>
  <c r="BP40" i="5" s="1"/>
  <c r="BP41" i="5" s="1"/>
  <c r="BP42" i="5" s="1"/>
  <c r="BP43" i="5" s="1"/>
  <c r="BP44" i="5" s="1"/>
  <c r="BP45" i="5" s="1"/>
  <c r="BP46" i="5" s="1"/>
  <c r="BP47" i="5" s="1"/>
  <c r="BP48" i="5" s="1"/>
  <c r="BP49" i="5" s="1"/>
  <c r="BP50" i="5" s="1"/>
  <c r="BP51" i="5" s="1"/>
  <c r="BP52" i="5" s="1"/>
  <c r="BP53" i="5" s="1"/>
  <c r="BP54" i="5" s="1"/>
  <c r="BP55" i="5" s="1"/>
  <c r="BP56" i="5" s="1"/>
  <c r="BP57" i="5" s="1"/>
  <c r="BP58" i="5" s="1"/>
  <c r="BP59" i="5" s="1"/>
  <c r="BP60" i="5" s="1"/>
  <c r="BP61" i="5" s="1"/>
  <c r="BP62" i="5" s="1"/>
  <c r="BP63" i="5" s="1"/>
  <c r="BP64" i="5" s="1"/>
  <c r="BP65" i="5" s="1"/>
  <c r="BP66" i="5" s="1"/>
  <c r="BP67" i="5" s="1"/>
  <c r="BH8" i="5"/>
  <c r="BH9" i="5" s="1"/>
  <c r="BH10" i="5" s="1"/>
  <c r="BH11" i="5" s="1"/>
  <c r="BH12" i="5" s="1"/>
  <c r="BH13" i="5" s="1"/>
  <c r="BH14" i="5" s="1"/>
  <c r="BH15" i="5" s="1"/>
  <c r="BH16" i="5" s="1"/>
  <c r="BH17" i="5" s="1"/>
  <c r="BH18" i="5" s="1"/>
  <c r="BH19" i="5" s="1"/>
  <c r="BH20" i="5" s="1"/>
  <c r="BH21" i="5" s="1"/>
  <c r="BH22" i="5" s="1"/>
  <c r="BH23" i="5" s="1"/>
  <c r="BH24" i="5" s="1"/>
  <c r="BH25" i="5" s="1"/>
  <c r="BH26" i="5" s="1"/>
  <c r="BH27" i="5" s="1"/>
  <c r="BH28" i="5" s="1"/>
  <c r="BH29" i="5" s="1"/>
  <c r="BH30" i="5" s="1"/>
  <c r="BH31" i="5" s="1"/>
  <c r="BH32" i="5" s="1"/>
  <c r="BH33" i="5" s="1"/>
  <c r="BH34" i="5" s="1"/>
  <c r="BH35" i="5" s="1"/>
  <c r="BH36" i="5" s="1"/>
  <c r="BH37" i="5" s="1"/>
  <c r="BH38" i="5" s="1"/>
  <c r="BH39" i="5" s="1"/>
  <c r="BH40" i="5" s="1"/>
  <c r="BH41" i="5" s="1"/>
  <c r="BH42" i="5" s="1"/>
  <c r="BH43" i="5" s="1"/>
  <c r="BH44" i="5" s="1"/>
  <c r="BH45" i="5" s="1"/>
  <c r="BH46" i="5" s="1"/>
  <c r="BH47" i="5" s="1"/>
  <c r="BH48" i="5" s="1"/>
  <c r="BH49" i="5" s="1"/>
  <c r="BH50" i="5" s="1"/>
  <c r="BH51" i="5" s="1"/>
  <c r="BH52" i="5" s="1"/>
  <c r="BH53" i="5" s="1"/>
  <c r="BH54" i="5" s="1"/>
  <c r="BH55" i="5" s="1"/>
  <c r="BH56" i="5" s="1"/>
  <c r="BH57" i="5" s="1"/>
  <c r="BH58" i="5" s="1"/>
  <c r="BH59" i="5" s="1"/>
  <c r="BH60" i="5" s="1"/>
  <c r="BH61" i="5" s="1"/>
  <c r="BH62" i="5" s="1"/>
  <c r="BH63" i="5" s="1"/>
  <c r="BH64" i="5" s="1"/>
  <c r="BH65" i="5" s="1"/>
  <c r="BH66" i="5" s="1"/>
  <c r="BH67" i="5" s="1"/>
  <c r="CU29" i="5"/>
  <c r="CU30" i="5" s="1"/>
  <c r="CU31" i="5" s="1"/>
  <c r="CR15" i="5"/>
  <c r="CR16" i="5" s="1"/>
  <c r="CR17" i="5" s="1"/>
  <c r="CI15" i="5"/>
  <c r="CI16" i="5" s="1"/>
  <c r="CI17" i="5" s="1"/>
  <c r="CI18" i="5" s="1"/>
  <c r="CI19" i="5" s="1"/>
  <c r="CI20" i="5" s="1"/>
  <c r="CI21" i="5" s="1"/>
  <c r="CI22" i="5" s="1"/>
  <c r="CI23" i="5" s="1"/>
  <c r="CI24" i="5" s="1"/>
  <c r="CI25" i="5" s="1"/>
  <c r="CI26" i="5" s="1"/>
  <c r="CI27" i="5" s="1"/>
  <c r="CI28" i="5" s="1"/>
  <c r="CI29" i="5" s="1"/>
  <c r="CI30" i="5" s="1"/>
  <c r="CI31" i="5" s="1"/>
  <c r="CI32" i="5" s="1"/>
  <c r="CI33" i="5" s="1"/>
  <c r="CI34" i="5" s="1"/>
  <c r="CI35" i="5" s="1"/>
  <c r="CI36" i="5" s="1"/>
  <c r="CI37" i="5" s="1"/>
  <c r="CI38" i="5" s="1"/>
  <c r="CI39" i="5" s="1"/>
  <c r="CI40" i="5" s="1"/>
  <c r="CI41" i="5" s="1"/>
  <c r="CI42" i="5" s="1"/>
  <c r="CI43" i="5" s="1"/>
  <c r="CI44" i="5" s="1"/>
  <c r="CI45" i="5" s="1"/>
  <c r="CI46" i="5" s="1"/>
  <c r="CI47" i="5" s="1"/>
  <c r="CI48" i="5" s="1"/>
  <c r="CI49" i="5" s="1"/>
  <c r="CI50" i="5" s="1"/>
  <c r="CI51" i="5" s="1"/>
  <c r="CI52" i="5" s="1"/>
  <c r="CI53" i="5" s="1"/>
  <c r="CI54" i="5" s="1"/>
  <c r="CI55" i="5" s="1"/>
  <c r="CI56" i="5" s="1"/>
  <c r="CI57" i="5" s="1"/>
  <c r="CI58" i="5" s="1"/>
  <c r="CI59" i="5" s="1"/>
  <c r="CI60" i="5" s="1"/>
  <c r="CI61" i="5" s="1"/>
  <c r="CI62" i="5" s="1"/>
  <c r="CI63" i="5" s="1"/>
  <c r="CI64" i="5" s="1"/>
  <c r="CI65" i="5" s="1"/>
  <c r="CI66" i="5" s="1"/>
  <c r="CI67" i="5" s="1"/>
  <c r="CL29" i="5"/>
  <c r="CL30" i="5" s="1"/>
  <c r="CL31" i="5" s="1"/>
  <c r="CL32" i="5" s="1"/>
  <c r="CL33" i="5" s="1"/>
  <c r="CL34" i="5" s="1"/>
  <c r="CL35" i="5" s="1"/>
  <c r="CL36" i="5" s="1"/>
  <c r="CL37" i="5" s="1"/>
  <c r="CL38" i="5" s="1"/>
  <c r="CL39" i="5" s="1"/>
  <c r="CL40" i="5" s="1"/>
  <c r="CL41" i="5" s="1"/>
  <c r="CL42" i="5" s="1"/>
  <c r="CL43" i="5" s="1"/>
  <c r="CL44" i="5" s="1"/>
  <c r="CL45" i="5" s="1"/>
  <c r="CL46" i="5" s="1"/>
  <c r="CL47" i="5" s="1"/>
  <c r="CL48" i="5" s="1"/>
  <c r="CL49" i="5" s="1"/>
  <c r="CL50" i="5" s="1"/>
  <c r="CL51" i="5" s="1"/>
  <c r="CL52" i="5" s="1"/>
  <c r="CL53" i="5" s="1"/>
  <c r="CL54" i="5" s="1"/>
  <c r="CL55" i="5" s="1"/>
  <c r="CL56" i="5" s="1"/>
  <c r="CL57" i="5" s="1"/>
  <c r="CL58" i="5" s="1"/>
  <c r="CL59" i="5" s="1"/>
  <c r="CL60" i="5" s="1"/>
  <c r="CL61" i="5" s="1"/>
  <c r="CL62" i="5" s="1"/>
  <c r="CL63" i="5" s="1"/>
  <c r="CL64" i="5" s="1"/>
  <c r="CL65" i="5" s="1"/>
  <c r="CL66" i="5" s="1"/>
  <c r="CL67" i="5" s="1"/>
  <c r="FQ62" i="5"/>
  <c r="BM62" i="5"/>
  <c r="BN62" i="5" s="1"/>
  <c r="BE65" i="5"/>
  <c r="BF65" i="5" s="1"/>
  <c r="FP62" i="5"/>
  <c r="FP63" i="5"/>
  <c r="BE62" i="5"/>
  <c r="BF62" i="5" s="1"/>
  <c r="FK62" i="5"/>
  <c r="FL62" i="5" s="1"/>
  <c r="FP64" i="5"/>
  <c r="AD63" i="5"/>
  <c r="FQ64" i="5"/>
  <c r="AD62" i="5"/>
  <c r="BM63" i="5"/>
  <c r="FF63" i="5"/>
  <c r="FG63" i="5" s="1"/>
  <c r="BE64" i="5"/>
  <c r="BF64" i="5" s="1"/>
  <c r="FF64" i="5"/>
  <c r="FG64" i="5" s="1"/>
  <c r="FP65" i="5"/>
  <c r="AD64" i="5"/>
  <c r="FK64" i="5"/>
  <c r="FL64" i="5" s="1"/>
  <c r="BM64" i="5"/>
  <c r="BN64" i="5" s="1"/>
  <c r="AD61" i="5"/>
  <c r="BE63" i="5"/>
  <c r="BF63" i="5" s="1"/>
  <c r="FK63" i="5"/>
  <c r="FL63" i="5" s="1"/>
  <c r="FQ63" i="5"/>
  <c r="FQ65" i="5"/>
  <c r="FF65" i="5"/>
  <c r="FG65" i="5" s="1"/>
  <c r="FP66" i="5"/>
  <c r="AD65" i="5"/>
  <c r="FK65" i="5"/>
  <c r="FL65" i="5" s="1"/>
  <c r="FQ66" i="5"/>
  <c r="BM65" i="5"/>
  <c r="BM66" i="5"/>
  <c r="BN66" i="5" s="1"/>
  <c r="FF66" i="5"/>
  <c r="FG66" i="5" s="1"/>
  <c r="BE66" i="5"/>
  <c r="BF66" i="5" s="1"/>
  <c r="FK66" i="5"/>
  <c r="FL66" i="5" s="1"/>
  <c r="AK7" i="92"/>
  <c r="AK5" i="92"/>
  <c r="FK1" i="5"/>
  <c r="DO2" i="92"/>
  <c r="DN2" i="92"/>
  <c r="DM2" i="92"/>
  <c r="DL2" i="92"/>
  <c r="DP2" i="92"/>
  <c r="DW2" i="92"/>
  <c r="DV2" i="92"/>
  <c r="DK2" i="92"/>
  <c r="DI2" i="92"/>
  <c r="DT2" i="92"/>
  <c r="D5" i="4"/>
  <c r="D6" i="4" s="1"/>
  <c r="D7" i="4" s="1"/>
  <c r="EL7" i="92"/>
  <c r="EK7" i="92"/>
  <c r="EH7" i="92"/>
  <c r="EG7" i="92"/>
  <c r="EF7" i="92"/>
  <c r="EE7" i="92"/>
  <c r="BA7" i="92"/>
  <c r="AZ7" i="92"/>
  <c r="AY7" i="92"/>
  <c r="AX7" i="92"/>
  <c r="AW7" i="92"/>
  <c r="AV7" i="92"/>
  <c r="AU7" i="92"/>
  <c r="AT7" i="92"/>
  <c r="AS7" i="92"/>
  <c r="AR7" i="92"/>
  <c r="AQ7" i="92"/>
  <c r="AO7" i="92"/>
  <c r="EQ7" i="92"/>
  <c r="EZ7" i="92" s="1"/>
  <c r="AM7" i="92"/>
  <c r="AL7" i="92"/>
  <c r="A7" i="92"/>
  <c r="EH5" i="92"/>
  <c r="BA5" i="92"/>
  <c r="AZ5" i="92"/>
  <c r="EQ5" i="92"/>
  <c r="EZ5" i="92" s="1"/>
  <c r="D1" i="92"/>
  <c r="BL7" i="92"/>
  <c r="BJ7" i="92"/>
  <c r="BL5" i="92"/>
  <c r="BK5" i="92"/>
  <c r="BJ5" i="92"/>
  <c r="BM4" i="5"/>
  <c r="BN4" i="5" s="1"/>
  <c r="BM6" i="5"/>
  <c r="BN6" i="5" s="1"/>
  <c r="BM7" i="5"/>
  <c r="BM8" i="5"/>
  <c r="BN8" i="5" s="1"/>
  <c r="BM10" i="5"/>
  <c r="BN10" i="5" s="1"/>
  <c r="BM11" i="5"/>
  <c r="BN11" i="5" s="1"/>
  <c r="BM12" i="5"/>
  <c r="BM13" i="5"/>
  <c r="BM14" i="5"/>
  <c r="BN14" i="5" s="1"/>
  <c r="BM15" i="5"/>
  <c r="BM16" i="5"/>
  <c r="BM17" i="5"/>
  <c r="BN17" i="5" s="1"/>
  <c r="BM18" i="5"/>
  <c r="BN18" i="5" s="1"/>
  <c r="BM19" i="5"/>
  <c r="BN19" i="5" s="1"/>
  <c r="BM20" i="5"/>
  <c r="BM21" i="5"/>
  <c r="BM22" i="5"/>
  <c r="BN22" i="5" s="1"/>
  <c r="BM23" i="5"/>
  <c r="BN23" i="5" s="1"/>
  <c r="BM24" i="5"/>
  <c r="BM25" i="5"/>
  <c r="BM26" i="5"/>
  <c r="BN26" i="5" s="1"/>
  <c r="BM27" i="5"/>
  <c r="BN27" i="5" s="1"/>
  <c r="BM28" i="5"/>
  <c r="BM29" i="5"/>
  <c r="BM30" i="5"/>
  <c r="BN30" i="5" s="1"/>
  <c r="BM31" i="5"/>
  <c r="BM32" i="5"/>
  <c r="BM33" i="5"/>
  <c r="BM34" i="5"/>
  <c r="BN34" i="5" s="1"/>
  <c r="BM35" i="5"/>
  <c r="BN35" i="5" s="1"/>
  <c r="BM36" i="5"/>
  <c r="BM37" i="5"/>
  <c r="BM38" i="5"/>
  <c r="BN38" i="5" s="1"/>
  <c r="BM39" i="5"/>
  <c r="BN39" i="5" s="1"/>
  <c r="BM40" i="5"/>
  <c r="BM41" i="5"/>
  <c r="BM42" i="5"/>
  <c r="BN42" i="5" s="1"/>
  <c r="BM43" i="5"/>
  <c r="BN43" i="5" s="1"/>
  <c r="BM44" i="5"/>
  <c r="BM45" i="5"/>
  <c r="BN45" i="5" s="1"/>
  <c r="BM47" i="5"/>
  <c r="BN47" i="5" s="1"/>
  <c r="BM48" i="5"/>
  <c r="BM49" i="5"/>
  <c r="BM50" i="5"/>
  <c r="BN50" i="5" s="1"/>
  <c r="BM51" i="5"/>
  <c r="BN51" i="5" s="1"/>
  <c r="BM52" i="5"/>
  <c r="BN52" i="5" s="1"/>
  <c r="BM53" i="5"/>
  <c r="BM54" i="5"/>
  <c r="BN54" i="5" s="1"/>
  <c r="BM55" i="5"/>
  <c r="BN55" i="5" s="1"/>
  <c r="BM56" i="5"/>
  <c r="BN56" i="5" s="1"/>
  <c r="BM57" i="5"/>
  <c r="BM58" i="5"/>
  <c r="BN58" i="5" s="1"/>
  <c r="BM59" i="5"/>
  <c r="BN59" i="5" s="1"/>
  <c r="BM46" i="5"/>
  <c r="BM67" i="5"/>
  <c r="BK7" i="92"/>
  <c r="BM60" i="5"/>
  <c r="BM61" i="5"/>
  <c r="BM5" i="5"/>
  <c r="BM9" i="5"/>
  <c r="FK55" i="5"/>
  <c r="FL55" i="5" s="1"/>
  <c r="BE55" i="5"/>
  <c r="BF55" i="5" s="1"/>
  <c r="FF55" i="5"/>
  <c r="FG55" i="5" s="1"/>
  <c r="M1" i="5"/>
  <c r="BE4" i="5"/>
  <c r="BF4" i="5" s="1"/>
  <c r="BE5" i="5"/>
  <c r="BE6" i="5"/>
  <c r="BE7" i="5"/>
  <c r="BF7" i="5" s="1"/>
  <c r="BE8" i="5"/>
  <c r="BE9" i="5"/>
  <c r="BE10" i="5"/>
  <c r="BF10" i="5" s="1"/>
  <c r="BE11" i="5"/>
  <c r="BE12" i="5"/>
  <c r="BF12" i="5" s="1"/>
  <c r="BE13" i="5"/>
  <c r="BE14" i="5"/>
  <c r="BE15" i="5"/>
  <c r="BF15" i="5" s="1"/>
  <c r="BE16" i="5"/>
  <c r="BE17" i="5"/>
  <c r="BE18" i="5"/>
  <c r="BE19" i="5"/>
  <c r="BF19" i="5" s="1"/>
  <c r="BE20" i="5"/>
  <c r="BE21" i="5"/>
  <c r="BE22" i="5"/>
  <c r="BE23" i="5"/>
  <c r="BF23" i="5" s="1"/>
  <c r="BE24" i="5"/>
  <c r="BE25" i="5"/>
  <c r="BE26" i="5"/>
  <c r="BF26" i="5" s="1"/>
  <c r="BE27" i="5"/>
  <c r="BF27" i="5" s="1"/>
  <c r="BE28" i="5"/>
  <c r="BE29" i="5"/>
  <c r="BE30" i="5"/>
  <c r="BE31" i="5"/>
  <c r="BF31" i="5" s="1"/>
  <c r="BE32" i="5"/>
  <c r="BE33" i="5"/>
  <c r="BE34" i="5"/>
  <c r="BE35" i="5"/>
  <c r="BF35" i="5" s="1"/>
  <c r="BE36" i="5"/>
  <c r="BE37" i="5"/>
  <c r="BE38" i="5"/>
  <c r="BE39" i="5"/>
  <c r="BF39" i="5" s="1"/>
  <c r="BE40" i="5"/>
  <c r="BE41" i="5"/>
  <c r="BE42" i="5"/>
  <c r="BE43" i="5"/>
  <c r="BF43" i="5" s="1"/>
  <c r="BE44" i="5"/>
  <c r="BE45" i="5"/>
  <c r="BE46" i="5"/>
  <c r="BE47" i="5"/>
  <c r="BF47" i="5" s="1"/>
  <c r="BE48" i="5"/>
  <c r="BE49" i="5"/>
  <c r="BE50" i="5"/>
  <c r="BE51" i="5"/>
  <c r="BF51" i="5" s="1"/>
  <c r="BE52" i="5"/>
  <c r="BE53" i="5"/>
  <c r="BE54" i="5"/>
  <c r="BE56" i="5"/>
  <c r="BF56" i="5" s="1"/>
  <c r="BE57" i="5"/>
  <c r="BE58" i="5"/>
  <c r="BE59" i="5"/>
  <c r="BF59" i="5" s="1"/>
  <c r="BE60" i="5"/>
  <c r="BF60" i="5" s="1"/>
  <c r="BE61" i="5"/>
  <c r="BE67" i="5"/>
  <c r="AD54" i="5"/>
  <c r="FP55" i="5"/>
  <c r="FQ55" i="5"/>
  <c r="FF56" i="5"/>
  <c r="FG56" i="5" s="1"/>
  <c r="FK56" i="5"/>
  <c r="FL56" i="5" s="1"/>
  <c r="FF57" i="5"/>
  <c r="FG57" i="5" s="1"/>
  <c r="FF58" i="5"/>
  <c r="FG58" i="5" s="1"/>
  <c r="FF60" i="5"/>
  <c r="FG60" i="5" s="1"/>
  <c r="FK60" i="5"/>
  <c r="FL60" i="5" s="1"/>
  <c r="FF67" i="5"/>
  <c r="FG67" i="5" s="1"/>
  <c r="FK67" i="5"/>
  <c r="FL67" i="5" s="1"/>
  <c r="FP54" i="5"/>
  <c r="FQ54" i="5"/>
  <c r="FQ56" i="5"/>
  <c r="FP57" i="5"/>
  <c r="FQ58" i="5"/>
  <c r="FF54" i="5"/>
  <c r="FG54" i="5" s="1"/>
  <c r="FK54" i="5"/>
  <c r="FL54" i="5" s="1"/>
  <c r="FK57" i="5"/>
  <c r="FL57" i="5" s="1"/>
  <c r="AD53" i="5"/>
  <c r="AD55" i="5"/>
  <c r="FP56" i="5"/>
  <c r="FQ57" i="5"/>
  <c r="FP59" i="5"/>
  <c r="FQ59" i="5"/>
  <c r="AD57" i="5"/>
  <c r="FK58" i="5"/>
  <c r="FL58" i="5" s="1"/>
  <c r="FF59" i="5"/>
  <c r="FG59" i="5" s="1"/>
  <c r="FP60" i="5"/>
  <c r="AD59" i="5"/>
  <c r="FK59" i="5"/>
  <c r="FL59" i="5" s="1"/>
  <c r="FQ60" i="5"/>
  <c r="AD58" i="5"/>
  <c r="FP58" i="5"/>
  <c r="AD56" i="5"/>
  <c r="FK61" i="5"/>
  <c r="FL61" i="5" s="1"/>
  <c r="AD60" i="5"/>
  <c r="FF61" i="5"/>
  <c r="FG61" i="5" s="1"/>
  <c r="FP61" i="5"/>
  <c r="FQ61" i="5"/>
  <c r="AD66" i="5"/>
  <c r="C23" i="4"/>
  <c r="D23" i="4" s="1"/>
  <c r="E23" i="4" s="1"/>
  <c r="F23" i="4" s="1"/>
  <c r="G23" i="4" s="1"/>
  <c r="H23" i="4" s="1"/>
  <c r="I23" i="4" s="1"/>
  <c r="J23" i="4" s="1"/>
  <c r="K23" i="4" s="1"/>
  <c r="L23" i="4" s="1"/>
  <c r="FP40" i="5"/>
  <c r="FQ40" i="5"/>
  <c r="FF40" i="5"/>
  <c r="FG40" i="5" s="1"/>
  <c r="FK40" i="5"/>
  <c r="FL40" i="5" s="1"/>
  <c r="FQ42" i="5"/>
  <c r="FP43" i="5"/>
  <c r="FQ43" i="5"/>
  <c r="FP44" i="5"/>
  <c r="FK43" i="5"/>
  <c r="FL43" i="5" s="1"/>
  <c r="FQ45" i="5"/>
  <c r="FP46" i="5"/>
  <c r="FK45" i="5"/>
  <c r="FL45" i="5" s="1"/>
  <c r="FK47" i="5"/>
  <c r="FL47" i="5" s="1"/>
  <c r="FF48" i="5"/>
  <c r="FG48" i="5" s="1"/>
  <c r="FQ49" i="5"/>
  <c r="FP50" i="5"/>
  <c r="AD49" i="5"/>
  <c r="FK49" i="5"/>
  <c r="FL49" i="5" s="1"/>
  <c r="FK53" i="5"/>
  <c r="FL53" i="5" s="1"/>
  <c r="FP41" i="5"/>
  <c r="FQ41" i="5"/>
  <c r="FF41" i="5"/>
  <c r="FG41" i="5" s="1"/>
  <c r="FP42" i="5"/>
  <c r="FK41" i="5"/>
  <c r="FL41" i="5" s="1"/>
  <c r="FF42" i="5"/>
  <c r="FG42" i="5" s="1"/>
  <c r="FK42" i="5"/>
  <c r="FL42" i="5" s="1"/>
  <c r="FF43" i="5"/>
  <c r="FG43" i="5" s="1"/>
  <c r="FQ44" i="5"/>
  <c r="FF44" i="5"/>
  <c r="FG44" i="5" s="1"/>
  <c r="FP45" i="5"/>
  <c r="FK44" i="5"/>
  <c r="FL44" i="5" s="1"/>
  <c r="FF45" i="5"/>
  <c r="FG45" i="5" s="1"/>
  <c r="FQ46" i="5"/>
  <c r="FF46" i="5"/>
  <c r="FG46" i="5" s="1"/>
  <c r="FP47" i="5"/>
  <c r="FK46" i="5"/>
  <c r="FL46" i="5" s="1"/>
  <c r="FQ47" i="5"/>
  <c r="FF47" i="5"/>
  <c r="FG47" i="5" s="1"/>
  <c r="FP48" i="5"/>
  <c r="AD47" i="5"/>
  <c r="FQ48" i="5"/>
  <c r="FP49" i="5"/>
  <c r="AD48" i="5"/>
  <c r="FK48" i="5"/>
  <c r="FL48" i="5" s="1"/>
  <c r="FF49" i="5"/>
  <c r="FG49" i="5" s="1"/>
  <c r="FQ50" i="5"/>
  <c r="FF50" i="5"/>
  <c r="FG50" i="5" s="1"/>
  <c r="FP51" i="5"/>
  <c r="AD50" i="5"/>
  <c r="FK50" i="5"/>
  <c r="FL50" i="5" s="1"/>
  <c r="FQ51" i="5"/>
  <c r="FF51" i="5"/>
  <c r="FG51" i="5" s="1"/>
  <c r="FP52" i="5"/>
  <c r="AD51" i="5"/>
  <c r="FK51" i="5"/>
  <c r="FL51" i="5" s="1"/>
  <c r="FQ52" i="5"/>
  <c r="FF52" i="5"/>
  <c r="FG52" i="5" s="1"/>
  <c r="FP53" i="5"/>
  <c r="AD52" i="5"/>
  <c r="FK52" i="5"/>
  <c r="FL52" i="5" s="1"/>
  <c r="FQ53" i="5"/>
  <c r="FF53" i="5"/>
  <c r="FG53" i="5" s="1"/>
  <c r="E3" i="5"/>
  <c r="D3" i="5"/>
  <c r="FQ1" i="5"/>
  <c r="FT1" i="5"/>
  <c r="FR1" i="5"/>
  <c r="A8" i="5"/>
  <c r="A32" i="5"/>
  <c r="FP12" i="5"/>
  <c r="FP16" i="5"/>
  <c r="FP19" i="5"/>
  <c r="FP23" i="5"/>
  <c r="FP35" i="5"/>
  <c r="FP6" i="5"/>
  <c r="FP7" i="5"/>
  <c r="FP8" i="5"/>
  <c r="FP9" i="5"/>
  <c r="FP10" i="5"/>
  <c r="FP11" i="5"/>
  <c r="FP13" i="5"/>
  <c r="FP14" i="5"/>
  <c r="FP15" i="5"/>
  <c r="FP17" i="5"/>
  <c r="FP18" i="5"/>
  <c r="FP20" i="5"/>
  <c r="FP21" i="5"/>
  <c r="FP22" i="5"/>
  <c r="FP24" i="5"/>
  <c r="FP25" i="5"/>
  <c r="FP26" i="5"/>
  <c r="FP27" i="5"/>
  <c r="FP28" i="5"/>
  <c r="FP29" i="5"/>
  <c r="FP30" i="5"/>
  <c r="FP31" i="5"/>
  <c r="FP32" i="5"/>
  <c r="FP33" i="5"/>
  <c r="FP34" i="5"/>
  <c r="FP36" i="5"/>
  <c r="FP37" i="5"/>
  <c r="FP38" i="5"/>
  <c r="FP39" i="5"/>
  <c r="FP69" i="5"/>
  <c r="Y5" i="92" s="1"/>
  <c r="FQ6" i="5"/>
  <c r="FQ8" i="5"/>
  <c r="FQ14" i="5"/>
  <c r="FQ20" i="5"/>
  <c r="FQ22" i="5"/>
  <c r="FQ25" i="5"/>
  <c r="FQ31" i="5"/>
  <c r="FQ39" i="5"/>
  <c r="FQ7" i="5"/>
  <c r="FQ9" i="5"/>
  <c r="FQ10" i="5"/>
  <c r="FQ11" i="5"/>
  <c r="FQ12" i="5"/>
  <c r="FQ13" i="5"/>
  <c r="FQ15" i="5"/>
  <c r="FQ16" i="5"/>
  <c r="FQ17" i="5"/>
  <c r="FQ18" i="5"/>
  <c r="FQ19" i="5"/>
  <c r="FQ21" i="5"/>
  <c r="FQ23" i="5"/>
  <c r="FQ24" i="5"/>
  <c r="FQ26" i="5"/>
  <c r="FQ27" i="5"/>
  <c r="FQ28" i="5"/>
  <c r="FQ29" i="5"/>
  <c r="FQ30" i="5"/>
  <c r="FQ32" i="5"/>
  <c r="FQ33" i="5"/>
  <c r="FQ34" i="5"/>
  <c r="FQ35" i="5"/>
  <c r="FQ36" i="5"/>
  <c r="FQ37" i="5"/>
  <c r="FQ38" i="5"/>
  <c r="FQ69" i="5"/>
  <c r="Y7" i="92" s="1"/>
  <c r="FF4" i="5"/>
  <c r="FG4" i="5" s="1"/>
  <c r="FK4" i="5"/>
  <c r="FL4" i="5" s="1"/>
  <c r="FF6" i="5"/>
  <c r="FG6" i="5" s="1"/>
  <c r="FK6" i="5"/>
  <c r="FL6" i="5" s="1"/>
  <c r="FF8" i="5"/>
  <c r="FG8" i="5" s="1"/>
  <c r="FK8" i="5"/>
  <c r="FL8" i="5" s="1"/>
  <c r="FF10" i="5"/>
  <c r="FG10" i="5" s="1"/>
  <c r="FK10" i="5"/>
  <c r="FL10" i="5" s="1"/>
  <c r="FF12" i="5"/>
  <c r="FG12" i="5" s="1"/>
  <c r="FK12" i="5"/>
  <c r="FL12" i="5" s="1"/>
  <c r="FF14" i="5"/>
  <c r="FG14" i="5" s="1"/>
  <c r="FK14" i="5"/>
  <c r="FL14" i="5" s="1"/>
  <c r="FF16" i="5"/>
  <c r="FG16" i="5" s="1"/>
  <c r="FK16" i="5"/>
  <c r="FL16" i="5" s="1"/>
  <c r="FF18" i="5"/>
  <c r="FG18" i="5" s="1"/>
  <c r="FK18" i="5"/>
  <c r="FL18" i="5" s="1"/>
  <c r="FF20" i="5"/>
  <c r="FG20" i="5" s="1"/>
  <c r="FK20" i="5"/>
  <c r="FL20" i="5" s="1"/>
  <c r="FF22" i="5"/>
  <c r="FG22" i="5" s="1"/>
  <c r="FK22" i="5"/>
  <c r="FL22" i="5" s="1"/>
  <c r="FF24" i="5"/>
  <c r="FG24" i="5" s="1"/>
  <c r="FK24" i="5"/>
  <c r="FL24" i="5" s="1"/>
  <c r="FF26" i="5"/>
  <c r="FG26" i="5" s="1"/>
  <c r="FK26" i="5"/>
  <c r="FL26" i="5" s="1"/>
  <c r="FF28" i="5"/>
  <c r="FG28" i="5" s="1"/>
  <c r="FK28" i="5"/>
  <c r="FL28" i="5" s="1"/>
  <c r="FF30" i="5"/>
  <c r="FG30" i="5" s="1"/>
  <c r="FK30" i="5"/>
  <c r="FL30" i="5" s="1"/>
  <c r="FF32" i="5"/>
  <c r="FG32" i="5" s="1"/>
  <c r="FK32" i="5"/>
  <c r="FL32" i="5" s="1"/>
  <c r="FF34" i="5"/>
  <c r="FG34" i="5" s="1"/>
  <c r="FK34" i="5"/>
  <c r="FL34" i="5" s="1"/>
  <c r="FF36" i="5"/>
  <c r="FG36" i="5" s="1"/>
  <c r="FK36" i="5"/>
  <c r="FL36" i="5" s="1"/>
  <c r="FF38" i="5"/>
  <c r="FG38" i="5" s="1"/>
  <c r="FK38" i="5"/>
  <c r="FL38" i="5" s="1"/>
  <c r="FF5" i="5"/>
  <c r="FG5" i="5" s="1"/>
  <c r="FK5" i="5"/>
  <c r="FL5" i="5" s="1"/>
  <c r="FF7" i="5"/>
  <c r="FG7" i="5" s="1"/>
  <c r="FK7" i="5"/>
  <c r="FL7" i="5" s="1"/>
  <c r="FF9" i="5"/>
  <c r="FG9" i="5" s="1"/>
  <c r="FK9" i="5"/>
  <c r="FL9" i="5" s="1"/>
  <c r="FF11" i="5"/>
  <c r="FG11" i="5" s="1"/>
  <c r="FK11" i="5"/>
  <c r="FL11" i="5" s="1"/>
  <c r="FF13" i="5"/>
  <c r="FG13" i="5" s="1"/>
  <c r="FK13" i="5"/>
  <c r="FL13" i="5" s="1"/>
  <c r="FF15" i="5"/>
  <c r="FG15" i="5" s="1"/>
  <c r="FK15" i="5"/>
  <c r="FL15" i="5" s="1"/>
  <c r="FF17" i="5"/>
  <c r="FG17" i="5" s="1"/>
  <c r="FK17" i="5"/>
  <c r="FL17" i="5" s="1"/>
  <c r="FF19" i="5"/>
  <c r="FG19" i="5" s="1"/>
  <c r="FK19" i="5"/>
  <c r="FL19" i="5" s="1"/>
  <c r="FF21" i="5"/>
  <c r="FG21" i="5" s="1"/>
  <c r="FK21" i="5"/>
  <c r="FL21" i="5" s="1"/>
  <c r="FF23" i="5"/>
  <c r="FG23" i="5" s="1"/>
  <c r="FK23" i="5"/>
  <c r="FL23" i="5" s="1"/>
  <c r="FF25" i="5"/>
  <c r="FG25" i="5" s="1"/>
  <c r="FK25" i="5"/>
  <c r="FL25" i="5" s="1"/>
  <c r="FF27" i="5"/>
  <c r="FG27" i="5" s="1"/>
  <c r="FK27" i="5"/>
  <c r="FL27" i="5" s="1"/>
  <c r="FF29" i="5"/>
  <c r="FG29" i="5" s="1"/>
  <c r="FK29" i="5"/>
  <c r="FL29" i="5" s="1"/>
  <c r="FF31" i="5"/>
  <c r="FG31" i="5" s="1"/>
  <c r="FK31" i="5"/>
  <c r="FL31" i="5" s="1"/>
  <c r="FF33" i="5"/>
  <c r="FG33" i="5" s="1"/>
  <c r="FK33" i="5"/>
  <c r="FL33" i="5" s="1"/>
  <c r="FF35" i="5"/>
  <c r="FG35" i="5" s="1"/>
  <c r="FK35" i="5"/>
  <c r="FL35" i="5" s="1"/>
  <c r="FF37" i="5"/>
  <c r="FG37" i="5" s="1"/>
  <c r="FK37" i="5"/>
  <c r="FL37" i="5" s="1"/>
  <c r="FF39" i="5"/>
  <c r="FG39" i="5" s="1"/>
  <c r="FK39" i="5"/>
  <c r="FL39" i="5" s="1"/>
  <c r="H27" i="4"/>
  <c r="S69" i="5"/>
  <c r="M69" i="5"/>
  <c r="J49" i="5"/>
  <c r="I49" i="5" s="1"/>
  <c r="A49" i="5"/>
  <c r="B49" i="5" s="1"/>
  <c r="J48" i="5"/>
  <c r="I48" i="5" s="1"/>
  <c r="A48" i="5"/>
  <c r="B48" i="5" s="1"/>
  <c r="J47" i="5"/>
  <c r="I47" i="5" s="1"/>
  <c r="A47" i="5"/>
  <c r="B47" i="5" s="1"/>
  <c r="J46" i="5"/>
  <c r="I46" i="5" s="1"/>
  <c r="A46" i="5"/>
  <c r="B46" i="5" s="1"/>
  <c r="J45" i="5"/>
  <c r="I45" i="5" s="1"/>
  <c r="A45" i="5"/>
  <c r="B45" i="5" s="1"/>
  <c r="I44" i="5"/>
  <c r="B44" i="5"/>
  <c r="I43" i="5"/>
  <c r="B43" i="5"/>
  <c r="I42" i="5"/>
  <c r="B42" i="5"/>
  <c r="I41" i="5"/>
  <c r="B41" i="5"/>
  <c r="I40" i="5"/>
  <c r="B40" i="5"/>
  <c r="I39" i="5"/>
  <c r="B39" i="5"/>
  <c r="J25" i="5"/>
  <c r="I25" i="5" s="1"/>
  <c r="A25" i="5"/>
  <c r="B25" i="5" s="1"/>
  <c r="J24" i="5"/>
  <c r="I24" i="5" s="1"/>
  <c r="A24" i="5"/>
  <c r="B24" i="5" s="1"/>
  <c r="J23" i="5"/>
  <c r="I23" i="5" s="1"/>
  <c r="A23" i="5"/>
  <c r="B23" i="5" s="1"/>
  <c r="J22" i="5"/>
  <c r="I22" i="5" s="1"/>
  <c r="A22" i="5"/>
  <c r="B22" i="5" s="1"/>
  <c r="J21" i="5"/>
  <c r="I21" i="5" s="1"/>
  <c r="A21" i="5"/>
  <c r="B21" i="5" s="1"/>
  <c r="I20" i="5"/>
  <c r="B20" i="5"/>
  <c r="I19" i="5"/>
  <c r="B19" i="5"/>
  <c r="I18" i="5"/>
  <c r="B18" i="5"/>
  <c r="I17" i="5"/>
  <c r="B17" i="5"/>
  <c r="I16" i="5"/>
  <c r="B16" i="5"/>
  <c r="I15" i="5"/>
  <c r="B15" i="5"/>
  <c r="AU5" i="5"/>
  <c r="AQ5" i="5"/>
  <c r="L5" i="5"/>
  <c r="L6" i="5" s="1"/>
  <c r="L7" i="5" s="1"/>
  <c r="L8" i="5" s="1"/>
  <c r="L9" i="5" s="1"/>
  <c r="L10" i="5" s="1"/>
  <c r="L11" i="5" s="1"/>
  <c r="L12" i="5" s="1"/>
  <c r="L13" i="5" s="1"/>
  <c r="L14" i="5" s="1"/>
  <c r="L15" i="5" s="1"/>
  <c r="L16" i="5" s="1"/>
  <c r="L17" i="5" s="1"/>
  <c r="L18" i="5" s="1"/>
  <c r="L19" i="5" s="1"/>
  <c r="L20" i="5" s="1"/>
  <c r="L21" i="5" s="1"/>
  <c r="L22" i="5" s="1"/>
  <c r="L23" i="5" s="1"/>
  <c r="L24" i="5" s="1"/>
  <c r="L25" i="5" s="1"/>
  <c r="L26" i="5" s="1"/>
  <c r="L27" i="5" s="1"/>
  <c r="L28" i="5" s="1"/>
  <c r="L29" i="5" s="1"/>
  <c r="L30" i="5" s="1"/>
  <c r="L31" i="5" s="1"/>
  <c r="L32" i="5" s="1"/>
  <c r="L33" i="5" s="1"/>
  <c r="L34" i="5" s="1"/>
  <c r="L35" i="5" s="1"/>
  <c r="L36" i="5" s="1"/>
  <c r="L37" i="5" s="1"/>
  <c r="L38" i="5" s="1"/>
  <c r="L39" i="5" s="1"/>
  <c r="L40" i="5" s="1"/>
  <c r="L41" i="5" s="1"/>
  <c r="L42" i="5" s="1"/>
  <c r="L43" i="5" s="1"/>
  <c r="L44" i="5" s="1"/>
  <c r="L45" i="5" s="1"/>
  <c r="L46" i="5" s="1"/>
  <c r="L47" i="5" s="1"/>
  <c r="L48" i="5" s="1"/>
  <c r="L49" i="5" s="1"/>
  <c r="L50" i="5" s="1"/>
  <c r="L51" i="5" s="1"/>
  <c r="L52" i="5" s="1"/>
  <c r="L53" i="5" s="1"/>
  <c r="L54" i="5" s="1"/>
  <c r="L55" i="5" s="1"/>
  <c r="L56" i="5" s="1"/>
  <c r="L57" i="5" s="1"/>
  <c r="L58" i="5" s="1"/>
  <c r="L59" i="5" s="1"/>
  <c r="L60" i="5" s="1"/>
  <c r="L61" i="5" s="1"/>
  <c r="L62" i="5" s="1"/>
  <c r="L63" i="5" s="1"/>
  <c r="L64" i="5" s="1"/>
  <c r="L65" i="5" s="1"/>
  <c r="L66" i="5" s="1"/>
  <c r="L67" i="5" s="1"/>
  <c r="L69" i="5" s="1"/>
  <c r="AC2" i="5"/>
  <c r="AB2" i="5"/>
  <c r="X2" i="5"/>
  <c r="W2" i="5"/>
  <c r="V2" i="5"/>
  <c r="U2" i="5"/>
  <c r="T2" i="5"/>
  <c r="R2" i="5"/>
  <c r="Q2" i="5"/>
  <c r="P2" i="5"/>
  <c r="O2" i="5"/>
  <c r="N2" i="5"/>
  <c r="G3" i="5"/>
  <c r="F3" i="5"/>
  <c r="S1" i="5"/>
  <c r="F5" i="5"/>
  <c r="D5" i="5" s="1"/>
  <c r="A9" i="92" l="1"/>
  <c r="A11" i="92" s="1"/>
  <c r="D11" i="5"/>
  <c r="CB28" i="5"/>
  <c r="CB29" i="5"/>
  <c r="BT22" i="5"/>
  <c r="CB22" i="5"/>
  <c r="BT67" i="5"/>
  <c r="CX5" i="92" s="1"/>
  <c r="BT23" i="5"/>
  <c r="FM41" i="99"/>
  <c r="CP59" i="99"/>
  <c r="CY53" i="99"/>
  <c r="CY9" i="99"/>
  <c r="CP19" i="99"/>
  <c r="FM20" i="99"/>
  <c r="CP52" i="99"/>
  <c r="AF5" i="99"/>
  <c r="AJ5" i="99"/>
  <c r="FO33" i="99"/>
  <c r="AR6" i="99"/>
  <c r="AQ7" i="99" s="1"/>
  <c r="CY67" i="99"/>
  <c r="CP61" i="99"/>
  <c r="FI61" i="99"/>
  <c r="FI55" i="99"/>
  <c r="FO42" i="99"/>
  <c r="FK44" i="99"/>
  <c r="CY34" i="99"/>
  <c r="BU35" i="99"/>
  <c r="BU27" i="99"/>
  <c r="BV48" i="99"/>
  <c r="FI26" i="99"/>
  <c r="BP24" i="99"/>
  <c r="BP19" i="99"/>
  <c r="BQ55" i="99"/>
  <c r="BR40" i="99"/>
  <c r="CP28" i="99"/>
  <c r="BW31" i="99"/>
  <c r="BT30" i="5"/>
  <c r="BT31" i="5"/>
  <c r="CB24" i="5"/>
  <c r="CZ67" i="5"/>
  <c r="AD17" i="5"/>
  <c r="AD26" i="5"/>
  <c r="AD45" i="5"/>
  <c r="AD31" i="5"/>
  <c r="AD24" i="5"/>
  <c r="AD11" i="5"/>
  <c r="AD29" i="5"/>
  <c r="AD25" i="5"/>
  <c r="AD19" i="5"/>
  <c r="AD13" i="5"/>
  <c r="AD40" i="5"/>
  <c r="AD43" i="5"/>
  <c r="AD42" i="5"/>
  <c r="AD39" i="5"/>
  <c r="AD8" i="5"/>
  <c r="AD9" i="5"/>
  <c r="AD16" i="5"/>
  <c r="AD22" i="5"/>
  <c r="AD41" i="5"/>
  <c r="AD7" i="5"/>
  <c r="AD37" i="5"/>
  <c r="AD28" i="5"/>
  <c r="AD20" i="5"/>
  <c r="AD21" i="5"/>
  <c r="AD12" i="5"/>
  <c r="AD36" i="5"/>
  <c r="AD32" i="5"/>
  <c r="AD10" i="5"/>
  <c r="AD33" i="5"/>
  <c r="AD38" i="5"/>
  <c r="AD30" i="5"/>
  <c r="AD14" i="5"/>
  <c r="AD46" i="5"/>
  <c r="AE66" i="5" s="1"/>
  <c r="AD35" i="5"/>
  <c r="AD18" i="5"/>
  <c r="AD27" i="5"/>
  <c r="AD23" i="5"/>
  <c r="AD15" i="5"/>
  <c r="AD44" i="5"/>
  <c r="AD4" i="5"/>
  <c r="AD6" i="5"/>
  <c r="AD34" i="5"/>
  <c r="AD5" i="5"/>
  <c r="BT24" i="5"/>
  <c r="BT26" i="5"/>
  <c r="AJ5" i="5"/>
  <c r="CZ37" i="99"/>
  <c r="DI62" i="5"/>
  <c r="AW62" i="99"/>
  <c r="BP22" i="99"/>
  <c r="CY25" i="99"/>
  <c r="DA25" i="99" s="1"/>
  <c r="BR28" i="99"/>
  <c r="BT37" i="99"/>
  <c r="BT38" i="99"/>
  <c r="CY35" i="99"/>
  <c r="BQ38" i="99"/>
  <c r="AU67" i="99"/>
  <c r="AU63" i="99"/>
  <c r="BB17" i="99"/>
  <c r="BO42" i="99"/>
  <c r="BO47" i="99"/>
  <c r="AU64" i="99"/>
  <c r="CY40" i="99"/>
  <c r="CZ40" i="99" s="1"/>
  <c r="BQ44" i="99"/>
  <c r="BQ57" i="99"/>
  <c r="BV44" i="99"/>
  <c r="DA29" i="99"/>
  <c r="BJ34" i="99"/>
  <c r="CP60" i="99"/>
  <c r="CY19" i="99"/>
  <c r="FO59" i="99"/>
  <c r="CY60" i="99"/>
  <c r="AV5" i="5"/>
  <c r="AU6" i="5" s="1"/>
  <c r="AV6" i="5" s="1"/>
  <c r="AC54" i="5"/>
  <c r="AC45" i="5"/>
  <c r="FU25" i="5"/>
  <c r="AC33" i="5"/>
  <c r="FW65" i="5"/>
  <c r="FW61" i="5"/>
  <c r="FW57" i="5"/>
  <c r="FK65" i="99"/>
  <c r="FI59" i="99"/>
  <c r="FO56" i="99"/>
  <c r="EX64" i="99"/>
  <c r="BU63" i="99"/>
  <c r="CY47" i="99"/>
  <c r="BR67" i="99"/>
  <c r="CT9" i="92" s="1"/>
  <c r="BR65" i="99"/>
  <c r="FK51" i="99"/>
  <c r="CP51" i="99"/>
  <c r="BU44" i="99"/>
  <c r="BO56" i="99"/>
  <c r="BP46" i="99"/>
  <c r="FO39" i="99"/>
  <c r="FM39" i="99"/>
  <c r="BU34" i="99"/>
  <c r="BP37" i="99"/>
  <c r="BV63" i="99"/>
  <c r="BP12" i="99"/>
  <c r="EX25" i="99"/>
  <c r="CP22" i="99"/>
  <c r="CQ22" i="99" s="1"/>
  <c r="BW26" i="99"/>
  <c r="BQ47" i="99"/>
  <c r="CY15" i="99"/>
  <c r="BP17" i="99"/>
  <c r="BR23" i="99"/>
  <c r="BW22" i="99"/>
  <c r="CY8" i="99"/>
  <c r="CZ8" i="99" s="1"/>
  <c r="CY6" i="99"/>
  <c r="FM66" i="99"/>
  <c r="BU65" i="99"/>
  <c r="FK59" i="99"/>
  <c r="BU56" i="99"/>
  <c r="CY49" i="99"/>
  <c r="DA49" i="99" s="1"/>
  <c r="BT59" i="99"/>
  <c r="BP53" i="99"/>
  <c r="BU53" i="99"/>
  <c r="FO41" i="99"/>
  <c r="BP42" i="99"/>
  <c r="FI46" i="99"/>
  <c r="BT45" i="99"/>
  <c r="FK34" i="99"/>
  <c r="BW45" i="99"/>
  <c r="BW38" i="99"/>
  <c r="BV52" i="99"/>
  <c r="BR37" i="99"/>
  <c r="BR33" i="99"/>
  <c r="BQ65" i="99"/>
  <c r="BP33" i="99"/>
  <c r="BP28" i="99"/>
  <c r="CY20" i="99"/>
  <c r="CZ20" i="99" s="1"/>
  <c r="FM16" i="99"/>
  <c r="BT25" i="99"/>
  <c r="CP13" i="99"/>
  <c r="BV43" i="99"/>
  <c r="CP23" i="99"/>
  <c r="FM17" i="99"/>
  <c r="BO25" i="99"/>
  <c r="BQ40" i="99"/>
  <c r="AW60" i="99"/>
  <c r="BW16" i="99"/>
  <c r="AC59" i="5"/>
  <c r="AC26" i="5"/>
  <c r="FW58" i="5"/>
  <c r="FW54" i="5"/>
  <c r="FW26" i="5"/>
  <c r="FW23" i="5"/>
  <c r="FW21" i="5"/>
  <c r="FW19" i="5"/>
  <c r="FW17" i="5"/>
  <c r="FW15" i="5"/>
  <c r="FW13" i="5"/>
  <c r="AC27" i="5"/>
  <c r="AC35" i="5"/>
  <c r="AC46" i="5"/>
  <c r="AC36" i="5"/>
  <c r="AC30" i="5"/>
  <c r="AC41" i="5"/>
  <c r="FY65" i="5"/>
  <c r="FY57" i="5"/>
  <c r="FY53" i="5"/>
  <c r="FY43" i="5"/>
  <c r="FY37" i="5"/>
  <c r="FY35" i="5"/>
  <c r="E5" i="5"/>
  <c r="D5" i="99"/>
  <c r="CQ9" i="99"/>
  <c r="DA54" i="99"/>
  <c r="FI66" i="99"/>
  <c r="BR17" i="99"/>
  <c r="CY10" i="99"/>
  <c r="CZ10" i="99" s="1"/>
  <c r="BQ39" i="99"/>
  <c r="BT20" i="99"/>
  <c r="BW25" i="99"/>
  <c r="CY14" i="99"/>
  <c r="BW29" i="99"/>
  <c r="BW34" i="99"/>
  <c r="BQ58" i="99"/>
  <c r="BO39" i="99"/>
  <c r="BR19" i="99"/>
  <c r="BB12" i="99"/>
  <c r="BV50" i="99"/>
  <c r="BQ54" i="99"/>
  <c r="BT40" i="99"/>
  <c r="CY32" i="99"/>
  <c r="BW47" i="99"/>
  <c r="BT30" i="99"/>
  <c r="BT34" i="99"/>
  <c r="BO40" i="99"/>
  <c r="BW48" i="99"/>
  <c r="CP50" i="99"/>
  <c r="CP65" i="99"/>
  <c r="CR65" i="99" s="1"/>
  <c r="BJ67" i="99"/>
  <c r="BB22" i="99"/>
  <c r="AS5" i="99"/>
  <c r="CY11" i="99"/>
  <c r="BJ19" i="99"/>
  <c r="CY42" i="99"/>
  <c r="DA42" i="99" s="1"/>
  <c r="CY45" i="99"/>
  <c r="BB61" i="99"/>
  <c r="CQ61" i="99" s="1"/>
  <c r="CZ21" i="99"/>
  <c r="CR59" i="99"/>
  <c r="CP57" i="99"/>
  <c r="CP58" i="99"/>
  <c r="BP58" i="99"/>
  <c r="BP56" i="99"/>
  <c r="CY41" i="99"/>
  <c r="CZ41" i="99" s="1"/>
  <c r="FK40" i="99"/>
  <c r="BV54" i="99"/>
  <c r="AR7" i="99"/>
  <c r="FM29" i="99"/>
  <c r="FM21" i="99"/>
  <c r="FM22" i="99"/>
  <c r="BP16" i="99"/>
  <c r="AW58" i="99"/>
  <c r="FK63" i="99"/>
  <c r="CP62" i="99"/>
  <c r="CQ62" i="99" s="1"/>
  <c r="FO61" i="99"/>
  <c r="FO58" i="99"/>
  <c r="FI58" i="99"/>
  <c r="FC58" i="99"/>
  <c r="BO66" i="99"/>
  <c r="FM55" i="99"/>
  <c r="CP54" i="99"/>
  <c r="CQ54" i="99" s="1"/>
  <c r="FM53" i="99"/>
  <c r="FO52" i="99"/>
  <c r="BP54" i="99"/>
  <c r="FO49" i="99"/>
  <c r="CP48" i="99"/>
  <c r="CQ48" i="99" s="1"/>
  <c r="FM48" i="99"/>
  <c r="BP51" i="99"/>
  <c r="FO44" i="99"/>
  <c r="BU46" i="99"/>
  <c r="FK42" i="99"/>
  <c r="FO40" i="99"/>
  <c r="FO46" i="99"/>
  <c r="FM45" i="99"/>
  <c r="FM43" i="99"/>
  <c r="FI42" i="99"/>
  <c r="BQ64" i="99"/>
  <c r="FK37" i="99"/>
  <c r="BU33" i="99"/>
  <c r="BR41" i="99"/>
  <c r="BU30" i="99"/>
  <c r="BP27" i="99"/>
  <c r="CQ26" i="99"/>
  <c r="FK25" i="99"/>
  <c r="FO22" i="99"/>
  <c r="FO19" i="99"/>
  <c r="CY30" i="99"/>
  <c r="CY28" i="99"/>
  <c r="CP24" i="99"/>
  <c r="BR32" i="99"/>
  <c r="FO17" i="99"/>
  <c r="BP15" i="99"/>
  <c r="BP11" i="99"/>
  <c r="CP8" i="99"/>
  <c r="CP5" i="99"/>
  <c r="CQ5" i="99" s="1"/>
  <c r="BO33" i="99"/>
  <c r="EX26" i="99"/>
  <c r="BP20" i="99"/>
  <c r="CP18" i="99"/>
  <c r="BQ49" i="99"/>
  <c r="FO15" i="99"/>
  <c r="CP15" i="99"/>
  <c r="CY13" i="99"/>
  <c r="BR20" i="99"/>
  <c r="AU59" i="99"/>
  <c r="AB50" i="99"/>
  <c r="AC29" i="5"/>
  <c r="AC32" i="5"/>
  <c r="AC51" i="5"/>
  <c r="AC52" i="5"/>
  <c r="AC40" i="5"/>
  <c r="AC53" i="5"/>
  <c r="AC58" i="5"/>
  <c r="FK54" i="99"/>
  <c r="FK55" i="99"/>
  <c r="FO55" i="99"/>
  <c r="FK49" i="99"/>
  <c r="BU51" i="99"/>
  <c r="BT56" i="99"/>
  <c r="BT49" i="99"/>
  <c r="BU49" i="99"/>
  <c r="BW55" i="99"/>
  <c r="BU45" i="99"/>
  <c r="BU43" i="99"/>
  <c r="BU42" i="99"/>
  <c r="FC45" i="99"/>
  <c r="BU40" i="99"/>
  <c r="BT44" i="99"/>
  <c r="BT41" i="99"/>
  <c r="BU29" i="99"/>
  <c r="BW35" i="99"/>
  <c r="BT33" i="99"/>
  <c r="BT32" i="99"/>
  <c r="BU23" i="99"/>
  <c r="BW30" i="99"/>
  <c r="BV51" i="99"/>
  <c r="BT43" i="99"/>
  <c r="BT29" i="99"/>
  <c r="AC33" i="99"/>
  <c r="BU18" i="99"/>
  <c r="BV46" i="99"/>
  <c r="BT23" i="99"/>
  <c r="BW19" i="99"/>
  <c r="BV39" i="99"/>
  <c r="BU26" i="99"/>
  <c r="BU21" i="99"/>
  <c r="FC24" i="99"/>
  <c r="BT27" i="99"/>
  <c r="BU19" i="99"/>
  <c r="BT26" i="99"/>
  <c r="FO13" i="99"/>
  <c r="BW24" i="99"/>
  <c r="BW23" i="99"/>
  <c r="BT21" i="99"/>
  <c r="BT19" i="99"/>
  <c r="BV38" i="99"/>
  <c r="CY31" i="99"/>
  <c r="FK30" i="99"/>
  <c r="FO26" i="99"/>
  <c r="CZ26" i="99"/>
  <c r="BO16" i="99"/>
  <c r="BR18" i="99"/>
  <c r="BU8" i="99"/>
  <c r="BU9" i="99"/>
  <c r="BO18" i="99"/>
  <c r="AU60" i="99"/>
  <c r="BV41" i="99"/>
  <c r="BU14" i="99"/>
  <c r="BO23" i="99"/>
  <c r="AU65" i="99"/>
  <c r="BJ12" i="99"/>
  <c r="BQ46" i="99"/>
  <c r="BU17" i="99"/>
  <c r="BR27" i="99"/>
  <c r="BQ50" i="99"/>
  <c r="CY18" i="99"/>
  <c r="BR30" i="99"/>
  <c r="BQ56" i="99"/>
  <c r="BO37" i="99"/>
  <c r="BQ37" i="99"/>
  <c r="AU61" i="99"/>
  <c r="BQ41" i="99"/>
  <c r="BT22" i="99"/>
  <c r="BQ45" i="99"/>
  <c r="CP12" i="99"/>
  <c r="BO30" i="99"/>
  <c r="BR36" i="99"/>
  <c r="BV58" i="99"/>
  <c r="BV61" i="99"/>
  <c r="BQ63" i="99"/>
  <c r="BW42" i="99"/>
  <c r="BO46" i="99"/>
  <c r="BW46" i="99"/>
  <c r="FO34" i="99"/>
  <c r="BU39" i="99"/>
  <c r="BT48" i="99"/>
  <c r="CY36" i="99"/>
  <c r="DA36" i="99" s="1"/>
  <c r="BO49" i="99"/>
  <c r="CP46" i="99"/>
  <c r="CQ46" i="99" s="1"/>
  <c r="BV55" i="99"/>
  <c r="BP29" i="99"/>
  <c r="BV59" i="99"/>
  <c r="BR39" i="99"/>
  <c r="BP32" i="99"/>
  <c r="BO41" i="99"/>
  <c r="BT42" i="99"/>
  <c r="BW43" i="99"/>
  <c r="BU36" i="99"/>
  <c r="BU37" i="99"/>
  <c r="BT55" i="99"/>
  <c r="BT54" i="99"/>
  <c r="BU50" i="99"/>
  <c r="BB48" i="99"/>
  <c r="BP55" i="99"/>
  <c r="BO19" i="99"/>
  <c r="BR34" i="99"/>
  <c r="BQ42" i="99"/>
  <c r="FO20" i="99"/>
  <c r="FK26" i="99"/>
  <c r="BW41" i="99"/>
  <c r="CP67" i="99"/>
  <c r="CR67" i="99" s="1"/>
  <c r="BB67" i="99"/>
  <c r="CP64" i="99"/>
  <c r="CQ64" i="99" s="1"/>
  <c r="BB63" i="99"/>
  <c r="BJ61" i="99"/>
  <c r="CY61" i="99"/>
  <c r="BP65" i="99"/>
  <c r="BU62" i="99"/>
  <c r="BU61" i="99"/>
  <c r="CY59" i="99"/>
  <c r="BJ59" i="99"/>
  <c r="BT63" i="99"/>
  <c r="BO67" i="99"/>
  <c r="CX9" i="92" s="1"/>
  <c r="BU54" i="99"/>
  <c r="BW64" i="99"/>
  <c r="CP55" i="99"/>
  <c r="CQ55" i="99" s="1"/>
  <c r="BB54" i="99"/>
  <c r="BO65" i="99"/>
  <c r="BO64" i="99"/>
  <c r="FK53" i="99"/>
  <c r="FK52" i="99"/>
  <c r="EX58" i="99"/>
  <c r="BO61" i="99"/>
  <c r="BO57" i="99"/>
  <c r="BO62" i="99"/>
  <c r="CY51" i="99"/>
  <c r="DA51" i="99" s="1"/>
  <c r="CY50" i="99"/>
  <c r="DA50" i="99" s="1"/>
  <c r="BT60" i="99"/>
  <c r="BT58" i="99"/>
  <c r="BP52" i="99"/>
  <c r="BR61" i="99"/>
  <c r="BW58" i="99"/>
  <c r="CY46" i="99"/>
  <c r="BJ46" i="99"/>
  <c r="BR56" i="99"/>
  <c r="BR55" i="99"/>
  <c r="BR54" i="99"/>
  <c r="BP45" i="99"/>
  <c r="BR52" i="99"/>
  <c r="BP43" i="99"/>
  <c r="FC46" i="99"/>
  <c r="BW52" i="99"/>
  <c r="BT52" i="99"/>
  <c r="FK46" i="99"/>
  <c r="BU48" i="99"/>
  <c r="BW57" i="99"/>
  <c r="FI44" i="99"/>
  <c r="BO55" i="99"/>
  <c r="BW53" i="99"/>
  <c r="FI40" i="99"/>
  <c r="BW51" i="99"/>
  <c r="CP39" i="99"/>
  <c r="BB39" i="99"/>
  <c r="BP41" i="99"/>
  <c r="BP40" i="99"/>
  <c r="BP39" i="99"/>
  <c r="BR50" i="99"/>
  <c r="BW50" i="99"/>
  <c r="BO44" i="99"/>
  <c r="BU41" i="99"/>
  <c r="BT46" i="99"/>
  <c r="BR44" i="99"/>
  <c r="BP35" i="99"/>
  <c r="BP34" i="99"/>
  <c r="BU31" i="99"/>
  <c r="BU32" i="99"/>
  <c r="BT36" i="99"/>
  <c r="BW33" i="99"/>
  <c r="BU24" i="99"/>
  <c r="BT31" i="99"/>
  <c r="BU22" i="99"/>
  <c r="BW36" i="99"/>
  <c r="BB21" i="99"/>
  <c r="CP21" i="99"/>
  <c r="BR31" i="99"/>
  <c r="BU20" i="99"/>
  <c r="BW28" i="99"/>
  <c r="BV45" i="99"/>
  <c r="BT24" i="99"/>
  <c r="BR24" i="99"/>
  <c r="BU13" i="99"/>
  <c r="BW21" i="99"/>
  <c r="BW20" i="99"/>
  <c r="BU12" i="99"/>
  <c r="BR16" i="99"/>
  <c r="BP8" i="99"/>
  <c r="BP10" i="99"/>
  <c r="BQ51" i="99"/>
  <c r="BQ52" i="99"/>
  <c r="BO36" i="99"/>
  <c r="CY24" i="99"/>
  <c r="BJ23" i="99"/>
  <c r="BV56" i="99"/>
  <c r="BT35" i="99"/>
  <c r="BJ22" i="99"/>
  <c r="CY22" i="99"/>
  <c r="CZ22" i="99" s="1"/>
  <c r="BR26" i="99"/>
  <c r="BR29" i="99"/>
  <c r="BR25" i="99"/>
  <c r="BP18" i="99"/>
  <c r="BP21" i="99"/>
  <c r="BO28" i="99"/>
  <c r="AU66" i="99"/>
  <c r="AU62" i="99"/>
  <c r="BO27" i="99"/>
  <c r="BQ43" i="99"/>
  <c r="BQ48" i="99"/>
  <c r="BO22" i="99"/>
  <c r="EX24" i="99"/>
  <c r="CY16" i="99"/>
  <c r="BJ16" i="99"/>
  <c r="BT28" i="99"/>
  <c r="BV49" i="99"/>
  <c r="BW27" i="99"/>
  <c r="BU15" i="99"/>
  <c r="BP14" i="99"/>
  <c r="BR22" i="99"/>
  <c r="BR21" i="99"/>
  <c r="BV42" i="99"/>
  <c r="AW61" i="99"/>
  <c r="BV40" i="99"/>
  <c r="AU58" i="99"/>
  <c r="AW59" i="99"/>
  <c r="BT17" i="99"/>
  <c r="BF16" i="99"/>
  <c r="BF17" i="99" s="1"/>
  <c r="DA53" i="99"/>
  <c r="FI54" i="99"/>
  <c r="BJ52" i="99"/>
  <c r="CZ52" i="99" s="1"/>
  <c r="CY52" i="99"/>
  <c r="DA52" i="99" s="1"/>
  <c r="BQ62" i="99"/>
  <c r="BQ60" i="99"/>
  <c r="BR46" i="99"/>
  <c r="CP29" i="99"/>
  <c r="BB29" i="99"/>
  <c r="BJ27" i="99"/>
  <c r="CY27" i="99"/>
  <c r="BT39" i="99"/>
  <c r="BP30" i="99"/>
  <c r="BP26" i="99"/>
  <c r="FO25" i="99"/>
  <c r="FM62" i="99"/>
  <c r="FI50" i="99"/>
  <c r="FI49" i="99"/>
  <c r="FI53" i="99"/>
  <c r="FI47" i="99"/>
  <c r="FM50" i="99"/>
  <c r="FI31" i="99"/>
  <c r="FI29" i="99"/>
  <c r="CP27" i="99"/>
  <c r="CR27" i="99" s="1"/>
  <c r="BP23" i="99"/>
  <c r="BP9" i="99"/>
  <c r="CR55" i="99"/>
  <c r="AC35" i="99"/>
  <c r="AB55" i="99"/>
  <c r="AC51" i="99"/>
  <c r="AC47" i="5"/>
  <c r="AC37" i="5"/>
  <c r="AC25" i="5"/>
  <c r="AC56" i="5"/>
  <c r="FK66" i="99"/>
  <c r="BU67" i="99"/>
  <c r="CZ11" i="92" s="1"/>
  <c r="FI62" i="99"/>
  <c r="FI63" i="99"/>
  <c r="FK61" i="99"/>
  <c r="CY58" i="99"/>
  <c r="BJ57" i="99"/>
  <c r="BU59" i="99"/>
  <c r="BT57" i="99"/>
  <c r="BU57" i="99"/>
  <c r="BU55" i="99"/>
  <c r="BU58" i="99"/>
  <c r="BR64" i="99"/>
  <c r="FI51" i="99"/>
  <c r="BO63" i="99"/>
  <c r="BW59" i="99"/>
  <c r="BU52" i="99"/>
  <c r="BP48" i="99"/>
  <c r="BT53" i="99"/>
  <c r="BW54" i="99"/>
  <c r="BR53" i="99"/>
  <c r="BR51" i="99"/>
  <c r="BP44" i="99"/>
  <c r="BT51" i="99"/>
  <c r="BP50" i="99"/>
  <c r="BW56" i="99"/>
  <c r="BU47" i="99"/>
  <c r="BO54" i="99"/>
  <c r="BR48" i="99"/>
  <c r="BR49" i="99"/>
  <c r="BW49" i="99"/>
  <c r="BR45" i="99"/>
  <c r="BP36" i="99"/>
  <c r="BR43" i="99"/>
  <c r="BV62" i="99"/>
  <c r="BW40" i="99"/>
  <c r="BW39" i="99"/>
  <c r="BW37" i="99"/>
  <c r="BV57" i="99"/>
  <c r="BU25" i="99"/>
  <c r="BW32" i="99"/>
  <c r="BV53" i="99"/>
  <c r="BT47" i="99"/>
  <c r="BT50" i="99"/>
  <c r="BO45" i="99"/>
  <c r="BO43" i="99"/>
  <c r="BQ59" i="99"/>
  <c r="FI36" i="99"/>
  <c r="FI35" i="99"/>
  <c r="BR47" i="99"/>
  <c r="FI34" i="99"/>
  <c r="BP38" i="99"/>
  <c r="BV64" i="99"/>
  <c r="FO30" i="99"/>
  <c r="BR42" i="99"/>
  <c r="BV60" i="99"/>
  <c r="BR35" i="99"/>
  <c r="BR38" i="99"/>
  <c r="BU28" i="99"/>
  <c r="CP25" i="99"/>
  <c r="CR25" i="99" s="1"/>
  <c r="BB24" i="99"/>
  <c r="CR24" i="99" s="1"/>
  <c r="BO34" i="99"/>
  <c r="BO31" i="99"/>
  <c r="DA24" i="99"/>
  <c r="BV37" i="99"/>
  <c r="DA18" i="99"/>
  <c r="CQ23" i="99"/>
  <c r="CR12" i="99"/>
  <c r="CQ28" i="99"/>
  <c r="CR33" i="99"/>
  <c r="CZ35" i="99"/>
  <c r="CZ50" i="99"/>
  <c r="CZ47" i="99"/>
  <c r="DA67" i="99"/>
  <c r="CQ16" i="99"/>
  <c r="FO64" i="99"/>
  <c r="FO27" i="99"/>
  <c r="BT16" i="99"/>
  <c r="CY5" i="99"/>
  <c r="DA5" i="99" s="1"/>
  <c r="AB57" i="99"/>
  <c r="AB53" i="99"/>
  <c r="AB51" i="99"/>
  <c r="AB34" i="99"/>
  <c r="AC42" i="99"/>
  <c r="AC34" i="5"/>
  <c r="AC31" i="5"/>
  <c r="AC38" i="5"/>
  <c r="AC28" i="5"/>
  <c r="AC39" i="5"/>
  <c r="AC48" i="5"/>
  <c r="AC44" i="5"/>
  <c r="AC49" i="5"/>
  <c r="AC43" i="5"/>
  <c r="AC42" i="5"/>
  <c r="AC50" i="5"/>
  <c r="AC57" i="5"/>
  <c r="AC55" i="5"/>
  <c r="AB35" i="99"/>
  <c r="AC48" i="99"/>
  <c r="DA46" i="99"/>
  <c r="FC48" i="99"/>
  <c r="FO43" i="99"/>
  <c r="FO32" i="99"/>
  <c r="FO14" i="99"/>
  <c r="DA60" i="99"/>
  <c r="CZ23" i="99"/>
  <c r="DA11" i="99"/>
  <c r="DA28" i="99"/>
  <c r="DA31" i="99"/>
  <c r="FO66" i="99"/>
  <c r="CY66" i="99"/>
  <c r="BU66" i="99"/>
  <c r="FO63" i="99"/>
  <c r="CY63" i="99"/>
  <c r="CZ63" i="99" s="1"/>
  <c r="BT64" i="99"/>
  <c r="BU64" i="99"/>
  <c r="FK57" i="99"/>
  <c r="FC59" i="99"/>
  <c r="FK50" i="99"/>
  <c r="FO12" i="99"/>
  <c r="CR46" i="99"/>
  <c r="CR26" i="99"/>
  <c r="CR51" i="99"/>
  <c r="CR62" i="99"/>
  <c r="CP66" i="99"/>
  <c r="CR66" i="99" s="1"/>
  <c r="BQ66" i="99"/>
  <c r="BP64" i="99"/>
  <c r="FI60" i="99"/>
  <c r="FM61" i="99"/>
  <c r="BP63" i="99"/>
  <c r="BP61" i="99"/>
  <c r="FI41" i="99"/>
  <c r="FM26" i="99"/>
  <c r="AB44" i="99"/>
  <c r="AB39" i="99"/>
  <c r="AC53" i="99"/>
  <c r="AC44" i="99"/>
  <c r="AC36" i="99"/>
  <c r="AB33" i="99"/>
  <c r="AC50" i="99"/>
  <c r="FU56" i="5"/>
  <c r="FU34" i="5"/>
  <c r="CZ44" i="99"/>
  <c r="CJ29" i="99"/>
  <c r="CJ30" i="99" s="1"/>
  <c r="CJ31" i="99" s="1"/>
  <c r="CJ32" i="99" s="1"/>
  <c r="CR60" i="99"/>
  <c r="DA6" i="99"/>
  <c r="DA9" i="99"/>
  <c r="CZ14" i="99"/>
  <c r="CQ18" i="99"/>
  <c r="CR8" i="99"/>
  <c r="CR9" i="99"/>
  <c r="AW64" i="99"/>
  <c r="CQ12" i="99"/>
  <c r="CQ19" i="99"/>
  <c r="DA20" i="99"/>
  <c r="DA32" i="99"/>
  <c r="BQ67" i="99"/>
  <c r="CR9" i="92" s="1"/>
  <c r="DA34" i="99"/>
  <c r="BR57" i="99"/>
  <c r="BT62" i="99"/>
  <c r="CQ50" i="99"/>
  <c r="BR63" i="99"/>
  <c r="BP57" i="99"/>
  <c r="FC61" i="99"/>
  <c r="BP59" i="99"/>
  <c r="BT61" i="99"/>
  <c r="CQ51" i="99"/>
  <c r="CR53" i="99"/>
  <c r="BP60" i="99"/>
  <c r="BP62" i="99"/>
  <c r="BU60" i="99"/>
  <c r="CY62" i="99"/>
  <c r="DA62" i="99" s="1"/>
  <c r="BP67" i="99"/>
  <c r="CZ9" i="92" s="1"/>
  <c r="BP66" i="99"/>
  <c r="CP63" i="99"/>
  <c r="CQ63" i="99" s="1"/>
  <c r="BJ65" i="99"/>
  <c r="CZ65" i="99" s="1"/>
  <c r="AW63" i="99"/>
  <c r="CZ16" i="99"/>
  <c r="CR22" i="99"/>
  <c r="CZ11" i="99"/>
  <c r="CQ24" i="99"/>
  <c r="CR39" i="99"/>
  <c r="BR58" i="99"/>
  <c r="BR59" i="99"/>
  <c r="BW60" i="99"/>
  <c r="BW62" i="99"/>
  <c r="BW66" i="99"/>
  <c r="BR60" i="99"/>
  <c r="BW61" i="99"/>
  <c r="BR62" i="99"/>
  <c r="BW63" i="99"/>
  <c r="CQ52" i="99"/>
  <c r="BW65" i="99"/>
  <c r="BR66" i="99"/>
  <c r="BW67" i="99"/>
  <c r="CT11" i="92" s="1"/>
  <c r="CQ57" i="99"/>
  <c r="FM67" i="99"/>
  <c r="FM65" i="99"/>
  <c r="BO26" i="99"/>
  <c r="BO24" i="99"/>
  <c r="AB42" i="99"/>
  <c r="AC34" i="99"/>
  <c r="AC59" i="99"/>
  <c r="AB59" i="99"/>
  <c r="AC39" i="99"/>
  <c r="AC38" i="99"/>
  <c r="AB43" i="99"/>
  <c r="AC43" i="99"/>
  <c r="AB36" i="99"/>
  <c r="AB38" i="99"/>
  <c r="AB48" i="99"/>
  <c r="AB52" i="99"/>
  <c r="AC57" i="99"/>
  <c r="AC55" i="99"/>
  <c r="FS29" i="5"/>
  <c r="DI67" i="5"/>
  <c r="FS25" i="5"/>
  <c r="CZ6" i="99"/>
  <c r="CZ48" i="99"/>
  <c r="CZ29" i="99"/>
  <c r="DA35" i="99"/>
  <c r="CZ43" i="99"/>
  <c r="CZ67" i="99"/>
  <c r="DA23" i="99"/>
  <c r="CZ5" i="99"/>
  <c r="DA7" i="99"/>
  <c r="CZ30" i="99"/>
  <c r="DA39" i="99"/>
  <c r="DA41" i="99"/>
  <c r="FK47" i="99"/>
  <c r="FO31" i="99"/>
  <c r="FK29" i="99"/>
  <c r="FK28" i="99"/>
  <c r="FO38" i="99"/>
  <c r="FO16" i="99"/>
  <c r="FO23" i="99"/>
  <c r="FC53" i="99"/>
  <c r="FD61" i="99"/>
  <c r="FC51" i="99"/>
  <c r="FD53" i="99"/>
  <c r="FE55" i="99"/>
  <c r="FE56" i="99"/>
  <c r="FD55" i="99"/>
  <c r="CR61" i="99"/>
  <c r="CR57" i="99"/>
  <c r="CQ67" i="99"/>
  <c r="CZ9" i="99"/>
  <c r="CR52" i="99"/>
  <c r="CR23" i="99"/>
  <c r="CR18" i="99"/>
  <c r="CZ18" i="99"/>
  <c r="CZ15" i="99"/>
  <c r="CZ32" i="99"/>
  <c r="DA57" i="99"/>
  <c r="FK56" i="99"/>
  <c r="FI52" i="99"/>
  <c r="FM49" i="99"/>
  <c r="FI39" i="99"/>
  <c r="FK36" i="99"/>
  <c r="FM30" i="99"/>
  <c r="FD48" i="99"/>
  <c r="CR56" i="99"/>
  <c r="CQ56" i="99"/>
  <c r="CQ8" i="99"/>
  <c r="CQ60" i="99"/>
  <c r="CQ66" i="99"/>
  <c r="CR16" i="99"/>
  <c r="FM58" i="99"/>
  <c r="FM51" i="99"/>
  <c r="FM38" i="99"/>
  <c r="FM32" i="99"/>
  <c r="FI32" i="99"/>
  <c r="FM28" i="99"/>
  <c r="FI28" i="99"/>
  <c r="FI27" i="99"/>
  <c r="DI60" i="5"/>
  <c r="BN60" i="5"/>
  <c r="DI34" i="5"/>
  <c r="DJ34" i="5" s="1"/>
  <c r="FU58" i="5"/>
  <c r="AB54" i="99"/>
  <c r="AB58" i="99"/>
  <c r="BF11" i="5"/>
  <c r="CZ12" i="5"/>
  <c r="DA12" i="5" s="1"/>
  <c r="AC30" i="99"/>
  <c r="AB27" i="99"/>
  <c r="EC25" i="5"/>
  <c r="EC26" i="5" s="1"/>
  <c r="BT32" i="5"/>
  <c r="FU52" i="5"/>
  <c r="FU32" i="5"/>
  <c r="CB45" i="5"/>
  <c r="CB46" i="5"/>
  <c r="CB48" i="5"/>
  <c r="CB50" i="5"/>
  <c r="CB62" i="5"/>
  <c r="CB63" i="5"/>
  <c r="CB65" i="5"/>
  <c r="FY24" i="5"/>
  <c r="CZ27" i="5"/>
  <c r="BT52" i="5"/>
  <c r="FW62" i="5"/>
  <c r="EQ2" i="5"/>
  <c r="EH2" i="5"/>
  <c r="D8" i="4"/>
  <c r="DY2" i="5"/>
  <c r="EZ2" i="5"/>
  <c r="DS2" i="92"/>
  <c r="DH2" i="92"/>
  <c r="CZ40" i="5"/>
  <c r="CZ32" i="5"/>
  <c r="CZ16" i="5"/>
  <c r="DB16" i="5" s="1"/>
  <c r="BN33" i="5"/>
  <c r="DI51" i="5"/>
  <c r="DK51" i="5" s="1"/>
  <c r="FU39" i="5"/>
  <c r="FU35" i="5"/>
  <c r="AR5" i="5"/>
  <c r="AS5" i="5" s="1"/>
  <c r="CB67" i="5"/>
  <c r="CX7" i="92" s="1"/>
  <c r="FW67" i="5"/>
  <c r="EX60" i="99"/>
  <c r="EX59" i="99"/>
  <c r="EB12" i="99"/>
  <c r="ED12" i="99" s="1"/>
  <c r="EH12" i="99" s="1"/>
  <c r="FU29" i="5"/>
  <c r="FS65" i="5"/>
  <c r="FS61" i="5"/>
  <c r="FS53" i="5"/>
  <c r="FS49" i="5"/>
  <c r="FS37" i="5"/>
  <c r="FS32" i="5"/>
  <c r="FW55" i="5"/>
  <c r="FY25" i="5"/>
  <c r="FK62" i="99"/>
  <c r="FM40" i="99"/>
  <c r="FD47" i="99"/>
  <c r="BO38" i="99"/>
  <c r="FC26" i="99"/>
  <c r="CR47" i="99"/>
  <c r="DA55" i="99"/>
  <c r="CZ17" i="99"/>
  <c r="CQ27" i="99"/>
  <c r="CR29" i="99"/>
  <c r="DA40" i="99"/>
  <c r="CQ59" i="99"/>
  <c r="EX65" i="99"/>
  <c r="FK64" i="99"/>
  <c r="FM63" i="99"/>
  <c r="FO57" i="99"/>
  <c r="FM56" i="99"/>
  <c r="FM46" i="99"/>
  <c r="FM44" i="99"/>
  <c r="FI45" i="99"/>
  <c r="FK38" i="99"/>
  <c r="FI38" i="99"/>
  <c r="FO36" i="99"/>
  <c r="FK32" i="99"/>
  <c r="FO28" i="99"/>
  <c r="CQ25" i="99"/>
  <c r="BO17" i="99"/>
  <c r="DJ25" i="99"/>
  <c r="DL25" i="99" s="1"/>
  <c r="DP25" i="99" s="1"/>
  <c r="AX16" i="99"/>
  <c r="AX17" i="99" s="1"/>
  <c r="BW18" i="99"/>
  <c r="CZ25" i="99"/>
  <c r="DA30" i="99"/>
  <c r="CQ29" i="99"/>
  <c r="CZ24" i="99"/>
  <c r="CZ55" i="99"/>
  <c r="DA43" i="99"/>
  <c r="DA10" i="99"/>
  <c r="CZ57" i="99"/>
  <c r="CZ56" i="99"/>
  <c r="CZ36" i="99"/>
  <c r="FC28" i="99"/>
  <c r="CZ33" i="99"/>
  <c r="DA33" i="99"/>
  <c r="DA47" i="99"/>
  <c r="CR64" i="99"/>
  <c r="EX61" i="99"/>
  <c r="EX62" i="99"/>
  <c r="EY64" i="99"/>
  <c r="EX57" i="99"/>
  <c r="AS6" i="99"/>
  <c r="CR20" i="99"/>
  <c r="CZ31" i="99"/>
  <c r="DA21" i="99"/>
  <c r="CG15" i="99"/>
  <c r="CZ12" i="99"/>
  <c r="DA12" i="99"/>
  <c r="FC41" i="99"/>
  <c r="FC42" i="99"/>
  <c r="FC40" i="99"/>
  <c r="CR17" i="99"/>
  <c r="CQ17" i="99"/>
  <c r="DA66" i="99"/>
  <c r="CZ66" i="99"/>
  <c r="AZ16" i="99"/>
  <c r="CZ42" i="99"/>
  <c r="DJ26" i="99"/>
  <c r="CZ53" i="99"/>
  <c r="CZ34" i="99"/>
  <c r="FC29" i="99"/>
  <c r="DA13" i="99"/>
  <c r="CZ13" i="99"/>
  <c r="CR28" i="99"/>
  <c r="FC38" i="99"/>
  <c r="CR49" i="99"/>
  <c r="CZ51" i="99"/>
  <c r="DA65" i="99"/>
  <c r="CQ13" i="99"/>
  <c r="CR13" i="99"/>
  <c r="CZ19" i="99"/>
  <c r="DA19" i="99"/>
  <c r="CZ27" i="99"/>
  <c r="DA27" i="99"/>
  <c r="FC57" i="99"/>
  <c r="FD59" i="99"/>
  <c r="FE57" i="99"/>
  <c r="FC43" i="99"/>
  <c r="FD49" i="99"/>
  <c r="FE51" i="99"/>
  <c r="FD43" i="99"/>
  <c r="FI56" i="99"/>
  <c r="FM54" i="99"/>
  <c r="FK33" i="99"/>
  <c r="BK8" i="99"/>
  <c r="BM8" i="99" s="1"/>
  <c r="CR5" i="99"/>
  <c r="CR48" i="99"/>
  <c r="BO20" i="99"/>
  <c r="FI67" i="99"/>
  <c r="FO50" i="99"/>
  <c r="FK48" i="99"/>
  <c r="FO47" i="99"/>
  <c r="FI43" i="99"/>
  <c r="FI37" i="99"/>
  <c r="FM27" i="99"/>
  <c r="FO35" i="99"/>
  <c r="EK12" i="99"/>
  <c r="EM12" i="99" s="1"/>
  <c r="CR15" i="99"/>
  <c r="CR50" i="99"/>
  <c r="CZ60" i="99"/>
  <c r="BO35" i="99"/>
  <c r="FI33" i="99"/>
  <c r="BQ61" i="99"/>
  <c r="FO67" i="99"/>
  <c r="FI65" i="99"/>
  <c r="FO62" i="99"/>
  <c r="FI48" i="99"/>
  <c r="BQ53" i="99"/>
  <c r="FK41" i="99"/>
  <c r="BO48" i="99"/>
  <c r="FK31" i="99"/>
  <c r="FM35" i="99"/>
  <c r="CL31" i="99"/>
  <c r="CL30" i="99"/>
  <c r="AC58" i="99"/>
  <c r="AB56" i="99"/>
  <c r="AC56" i="99"/>
  <c r="AC54" i="99"/>
  <c r="AC52" i="99"/>
  <c r="AB40" i="99"/>
  <c r="AC40" i="99"/>
  <c r="BN48" i="5"/>
  <c r="DI48" i="5"/>
  <c r="DJ48" i="5" s="1"/>
  <c r="BN31" i="5"/>
  <c r="DI31" i="5"/>
  <c r="BN15" i="5"/>
  <c r="DI15" i="5"/>
  <c r="DK15" i="5" s="1"/>
  <c r="AC29" i="99"/>
  <c r="AC26" i="99"/>
  <c r="AC37" i="99"/>
  <c r="FM50" i="5"/>
  <c r="CZ57" i="5"/>
  <c r="BF57" i="5"/>
  <c r="CF39" i="5"/>
  <c r="AB26" i="99"/>
  <c r="AC25" i="99"/>
  <c r="AB25" i="99"/>
  <c r="AC27" i="99"/>
  <c r="FU49" i="5"/>
  <c r="FU48" i="5"/>
  <c r="FU43" i="5"/>
  <c r="AB38" i="5"/>
  <c r="DI18" i="5"/>
  <c r="DK18" i="5" s="1"/>
  <c r="DI10" i="5"/>
  <c r="DJ10" i="5" s="1"/>
  <c r="BT47" i="5"/>
  <c r="FY50" i="5"/>
  <c r="FY48" i="5"/>
  <c r="FY23" i="5"/>
  <c r="DI53" i="5"/>
  <c r="DI44" i="5"/>
  <c r="DI20" i="5"/>
  <c r="DI12" i="5"/>
  <c r="AB30" i="5"/>
  <c r="FS28" i="5"/>
  <c r="FS66" i="5"/>
  <c r="FS62" i="5"/>
  <c r="FS58" i="5"/>
  <c r="FS54" i="5"/>
  <c r="FS50" i="5"/>
  <c r="FS46" i="5"/>
  <c r="FS42" i="5"/>
  <c r="BT54" i="5"/>
  <c r="FW59" i="5"/>
  <c r="BA60" i="5"/>
  <c r="FY61" i="5"/>
  <c r="FW60" i="5"/>
  <c r="FW53" i="5"/>
  <c r="AQ8" i="99"/>
  <c r="AR8" i="99" s="1"/>
  <c r="AQ9" i="99" s="1"/>
  <c r="AR9" i="99" s="1"/>
  <c r="AS7" i="99"/>
  <c r="FE65" i="99"/>
  <c r="FC65" i="99"/>
  <c r="FD65" i="99"/>
  <c r="FD67" i="99"/>
  <c r="BF18" i="99"/>
  <c r="BH17" i="99"/>
  <c r="CZ28" i="99"/>
  <c r="DA14" i="99"/>
  <c r="FO65" i="99"/>
  <c r="FK67" i="99"/>
  <c r="FO53" i="99"/>
  <c r="FO54" i="99"/>
  <c r="CZ54" i="99"/>
  <c r="FO48" i="99"/>
  <c r="FE61" i="99"/>
  <c r="FK45" i="99"/>
  <c r="FO45" i="99"/>
  <c r="FO21" i="99"/>
  <c r="FK60" i="99"/>
  <c r="FK43" i="99"/>
  <c r="FK27" i="99"/>
  <c r="DR15" i="99"/>
  <c r="AV65" i="99"/>
  <c r="FB5" i="99"/>
  <c r="FX4" i="99"/>
  <c r="FU5" i="99" s="1"/>
  <c r="FB10" i="99"/>
  <c r="FB16" i="99"/>
  <c r="FC21" i="99" s="1"/>
  <c r="DR24" i="99"/>
  <c r="AV67" i="99"/>
  <c r="FB30" i="99"/>
  <c r="FE50" i="99" s="1"/>
  <c r="DR20" i="99"/>
  <c r="EJ34" i="99"/>
  <c r="FB6" i="99"/>
  <c r="DR13" i="99"/>
  <c r="FB4" i="99"/>
  <c r="DR18" i="99"/>
  <c r="CL29" i="99"/>
  <c r="EY67" i="99"/>
  <c r="EX66" i="99"/>
  <c r="EX67" i="99"/>
  <c r="DA64" i="99"/>
  <c r="CZ64" i="99"/>
  <c r="FC67" i="99"/>
  <c r="FC66" i="99"/>
  <c r="FC64" i="99"/>
  <c r="FC62" i="99"/>
  <c r="FC60" i="99"/>
  <c r="FC63" i="99"/>
  <c r="FD64" i="99"/>
  <c r="FD66" i="99"/>
  <c r="FE62" i="99"/>
  <c r="FD54" i="99"/>
  <c r="FC49" i="99"/>
  <c r="FC50" i="99"/>
  <c r="FE63" i="99"/>
  <c r="FC27" i="99"/>
  <c r="FD28" i="99"/>
  <c r="FD29" i="99"/>
  <c r="FC25" i="99"/>
  <c r="CR32" i="99"/>
  <c r="CQ32" i="99"/>
  <c r="DA15" i="99"/>
  <c r="FD57" i="99"/>
  <c r="FC56" i="99"/>
  <c r="FC54" i="99"/>
  <c r="FE66" i="99"/>
  <c r="FC52" i="99"/>
  <c r="FD60" i="99"/>
  <c r="FE64" i="99"/>
  <c r="FD63" i="99"/>
  <c r="FD58" i="99"/>
  <c r="FE67" i="99"/>
  <c r="FD62" i="99"/>
  <c r="FC55" i="99"/>
  <c r="FD56" i="99"/>
  <c r="FE60" i="99"/>
  <c r="FC47" i="99"/>
  <c r="FD52" i="99"/>
  <c r="FE52" i="99"/>
  <c r="FE54" i="99"/>
  <c r="FE53" i="99"/>
  <c r="FD44" i="99"/>
  <c r="FD46" i="99"/>
  <c r="FD45" i="99"/>
  <c r="FC39" i="99"/>
  <c r="FC44" i="99"/>
  <c r="FE59" i="99"/>
  <c r="FE58" i="99"/>
  <c r="FD51" i="99"/>
  <c r="FD50" i="99"/>
  <c r="CR63" i="99"/>
  <c r="BH16" i="99"/>
  <c r="FI64" i="99"/>
  <c r="FO60" i="99"/>
  <c r="FM60" i="99"/>
  <c r="CR19" i="99"/>
  <c r="CQ33" i="99"/>
  <c r="FI25" i="99"/>
  <c r="FI57" i="99"/>
  <c r="FM64" i="99"/>
  <c r="FM42" i="99"/>
  <c r="FM25" i="99"/>
  <c r="FT18" i="99"/>
  <c r="FT17" i="99"/>
  <c r="EV28" i="99"/>
  <c r="EW28" i="99" s="1"/>
  <c r="EE12" i="99"/>
  <c r="EF12" i="99" s="1"/>
  <c r="EG12" i="99" s="1"/>
  <c r="CQ49" i="99"/>
  <c r="CR14" i="99"/>
  <c r="CQ53" i="99"/>
  <c r="CQ47" i="99"/>
  <c r="DM25" i="99"/>
  <c r="DN25" i="99" s="1"/>
  <c r="DO25" i="99" s="1"/>
  <c r="CQ15" i="99"/>
  <c r="EB13" i="99"/>
  <c r="EY65" i="99"/>
  <c r="EY63" i="99"/>
  <c r="EY66" i="99"/>
  <c r="EX63" i="99"/>
  <c r="EY61" i="99"/>
  <c r="EY62" i="99"/>
  <c r="EX56" i="99"/>
  <c r="BO51" i="99"/>
  <c r="BO53" i="99"/>
  <c r="FM59" i="99"/>
  <c r="FM24" i="99"/>
  <c r="FM31" i="99"/>
  <c r="FM47" i="99"/>
  <c r="FQ5" i="99"/>
  <c r="FR4" i="99"/>
  <c r="FF7" i="99"/>
  <c r="FT5" i="99"/>
  <c r="FL12" i="99"/>
  <c r="FM12" i="99" s="1"/>
  <c r="FF8" i="99"/>
  <c r="BA6" i="99"/>
  <c r="EV6" i="99"/>
  <c r="EW6" i="99" s="1"/>
  <c r="FT6" i="99"/>
  <c r="FL13" i="99"/>
  <c r="AL6" i="99"/>
  <c r="AN6" i="99" s="1"/>
  <c r="EV7" i="99"/>
  <c r="EW7" i="99" s="1"/>
  <c r="FF9" i="99"/>
  <c r="FL14" i="99"/>
  <c r="EV8" i="99"/>
  <c r="EW8" i="99" s="1"/>
  <c r="FT8" i="99"/>
  <c r="FF10" i="99"/>
  <c r="EV9" i="99"/>
  <c r="EW9" i="99" s="1"/>
  <c r="FT9" i="99"/>
  <c r="FT10" i="99"/>
  <c r="BA10" i="99"/>
  <c r="FF12" i="99"/>
  <c r="AL10" i="99"/>
  <c r="FT11" i="99"/>
  <c r="EV11" i="99"/>
  <c r="EW11" i="99" s="1"/>
  <c r="FL18" i="99"/>
  <c r="FM18" i="99" s="1"/>
  <c r="FT13" i="99"/>
  <c r="EV13" i="99"/>
  <c r="EW13" i="99" s="1"/>
  <c r="FT16" i="99"/>
  <c r="EV16" i="99"/>
  <c r="EW16" i="99" s="1"/>
  <c r="FT22" i="99"/>
  <c r="AL22" i="99"/>
  <c r="FT26" i="99"/>
  <c r="FF28" i="99"/>
  <c r="FL33" i="99"/>
  <c r="FF29" i="99"/>
  <c r="EV27" i="99"/>
  <c r="EW27" i="99" s="1"/>
  <c r="FF31" i="99"/>
  <c r="EV29" i="99"/>
  <c r="EW29" i="99" s="1"/>
  <c r="FT30" i="99"/>
  <c r="EV30" i="99"/>
  <c r="EW30" i="99" s="1"/>
  <c r="BA30" i="99"/>
  <c r="FF33" i="99"/>
  <c r="EV31" i="99"/>
  <c r="EW31" i="99" s="1"/>
  <c r="EV32" i="99"/>
  <c r="EW32" i="99" s="1"/>
  <c r="FT32" i="99"/>
  <c r="BA34" i="99"/>
  <c r="FF36" i="99"/>
  <c r="FT35" i="99"/>
  <c r="BA35" i="99"/>
  <c r="FT36" i="99"/>
  <c r="EV36" i="99"/>
  <c r="EW36" i="99" s="1"/>
  <c r="FT37" i="99"/>
  <c r="BA37" i="99"/>
  <c r="FT39" i="99"/>
  <c r="FF41" i="99"/>
  <c r="EV39" i="99"/>
  <c r="EW39" i="99" s="1"/>
  <c r="BA40" i="99"/>
  <c r="FT40" i="99"/>
  <c r="FT42" i="99"/>
  <c r="BA42" i="99"/>
  <c r="FF45" i="99"/>
  <c r="EV43" i="99"/>
  <c r="EW43" i="99" s="1"/>
  <c r="FT44" i="99"/>
  <c r="BA44" i="99"/>
  <c r="EV45" i="99"/>
  <c r="EW45" i="99" s="1"/>
  <c r="FT45" i="99"/>
  <c r="FF50" i="99"/>
  <c r="EV48" i="99"/>
  <c r="EW48" i="99" s="1"/>
  <c r="FF54" i="99"/>
  <c r="FT52" i="99"/>
  <c r="FT55" i="99"/>
  <c r="AL55" i="99"/>
  <c r="FT57" i="99"/>
  <c r="FF59" i="99"/>
  <c r="AE6" i="99"/>
  <c r="AF6" i="99" s="1"/>
  <c r="AG5" i="99"/>
  <c r="BF16" i="5"/>
  <c r="BF32" i="5"/>
  <c r="DA32" i="5" s="1"/>
  <c r="BF40" i="5"/>
  <c r="BT36" i="5"/>
  <c r="BW38" i="5"/>
  <c r="FW51" i="5"/>
  <c r="FW27" i="5"/>
  <c r="FW24" i="5"/>
  <c r="FW66" i="5"/>
  <c r="FW63" i="5"/>
  <c r="CZ62" i="5"/>
  <c r="DB62" i="5" s="1"/>
  <c r="BF61" i="5"/>
  <c r="CZ61" i="5"/>
  <c r="BF52" i="5"/>
  <c r="CZ52" i="5"/>
  <c r="DB52" i="5" s="1"/>
  <c r="CZ48" i="5"/>
  <c r="BF48" i="5"/>
  <c r="BF44" i="5"/>
  <c r="CZ44" i="5"/>
  <c r="BF36" i="5"/>
  <c r="CZ36" i="5"/>
  <c r="DB36" i="5" s="1"/>
  <c r="BF28" i="5"/>
  <c r="CZ28" i="5"/>
  <c r="CZ24" i="5"/>
  <c r="BF24" i="5"/>
  <c r="BF20" i="5"/>
  <c r="CZ20" i="5"/>
  <c r="CZ8" i="5"/>
  <c r="BF8" i="5"/>
  <c r="AB28" i="99"/>
  <c r="AC28" i="99"/>
  <c r="AC31" i="99"/>
  <c r="AB30" i="99"/>
  <c r="AB29" i="99"/>
  <c r="DJ51" i="5"/>
  <c r="CF32" i="5"/>
  <c r="AC61" i="99"/>
  <c r="AC60" i="5"/>
  <c r="DJ62" i="5"/>
  <c r="DK62" i="5"/>
  <c r="FJ58" i="5"/>
  <c r="BN41" i="5"/>
  <c r="DI42" i="5"/>
  <c r="DJ42" i="5" s="1"/>
  <c r="DI30" i="5"/>
  <c r="DK30" i="5" s="1"/>
  <c r="BN29" i="5"/>
  <c r="BN25" i="5"/>
  <c r="DI26" i="5"/>
  <c r="DJ26" i="5" s="1"/>
  <c r="FU61" i="5"/>
  <c r="FU57" i="5"/>
  <c r="FW52" i="5"/>
  <c r="CB53" i="5"/>
  <c r="CB57" i="5"/>
  <c r="FW56" i="5"/>
  <c r="CB37" i="5"/>
  <c r="CB44" i="5"/>
  <c r="CE47" i="5"/>
  <c r="CB39" i="5"/>
  <c r="FY45" i="5"/>
  <c r="FY46" i="5"/>
  <c r="CB18" i="5"/>
  <c r="FW64" i="5"/>
  <c r="FY66" i="5"/>
  <c r="FY62" i="5"/>
  <c r="FY58" i="5"/>
  <c r="FY54" i="5"/>
  <c r="CZ43" i="5"/>
  <c r="DA43" i="5" s="1"/>
  <c r="CC61" i="5"/>
  <c r="CC65" i="5"/>
  <c r="CC67" i="5"/>
  <c r="CZ7" i="92" s="1"/>
  <c r="FU64" i="5"/>
  <c r="FU36" i="5"/>
  <c r="FS38" i="5"/>
  <c r="FS33" i="5"/>
  <c r="BT16" i="5"/>
  <c r="BT18" i="5"/>
  <c r="FW50" i="5"/>
  <c r="FY38" i="5"/>
  <c r="FY30" i="5"/>
  <c r="FY26" i="5"/>
  <c r="FY22" i="5"/>
  <c r="FY20" i="5"/>
  <c r="FY16" i="5"/>
  <c r="FY14" i="5"/>
  <c r="FY13" i="5"/>
  <c r="FJ55" i="5"/>
  <c r="FI60" i="5"/>
  <c r="FU67" i="5"/>
  <c r="FU53" i="5"/>
  <c r="FU44" i="5"/>
  <c r="FU27" i="5"/>
  <c r="FY64" i="5"/>
  <c r="FY60" i="5"/>
  <c r="FY56" i="5"/>
  <c r="FY52" i="5"/>
  <c r="FW46" i="5"/>
  <c r="FW42" i="5"/>
  <c r="FW38" i="5"/>
  <c r="FW36" i="5"/>
  <c r="FW32" i="5"/>
  <c r="FW28" i="5"/>
  <c r="FW22" i="5"/>
  <c r="FW20" i="5"/>
  <c r="FW18" i="5"/>
  <c r="FW16" i="5"/>
  <c r="AC64" i="5"/>
  <c r="FN61" i="5"/>
  <c r="AB31" i="99"/>
  <c r="AC47" i="99"/>
  <c r="AB37" i="99"/>
  <c r="AC32" i="99"/>
  <c r="AB32" i="99"/>
  <c r="FN22" i="5"/>
  <c r="FM46" i="5"/>
  <c r="DI17" i="5"/>
  <c r="FN56" i="5"/>
  <c r="AC67" i="5"/>
  <c r="CF59" i="5"/>
  <c r="CC50" i="5"/>
  <c r="CC57" i="5"/>
  <c r="CF65" i="5"/>
  <c r="FM60" i="5"/>
  <c r="DI59" i="5"/>
  <c r="DI55" i="5"/>
  <c r="DK55" i="5" s="1"/>
  <c r="FU60" i="5"/>
  <c r="FU59" i="5"/>
  <c r="FU45" i="5"/>
  <c r="FU41" i="5"/>
  <c r="FU30" i="5"/>
  <c r="DI9" i="5"/>
  <c r="BN9" i="5"/>
  <c r="BN37" i="5"/>
  <c r="DI38" i="5"/>
  <c r="BN21" i="5"/>
  <c r="DI22" i="5"/>
  <c r="DI14" i="5"/>
  <c r="DK14" i="5" s="1"/>
  <c r="BN13" i="5"/>
  <c r="CF49" i="5"/>
  <c r="CC56" i="5"/>
  <c r="DJ55" i="5"/>
  <c r="FU33" i="5"/>
  <c r="CB43" i="5"/>
  <c r="CB35" i="5"/>
  <c r="FY67" i="5"/>
  <c r="FY34" i="5"/>
  <c r="FY32" i="5"/>
  <c r="CB16" i="5"/>
  <c r="CB41" i="5"/>
  <c r="CB33" i="5"/>
  <c r="CE49" i="5"/>
  <c r="CB17" i="5"/>
  <c r="CE66" i="5"/>
  <c r="CB51" i="5"/>
  <c r="CB52" i="5"/>
  <c r="CB54" i="5"/>
  <c r="CB56" i="5"/>
  <c r="CB58" i="5"/>
  <c r="FY12" i="5"/>
  <c r="DI52" i="5"/>
  <c r="DK52" i="5" s="1"/>
  <c r="DI43" i="5"/>
  <c r="DK43" i="5" s="1"/>
  <c r="DI35" i="5"/>
  <c r="DI27" i="5"/>
  <c r="DJ27" i="5" s="1"/>
  <c r="DI19" i="5"/>
  <c r="DK19" i="5" s="1"/>
  <c r="DI11" i="5"/>
  <c r="DJ11" i="5" s="1"/>
  <c r="FU66" i="5"/>
  <c r="FU28" i="5"/>
  <c r="CE38" i="5"/>
  <c r="CE37" i="5"/>
  <c r="BA62" i="5"/>
  <c r="CE42" i="5"/>
  <c r="BA64" i="5"/>
  <c r="CE44" i="5"/>
  <c r="BA66" i="5"/>
  <c r="CE46" i="5"/>
  <c r="CE48" i="5"/>
  <c r="CE50" i="5"/>
  <c r="CE51" i="5"/>
  <c r="CE52" i="5"/>
  <c r="CE53" i="5"/>
  <c r="CE54" i="5"/>
  <c r="CE55" i="5"/>
  <c r="CE56" i="5"/>
  <c r="CE57" i="5"/>
  <c r="CE58" i="5"/>
  <c r="CE59" i="5"/>
  <c r="CE60" i="5"/>
  <c r="CE61" i="5"/>
  <c r="CE62" i="5"/>
  <c r="CE63" i="5"/>
  <c r="CE64" i="5"/>
  <c r="FY63" i="5"/>
  <c r="FY59" i="5"/>
  <c r="FY55" i="5"/>
  <c r="FY51" i="5"/>
  <c r="FY42" i="5"/>
  <c r="FY40" i="5"/>
  <c r="FY29" i="5"/>
  <c r="FY27" i="5"/>
  <c r="FY19" i="5"/>
  <c r="FY17" i="5"/>
  <c r="EG2" i="99"/>
  <c r="DX2" i="99"/>
  <c r="EP2" i="99"/>
  <c r="DO2" i="99"/>
  <c r="FL71" i="5"/>
  <c r="AC49" i="99"/>
  <c r="FN48" i="5"/>
  <c r="FN51" i="5"/>
  <c r="FO61" i="5"/>
  <c r="FM57" i="5"/>
  <c r="FN54" i="5"/>
  <c r="FN55" i="5"/>
  <c r="FO65" i="5"/>
  <c r="FO60" i="5"/>
  <c r="AC64" i="99"/>
  <c r="AB67" i="99"/>
  <c r="AC66" i="99"/>
  <c r="AC65" i="99"/>
  <c r="AB65" i="99"/>
  <c r="AC67" i="99"/>
  <c r="AB66" i="99"/>
  <c r="AB63" i="99"/>
  <c r="AB64" i="99"/>
  <c r="AC63" i="99"/>
  <c r="AB61" i="99"/>
  <c r="AC66" i="5"/>
  <c r="AC62" i="5"/>
  <c r="AC61" i="5"/>
  <c r="AC62" i="99"/>
  <c r="AC60" i="99"/>
  <c r="AC65" i="5"/>
  <c r="AB62" i="99"/>
  <c r="AB60" i="99"/>
  <c r="AC63" i="5"/>
  <c r="FN50" i="5"/>
  <c r="FM45" i="5"/>
  <c r="FO49" i="5"/>
  <c r="FM11" i="5"/>
  <c r="AB54" i="5"/>
  <c r="AB57" i="5"/>
  <c r="CC43" i="5"/>
  <c r="CC42" i="5"/>
  <c r="CC41" i="5"/>
  <c r="CF48" i="5"/>
  <c r="CF50" i="5"/>
  <c r="CF51" i="5"/>
  <c r="CC39" i="5"/>
  <c r="CF47" i="5"/>
  <c r="CF46" i="5"/>
  <c r="CC37" i="5"/>
  <c r="CC38" i="5"/>
  <c r="CF42" i="5"/>
  <c r="CC35" i="5"/>
  <c r="CC33" i="5"/>
  <c r="CF41" i="5"/>
  <c r="CF43" i="5"/>
  <c r="CC34" i="5"/>
  <c r="CC30" i="5"/>
  <c r="CF38" i="5"/>
  <c r="CC31" i="5"/>
  <c r="CC29" i="5"/>
  <c r="CF36" i="5"/>
  <c r="CC27" i="5"/>
  <c r="CF33" i="5"/>
  <c r="CF35" i="5"/>
  <c r="CC26" i="5"/>
  <c r="CF34" i="5"/>
  <c r="CC25" i="5"/>
  <c r="CF30" i="5"/>
  <c r="CC21" i="5"/>
  <c r="CF31" i="5"/>
  <c r="CF28" i="5"/>
  <c r="CC23" i="5"/>
  <c r="CC22" i="5"/>
  <c r="CC19" i="5"/>
  <c r="CF26" i="5"/>
  <c r="CF27" i="5"/>
  <c r="CC18" i="5"/>
  <c r="CF25" i="5"/>
  <c r="CC16" i="5"/>
  <c r="CC17" i="5"/>
  <c r="CF22" i="5"/>
  <c r="CC13" i="5"/>
  <c r="CF23" i="5"/>
  <c r="CC14" i="5"/>
  <c r="CC15" i="5"/>
  <c r="CF19" i="5"/>
  <c r="CF17" i="5"/>
  <c r="CF20" i="5"/>
  <c r="CC12" i="5"/>
  <c r="CC9" i="5"/>
  <c r="CC11" i="5"/>
  <c r="BN5" i="5"/>
  <c r="DI5" i="5"/>
  <c r="DK67" i="5"/>
  <c r="DI57" i="5"/>
  <c r="DI58" i="5"/>
  <c r="BN57" i="5"/>
  <c r="DI54" i="5"/>
  <c r="BN53" i="5"/>
  <c r="DI49" i="5"/>
  <c r="BN49" i="5"/>
  <c r="DI45" i="5"/>
  <c r="BN44" i="5"/>
  <c r="DI40" i="5"/>
  <c r="DI41" i="5"/>
  <c r="BN40" i="5"/>
  <c r="DI37" i="5"/>
  <c r="BN36" i="5"/>
  <c r="DI32" i="5"/>
  <c r="BN32" i="5"/>
  <c r="DI29" i="5"/>
  <c r="BN28" i="5"/>
  <c r="DI24" i="5"/>
  <c r="DI25" i="5"/>
  <c r="BN24" i="5"/>
  <c r="DI21" i="5"/>
  <c r="BN20" i="5"/>
  <c r="DI16" i="5"/>
  <c r="BN16" i="5"/>
  <c r="DI13" i="5"/>
  <c r="BN12" i="5"/>
  <c r="DI7" i="5"/>
  <c r="DI8" i="5"/>
  <c r="BN7" i="5"/>
  <c r="BO8" i="5" s="1"/>
  <c r="DI65" i="5"/>
  <c r="DI66" i="5"/>
  <c r="DI63" i="5"/>
  <c r="BN63" i="5"/>
  <c r="CC47" i="5"/>
  <c r="CF55" i="5"/>
  <c r="CC45" i="5"/>
  <c r="CC46" i="5"/>
  <c r="CF54" i="5"/>
  <c r="CF52" i="5"/>
  <c r="CF57" i="5"/>
  <c r="CC48" i="5"/>
  <c r="CC53" i="5"/>
  <c r="CF61" i="5"/>
  <c r="CC52" i="5"/>
  <c r="CF60" i="5"/>
  <c r="CC55" i="5"/>
  <c r="CF62" i="5"/>
  <c r="CC54" i="5"/>
  <c r="CF63" i="5"/>
  <c r="CF67" i="5"/>
  <c r="CT7" i="92" s="1"/>
  <c r="CC59" i="5"/>
  <c r="CC58" i="5"/>
  <c r="CC62" i="5"/>
  <c r="CC63" i="5"/>
  <c r="FU54" i="5"/>
  <c r="FU55" i="5"/>
  <c r="FU50" i="5"/>
  <c r="FU51" i="5"/>
  <c r="FU31" i="5"/>
  <c r="DI28" i="5"/>
  <c r="DI33" i="5"/>
  <c r="CC51" i="5"/>
  <c r="CC49" i="5"/>
  <c r="FU46" i="5"/>
  <c r="FU63" i="5"/>
  <c r="FU62" i="5"/>
  <c r="FM56" i="5"/>
  <c r="DI36" i="5"/>
  <c r="DI50" i="5"/>
  <c r="BN67" i="5"/>
  <c r="DJ67" i="5" s="1"/>
  <c r="DI64" i="5"/>
  <c r="CC44" i="5"/>
  <c r="CC66" i="5"/>
  <c r="DI6" i="5"/>
  <c r="DI23" i="5"/>
  <c r="DI39" i="5"/>
  <c r="DI56" i="5"/>
  <c r="CC40" i="5"/>
  <c r="CF44" i="5"/>
  <c r="CC36" i="5"/>
  <c r="CF40" i="5"/>
  <c r="CC32" i="5"/>
  <c r="CC28" i="5"/>
  <c r="CC24" i="5"/>
  <c r="CC20" i="5"/>
  <c r="CF24" i="5"/>
  <c r="CF18" i="5"/>
  <c r="CC10" i="5"/>
  <c r="CC8" i="5"/>
  <c r="CF16" i="5"/>
  <c r="FU42" i="5"/>
  <c r="FU37" i="5"/>
  <c r="FU38" i="5"/>
  <c r="FU26" i="5"/>
  <c r="BN61" i="5"/>
  <c r="DI61" i="5"/>
  <c r="DI47" i="5"/>
  <c r="BN46" i="5"/>
  <c r="DI46" i="5"/>
  <c r="CF56" i="5"/>
  <c r="CF58" i="5"/>
  <c r="CF64" i="5"/>
  <c r="CF66" i="5"/>
  <c r="CC60" i="5"/>
  <c r="CC64" i="5"/>
  <c r="FU40" i="5"/>
  <c r="CF53" i="5"/>
  <c r="CF45" i="5"/>
  <c r="CF37" i="5"/>
  <c r="CF29" i="5"/>
  <c r="CF21" i="5"/>
  <c r="FU47" i="5"/>
  <c r="BA58" i="5"/>
  <c r="CB19" i="5"/>
  <c r="CB20" i="5"/>
  <c r="CE39" i="5"/>
  <c r="BA65" i="5"/>
  <c r="BA67" i="5"/>
  <c r="CB27" i="5"/>
  <c r="CB25" i="5"/>
  <c r="CE45" i="5"/>
  <c r="CE43" i="5"/>
  <c r="CB49" i="5"/>
  <c r="CE67" i="5"/>
  <c r="CR7" i="92" s="1"/>
  <c r="CE65" i="5"/>
  <c r="FY49" i="5"/>
  <c r="FY44" i="5"/>
  <c r="FY41" i="5"/>
  <c r="FY36" i="5"/>
  <c r="FY33" i="5"/>
  <c r="FY28" i="5"/>
  <c r="FY21" i="5"/>
  <c r="FY18" i="5"/>
  <c r="FY15" i="5"/>
  <c r="BA59" i="5"/>
  <c r="CE40" i="5"/>
  <c r="CE41" i="5"/>
  <c r="BJ16" i="5"/>
  <c r="CB42" i="5"/>
  <c r="CB40" i="5"/>
  <c r="CB38" i="5"/>
  <c r="CB36" i="5"/>
  <c r="CB34" i="5"/>
  <c r="CB32" i="5"/>
  <c r="CB30" i="5"/>
  <c r="CB23" i="5"/>
  <c r="CB21" i="5"/>
  <c r="CB59" i="5"/>
  <c r="CB55" i="5"/>
  <c r="FY47" i="5"/>
  <c r="FY39" i="5"/>
  <c r="FY31" i="5"/>
  <c r="BA61" i="5"/>
  <c r="BA63" i="5"/>
  <c r="CB26" i="5"/>
  <c r="CB47" i="5"/>
  <c r="CB61" i="5"/>
  <c r="EC27" i="5"/>
  <c r="EE26" i="5"/>
  <c r="AW6" i="5"/>
  <c r="AU7" i="5"/>
  <c r="AV7" i="5" s="1"/>
  <c r="EE25" i="5"/>
  <c r="FN43" i="5"/>
  <c r="FO48" i="5"/>
  <c r="FN47" i="5"/>
  <c r="FN41" i="5"/>
  <c r="FM36" i="5"/>
  <c r="FO46" i="5"/>
  <c r="FN40" i="5"/>
  <c r="FO47" i="5"/>
  <c r="FO45" i="5"/>
  <c r="FN37" i="5"/>
  <c r="FM32" i="5"/>
  <c r="FM41" i="5"/>
  <c r="FN44" i="5"/>
  <c r="FN46" i="5"/>
  <c r="FN45" i="5"/>
  <c r="FO54" i="5"/>
  <c r="FN29" i="5"/>
  <c r="FN18" i="5"/>
  <c r="FO57" i="5"/>
  <c r="FM44" i="5"/>
  <c r="FN49" i="5"/>
  <c r="FM38" i="5"/>
  <c r="FO50" i="5"/>
  <c r="FO51" i="5"/>
  <c r="FO25" i="5"/>
  <c r="FO24" i="5"/>
  <c r="FN17" i="5"/>
  <c r="FM12" i="5"/>
  <c r="FN16" i="5"/>
  <c r="FN36" i="5"/>
  <c r="FM31" i="5"/>
  <c r="FO44" i="5"/>
  <c r="FM27" i="5"/>
  <c r="FN32" i="5"/>
  <c r="FO40" i="5"/>
  <c r="FN26" i="5"/>
  <c r="FO34" i="5"/>
  <c r="FN21" i="5"/>
  <c r="FM18" i="5"/>
  <c r="FO30" i="5"/>
  <c r="FM21" i="5"/>
  <c r="FN20" i="5"/>
  <c r="FO28" i="5"/>
  <c r="AB46" i="99"/>
  <c r="AC46" i="99"/>
  <c r="AB45" i="5"/>
  <c r="AB49" i="99"/>
  <c r="AC45" i="99"/>
  <c r="AB45" i="99"/>
  <c r="FM29" i="5"/>
  <c r="FM22" i="5"/>
  <c r="FM15" i="5"/>
  <c r="FO29" i="5"/>
  <c r="FM19" i="5"/>
  <c r="FN19" i="5"/>
  <c r="FM37" i="5"/>
  <c r="FN35" i="5"/>
  <c r="FN28" i="5"/>
  <c r="FM28" i="5"/>
  <c r="FM30" i="5"/>
  <c r="FO43" i="5"/>
  <c r="FN34" i="5"/>
  <c r="FO39" i="5"/>
  <c r="FN31" i="5"/>
  <c r="FO37" i="5"/>
  <c r="FM23" i="5"/>
  <c r="FM25" i="5"/>
  <c r="FM26" i="5"/>
  <c r="AB41" i="99"/>
  <c r="AB47" i="99"/>
  <c r="FN27" i="5"/>
  <c r="FO32" i="5"/>
  <c r="FM20" i="5"/>
  <c r="FM40" i="5"/>
  <c r="FO35" i="5"/>
  <c r="FO58" i="5"/>
  <c r="FO52" i="5"/>
  <c r="FM33" i="5"/>
  <c r="FN38" i="5"/>
  <c r="FO36" i="5"/>
  <c r="FM17" i="5"/>
  <c r="FM16" i="5"/>
  <c r="FO38" i="5"/>
  <c r="FO31" i="5"/>
  <c r="FO59" i="5"/>
  <c r="FM39" i="5"/>
  <c r="FO53" i="5"/>
  <c r="FO41" i="5"/>
  <c r="FN33" i="5"/>
  <c r="FM24" i="5"/>
  <c r="FN23" i="5"/>
  <c r="FM35" i="5"/>
  <c r="FM34" i="5"/>
  <c r="FO42" i="5"/>
  <c r="FN58" i="5"/>
  <c r="FM53" i="5"/>
  <c r="FO66" i="5"/>
  <c r="FM52" i="5"/>
  <c r="FM48" i="5"/>
  <c r="FO63" i="5"/>
  <c r="FO62" i="5"/>
  <c r="FN52" i="5"/>
  <c r="FM49" i="5"/>
  <c r="FN53" i="5"/>
  <c r="FM47" i="5"/>
  <c r="FM65" i="5"/>
  <c r="FM66" i="5"/>
  <c r="FN66" i="5"/>
  <c r="FN65" i="5"/>
  <c r="FM61" i="5"/>
  <c r="FM59" i="5"/>
  <c r="AC41" i="99"/>
  <c r="FO55" i="5"/>
  <c r="FM42" i="5"/>
  <c r="FN25" i="5"/>
  <c r="FO33" i="5"/>
  <c r="FN24" i="5"/>
  <c r="FM14" i="5"/>
  <c r="FO27" i="5"/>
  <c r="FM43" i="5"/>
  <c r="FO56" i="5"/>
  <c r="FN30" i="5"/>
  <c r="FO26" i="5"/>
  <c r="FM13" i="5"/>
  <c r="FN39" i="5"/>
  <c r="FN42" i="5"/>
  <c r="FM58" i="5"/>
  <c r="FN64" i="5"/>
  <c r="FN63" i="5"/>
  <c r="FN60" i="5"/>
  <c r="FM55" i="5"/>
  <c r="FN59" i="5"/>
  <c r="FM54" i="5"/>
  <c r="FO67" i="5"/>
  <c r="FM67" i="5"/>
  <c r="FM63" i="5"/>
  <c r="EU12" i="5"/>
  <c r="FN62" i="5"/>
  <c r="FM51" i="5"/>
  <c r="FO64" i="5"/>
  <c r="FN57" i="5"/>
  <c r="FM64" i="5"/>
  <c r="FN67" i="5"/>
  <c r="FM62" i="5"/>
  <c r="CU32" i="5"/>
  <c r="CR18" i="5"/>
  <c r="AO5" i="5"/>
  <c r="AM6" i="5"/>
  <c r="BN65" i="5"/>
  <c r="CB60" i="5"/>
  <c r="CB64" i="5"/>
  <c r="FU65" i="5"/>
  <c r="FI39" i="5"/>
  <c r="FH34" i="5"/>
  <c r="FI31" i="5"/>
  <c r="FJ39" i="5"/>
  <c r="FJ31" i="5"/>
  <c r="FI23" i="5"/>
  <c r="FH18" i="5"/>
  <c r="FJ50" i="5"/>
  <c r="FH21" i="5"/>
  <c r="FJ34" i="5"/>
  <c r="FI18" i="5"/>
  <c r="FJ57" i="5"/>
  <c r="FH36" i="5"/>
  <c r="FH28" i="5"/>
  <c r="FI25" i="5"/>
  <c r="FJ33" i="5"/>
  <c r="FH12" i="5"/>
  <c r="FJ36" i="5"/>
  <c r="FH23" i="5"/>
  <c r="FH15" i="5"/>
  <c r="FJ59" i="5"/>
  <c r="FH38" i="5"/>
  <c r="FH30" i="5"/>
  <c r="FI27" i="5"/>
  <c r="FI16" i="5"/>
  <c r="FJ27" i="5"/>
  <c r="FH41" i="5"/>
  <c r="FH33" i="5"/>
  <c r="FH25" i="5"/>
  <c r="FI30" i="5"/>
  <c r="FJ30" i="5"/>
  <c r="FI37" i="5"/>
  <c r="FJ28" i="5"/>
  <c r="FI48" i="5"/>
  <c r="FI40" i="5"/>
  <c r="FI32" i="5"/>
  <c r="FJ32" i="5"/>
  <c r="FJ24" i="5"/>
  <c r="FH11" i="5"/>
  <c r="FI58" i="5"/>
  <c r="BT50" i="5"/>
  <c r="BT46" i="5"/>
  <c r="BW67" i="5"/>
  <c r="CR5" i="92" s="1"/>
  <c r="AB44" i="5"/>
  <c r="DB12" i="5"/>
  <c r="BF42" i="5"/>
  <c r="BF33" i="5"/>
  <c r="CZ33" i="5"/>
  <c r="CZ65" i="5"/>
  <c r="DA65" i="5" s="1"/>
  <c r="CZ66" i="5"/>
  <c r="DA66" i="5" s="1"/>
  <c r="FS45" i="5"/>
  <c r="BT39" i="5"/>
  <c r="BT65" i="5"/>
  <c r="CZ59" i="5"/>
  <c r="DB59" i="5" s="1"/>
  <c r="BW55" i="5"/>
  <c r="BW40" i="5"/>
  <c r="BT62" i="5"/>
  <c r="BT61" i="5"/>
  <c r="FW14" i="5"/>
  <c r="AB55" i="5"/>
  <c r="AB56" i="5"/>
  <c r="AB66" i="5"/>
  <c r="CZ60" i="5"/>
  <c r="CZ35" i="5"/>
  <c r="DA35" i="5" s="1"/>
  <c r="CZ11" i="5"/>
  <c r="DA11" i="5" s="1"/>
  <c r="CZ56" i="5"/>
  <c r="CZ55" i="5"/>
  <c r="DB55" i="5" s="1"/>
  <c r="AY62" i="5"/>
  <c r="BT56" i="5"/>
  <c r="BT58" i="5"/>
  <c r="BT63" i="5"/>
  <c r="BT60" i="5"/>
  <c r="FW49" i="5"/>
  <c r="FW45" i="5"/>
  <c r="FW41" i="5"/>
  <c r="FW37" i="5"/>
  <c r="FW33" i="5"/>
  <c r="FW29" i="5"/>
  <c r="BT66" i="5"/>
  <c r="DT25" i="5"/>
  <c r="DV25" i="5" s="1"/>
  <c r="FB25" i="5" s="1"/>
  <c r="EL12" i="5"/>
  <c r="EN12" i="5" s="1"/>
  <c r="ER12" i="5" s="1"/>
  <c r="FS34" i="5"/>
  <c r="FS67" i="5"/>
  <c r="FS63" i="5"/>
  <c r="FS59" i="5"/>
  <c r="FS55" i="5"/>
  <c r="FS47" i="5"/>
  <c r="FS43" i="5"/>
  <c r="FS39" i="5"/>
  <c r="AY64" i="5"/>
  <c r="BT64" i="5"/>
  <c r="FW12" i="5"/>
  <c r="DB27" i="5"/>
  <c r="DA27" i="5"/>
  <c r="FS51" i="5"/>
  <c r="FS52" i="5"/>
  <c r="FS35" i="5"/>
  <c r="FS36" i="5"/>
  <c r="FS30" i="5"/>
  <c r="FS31" i="5"/>
  <c r="AB49" i="5"/>
  <c r="AB51" i="5"/>
  <c r="AB50" i="5"/>
  <c r="AB52" i="5"/>
  <c r="AB28" i="5"/>
  <c r="AB26" i="5"/>
  <c r="AB32" i="5"/>
  <c r="AB27" i="5"/>
  <c r="AB29" i="5"/>
  <c r="AB31" i="5"/>
  <c r="AB25" i="5"/>
  <c r="AB48" i="5"/>
  <c r="AB47" i="5"/>
  <c r="AB43" i="5"/>
  <c r="AB42" i="5"/>
  <c r="AB41" i="5"/>
  <c r="AB40" i="5"/>
  <c r="AB37" i="5"/>
  <c r="AB35" i="5"/>
  <c r="AB36" i="5"/>
  <c r="AB46" i="5"/>
  <c r="FH55" i="5"/>
  <c r="FH57" i="5"/>
  <c r="FH56" i="5"/>
  <c r="FI62" i="5"/>
  <c r="FJ67" i="5"/>
  <c r="FH54" i="5"/>
  <c r="FI59" i="5"/>
  <c r="FJ66" i="5"/>
  <c r="FH53" i="5"/>
  <c r="FH52" i="5"/>
  <c r="FJ65" i="5"/>
  <c r="FI56" i="5"/>
  <c r="FI57" i="5"/>
  <c r="FI55" i="5"/>
  <c r="AB65" i="5"/>
  <c r="AB64" i="5"/>
  <c r="AB62" i="5"/>
  <c r="AB59" i="5"/>
  <c r="AB58" i="5"/>
  <c r="AB63" i="5"/>
  <c r="AB60" i="5"/>
  <c r="FI54" i="5"/>
  <c r="FH49" i="5"/>
  <c r="FJ62" i="5"/>
  <c r="FG71" i="5"/>
  <c r="FH44" i="5"/>
  <c r="FJ52" i="5"/>
  <c r="FH46" i="5"/>
  <c r="FI43" i="5"/>
  <c r="FJ47" i="5"/>
  <c r="FI50" i="5"/>
  <c r="FI42" i="5"/>
  <c r="FJ46" i="5"/>
  <c r="FI52" i="5"/>
  <c r="FH67" i="5"/>
  <c r="FH65" i="5"/>
  <c r="FI63" i="5"/>
  <c r="FH64" i="5"/>
  <c r="FH59" i="5"/>
  <c r="FI65" i="5"/>
  <c r="BF67" i="5"/>
  <c r="BF58" i="5"/>
  <c r="CZ58" i="5"/>
  <c r="CZ53" i="5"/>
  <c r="BF53" i="5"/>
  <c r="BF49" i="5"/>
  <c r="CZ49" i="5"/>
  <c r="CZ45" i="5"/>
  <c r="BF45" i="5"/>
  <c r="CZ46" i="5"/>
  <c r="BF41" i="5"/>
  <c r="CZ41" i="5"/>
  <c r="CZ37" i="5"/>
  <c r="BF37" i="5"/>
  <c r="CZ38" i="5"/>
  <c r="CZ29" i="5"/>
  <c r="BF29" i="5"/>
  <c r="CZ30" i="5"/>
  <c r="BF25" i="5"/>
  <c r="CZ25" i="5"/>
  <c r="CZ21" i="5"/>
  <c r="CZ22" i="5"/>
  <c r="BF21" i="5"/>
  <c r="BF17" i="5"/>
  <c r="CZ17" i="5"/>
  <c r="CZ13" i="5"/>
  <c r="BF13" i="5"/>
  <c r="CZ14" i="5"/>
  <c r="BF9" i="5"/>
  <c r="CZ9" i="5"/>
  <c r="CZ5" i="5"/>
  <c r="BF5" i="5"/>
  <c r="CZ6" i="5"/>
  <c r="AB39" i="5"/>
  <c r="AB33" i="5"/>
  <c r="FI22" i="5"/>
  <c r="FI26" i="5"/>
  <c r="FI34" i="5"/>
  <c r="FH37" i="5"/>
  <c r="CZ64" i="5"/>
  <c r="CZ63" i="5"/>
  <c r="AB53" i="5"/>
  <c r="FI51" i="5"/>
  <c r="FI49" i="5"/>
  <c r="FH42" i="5"/>
  <c r="FI45" i="5"/>
  <c r="FH40" i="5"/>
  <c r="FJ51" i="5"/>
  <c r="FJ49" i="5"/>
  <c r="FI41" i="5"/>
  <c r="FH32" i="5"/>
  <c r="FJ45" i="5"/>
  <c r="FI35" i="5"/>
  <c r="FI33" i="5"/>
  <c r="FJ41" i="5"/>
  <c r="FH26" i="5"/>
  <c r="FI29" i="5"/>
  <c r="FH24" i="5"/>
  <c r="FJ35" i="5"/>
  <c r="FH20" i="5"/>
  <c r="FH16" i="5"/>
  <c r="FJ29" i="5"/>
  <c r="FI21" i="5"/>
  <c r="FI19" i="5"/>
  <c r="FJ25" i="5"/>
  <c r="FH45" i="5"/>
  <c r="FJ56" i="5"/>
  <c r="FH43" i="5"/>
  <c r="FJ54" i="5"/>
  <c r="FI44" i="5"/>
  <c r="FH39" i="5"/>
  <c r="FH35" i="5"/>
  <c r="FJ48" i="5"/>
  <c r="FI38" i="5"/>
  <c r="FI36" i="5"/>
  <c r="FJ44" i="5"/>
  <c r="FH29" i="5"/>
  <c r="FJ40" i="5"/>
  <c r="FH27" i="5"/>
  <c r="FJ38" i="5"/>
  <c r="FI28" i="5"/>
  <c r="FH19" i="5"/>
  <c r="FH17" i="5"/>
  <c r="FI20" i="5"/>
  <c r="FJ26" i="5"/>
  <c r="FJ60" i="5"/>
  <c r="FH47" i="5"/>
  <c r="AB34" i="5"/>
  <c r="FH13" i="5"/>
  <c r="FJ42" i="5"/>
  <c r="FI46" i="5"/>
  <c r="FH14" i="5"/>
  <c r="FH22" i="5"/>
  <c r="FJ43" i="5"/>
  <c r="FI47" i="5"/>
  <c r="FI24" i="5"/>
  <c r="FH31" i="5"/>
  <c r="FI17" i="5"/>
  <c r="FJ37" i="5"/>
  <c r="FJ53" i="5"/>
  <c r="FI53" i="5"/>
  <c r="FJ61" i="5"/>
  <c r="FH48" i="5"/>
  <c r="FI64" i="5"/>
  <c r="FH58" i="5"/>
  <c r="AB67" i="5"/>
  <c r="FH51" i="5"/>
  <c r="FJ64" i="5"/>
  <c r="FJ63" i="5"/>
  <c r="FI67" i="5"/>
  <c r="FH62" i="5"/>
  <c r="FI66" i="5"/>
  <c r="FH60" i="5"/>
  <c r="FH50" i="5"/>
  <c r="AB61" i="5"/>
  <c r="FH63" i="5"/>
  <c r="BF54" i="5"/>
  <c r="CZ54" i="5"/>
  <c r="CZ50" i="5"/>
  <c r="CZ51" i="5"/>
  <c r="BF50" i="5"/>
  <c r="CZ47" i="5"/>
  <c r="BF46" i="5"/>
  <c r="CZ42" i="5"/>
  <c r="CZ39" i="5"/>
  <c r="BF38" i="5"/>
  <c r="CZ34" i="5"/>
  <c r="BF34" i="5"/>
  <c r="CZ31" i="5"/>
  <c r="BF30" i="5"/>
  <c r="CZ26" i="5"/>
  <c r="CZ23" i="5"/>
  <c r="BF22" i="5"/>
  <c r="CZ18" i="5"/>
  <c r="CZ19" i="5"/>
  <c r="BF18" i="5"/>
  <c r="CZ15" i="5"/>
  <c r="BF14" i="5"/>
  <c r="CZ10" i="5"/>
  <c r="CZ7" i="5"/>
  <c r="BF6" i="5"/>
  <c r="FS64" i="5"/>
  <c r="BW42" i="5"/>
  <c r="BW43" i="5"/>
  <c r="BW46" i="5"/>
  <c r="BW47" i="5"/>
  <c r="BW48" i="5"/>
  <c r="BW53" i="5"/>
  <c r="BW54" i="5"/>
  <c r="BW57" i="5"/>
  <c r="BW58" i="5"/>
  <c r="BW62" i="5"/>
  <c r="BT43" i="5"/>
  <c r="FI61" i="5"/>
  <c r="FH66" i="5"/>
  <c r="FS26" i="5"/>
  <c r="FS27" i="5"/>
  <c r="FS60" i="5"/>
  <c r="FS57" i="5"/>
  <c r="FS56" i="5"/>
  <c r="FS48" i="5"/>
  <c r="FS44" i="5"/>
  <c r="FS41" i="5"/>
  <c r="FS40" i="5"/>
  <c r="BT38" i="5"/>
  <c r="BW64" i="5"/>
  <c r="BW60" i="5"/>
  <c r="BW56" i="5"/>
  <c r="BW52" i="5"/>
  <c r="BW44" i="5"/>
  <c r="BW65" i="5"/>
  <c r="BT37" i="5"/>
  <c r="BT33" i="5"/>
  <c r="BW49" i="5"/>
  <c r="AY65" i="5"/>
  <c r="AY63" i="5"/>
  <c r="BW45" i="5"/>
  <c r="BW50" i="5"/>
  <c r="BT40" i="5"/>
  <c r="BW61" i="5"/>
  <c r="BT44" i="5"/>
  <c r="AY59" i="5"/>
  <c r="AY58" i="5"/>
  <c r="AY61" i="5"/>
  <c r="BT17" i="5"/>
  <c r="BW37" i="5"/>
  <c r="AY60" i="5"/>
  <c r="BT19" i="5"/>
  <c r="BB16" i="5"/>
  <c r="BW39" i="5"/>
  <c r="BT20" i="5"/>
  <c r="BW41" i="5"/>
  <c r="FH61" i="5"/>
  <c r="FW48" i="5"/>
  <c r="FW44" i="5"/>
  <c r="FW40" i="5"/>
  <c r="FW47" i="5"/>
  <c r="FW43" i="5"/>
  <c r="FW39" i="5"/>
  <c r="AY67" i="5"/>
  <c r="BT48" i="5"/>
  <c r="BW51" i="5"/>
  <c r="BT35" i="5"/>
  <c r="BT41" i="5"/>
  <c r="BT42" i="5"/>
  <c r="BT27" i="5"/>
  <c r="FW34" i="5"/>
  <c r="FW30" i="5"/>
  <c r="AY66" i="5"/>
  <c r="BT45" i="5"/>
  <c r="BT49" i="5"/>
  <c r="BW66" i="5"/>
  <c r="BT34" i="5"/>
  <c r="BW59" i="5"/>
  <c r="BW63" i="5"/>
  <c r="BT59" i="5"/>
  <c r="BT57" i="5"/>
  <c r="BT55" i="5"/>
  <c r="BT53" i="5"/>
  <c r="BT51" i="5"/>
  <c r="FW35" i="5"/>
  <c r="FW31" i="5"/>
  <c r="AK5" i="99" l="1"/>
  <c r="AI6" i="99"/>
  <c r="AJ6" i="99" s="1"/>
  <c r="AI7" i="99" s="1"/>
  <c r="AJ7" i="99" s="1"/>
  <c r="CR54" i="99"/>
  <c r="CQ65" i="99"/>
  <c r="DA22" i="99"/>
  <c r="CZ49" i="99"/>
  <c r="DK34" i="5"/>
  <c r="CZ62" i="99"/>
  <c r="DA8" i="99"/>
  <c r="DJ18" i="5"/>
  <c r="AN6" i="5"/>
  <c r="DA16" i="99"/>
  <c r="CQ21" i="99"/>
  <c r="DA59" i="99"/>
  <c r="CZ61" i="99"/>
  <c r="AI6" i="5"/>
  <c r="AJ6" i="5" s="1"/>
  <c r="AK5" i="5"/>
  <c r="AE50" i="5"/>
  <c r="AE29" i="5"/>
  <c r="AE65" i="5"/>
  <c r="AE58" i="5"/>
  <c r="AE25" i="5"/>
  <c r="AE26" i="5"/>
  <c r="AE64" i="5"/>
  <c r="AE45" i="5"/>
  <c r="AE57" i="5"/>
  <c r="AE63" i="5"/>
  <c r="AE38" i="5"/>
  <c r="AE28" i="5"/>
  <c r="AE32" i="5"/>
  <c r="AE62" i="5"/>
  <c r="AE34" i="5"/>
  <c r="AE55" i="5"/>
  <c r="AE52" i="5"/>
  <c r="AE59" i="5"/>
  <c r="AE40" i="5"/>
  <c r="AE27" i="5"/>
  <c r="AE61" i="5"/>
  <c r="AE56" i="5"/>
  <c r="AE36" i="5"/>
  <c r="AE48" i="5"/>
  <c r="AE35" i="5"/>
  <c r="AE31" i="5"/>
  <c r="AE42" i="5"/>
  <c r="AE49" i="5"/>
  <c r="AE43" i="5"/>
  <c r="AE30" i="5"/>
  <c r="AE60" i="5"/>
  <c r="AE46" i="5"/>
  <c r="AE47" i="5"/>
  <c r="AE44" i="5"/>
  <c r="AE39" i="5"/>
  <c r="AE51" i="5"/>
  <c r="AE54" i="5"/>
  <c r="AE53" i="5"/>
  <c r="AE33" i="5"/>
  <c r="AE41" i="5"/>
  <c r="AE37" i="5"/>
  <c r="DK10" i="5"/>
  <c r="AW5" i="5"/>
  <c r="DK53" i="5"/>
  <c r="AQ6" i="5"/>
  <c r="AR6" i="5" s="1"/>
  <c r="AS6" i="5" s="1"/>
  <c r="DJ65" i="5"/>
  <c r="DA59" i="5"/>
  <c r="DJ43" i="5"/>
  <c r="DK31" i="5"/>
  <c r="DK42" i="5"/>
  <c r="DB32" i="5"/>
  <c r="DA16" i="5"/>
  <c r="DK27" i="5"/>
  <c r="CZ59" i="99"/>
  <c r="CQ39" i="99"/>
  <c r="CR21" i="99"/>
  <c r="DA61" i="99"/>
  <c r="DB43" i="5"/>
  <c r="DK44" i="5"/>
  <c r="DA20" i="5"/>
  <c r="CR58" i="99"/>
  <c r="CQ58" i="99"/>
  <c r="DA45" i="99"/>
  <c r="CZ45" i="99"/>
  <c r="DA62" i="5"/>
  <c r="DK48" i="5"/>
  <c r="DJ15" i="5"/>
  <c r="DA40" i="5"/>
  <c r="CZ46" i="99"/>
  <c r="DJ52" i="5"/>
  <c r="DK26" i="5"/>
  <c r="DK12" i="5"/>
  <c r="DJ31" i="5"/>
  <c r="DB28" i="5"/>
  <c r="DA58" i="99"/>
  <c r="CZ58" i="99"/>
  <c r="FC37" i="99"/>
  <c r="FE47" i="99"/>
  <c r="FE46" i="99"/>
  <c r="FE35" i="99"/>
  <c r="FD39" i="99"/>
  <c r="FE45" i="99"/>
  <c r="AS8" i="99"/>
  <c r="DA63" i="99"/>
  <c r="DK60" i="5"/>
  <c r="DA55" i="5"/>
  <c r="DA57" i="5"/>
  <c r="DA36" i="5"/>
  <c r="DA28" i="5"/>
  <c r="DA52" i="5"/>
  <c r="DB65" i="5"/>
  <c r="DB20" i="5"/>
  <c r="DK20" i="5"/>
  <c r="DJ19" i="5"/>
  <c r="DJ30" i="5"/>
  <c r="DB40" i="5"/>
  <c r="DJ60" i="5"/>
  <c r="EO12" i="5"/>
  <c r="EP12" i="5" s="1"/>
  <c r="EQ12" i="5" s="1"/>
  <c r="FC12" i="5"/>
  <c r="FD37" i="99"/>
  <c r="FD36" i="99"/>
  <c r="FC36" i="99"/>
  <c r="FE43" i="99"/>
  <c r="FE44" i="99"/>
  <c r="FD41" i="99"/>
  <c r="FD40" i="99"/>
  <c r="FE49" i="99"/>
  <c r="FE40" i="99"/>
  <c r="FD30" i="99"/>
  <c r="FD31" i="99"/>
  <c r="FE38" i="99"/>
  <c r="FE24" i="99"/>
  <c r="EK13" i="99"/>
  <c r="FE31" i="99"/>
  <c r="FC23" i="99"/>
  <c r="DB57" i="5"/>
  <c r="DJ12" i="5"/>
  <c r="DB18" i="99"/>
  <c r="DB19" i="99" s="1"/>
  <c r="DB20" i="99" s="1"/>
  <c r="DB21" i="99" s="1"/>
  <c r="DB22" i="99" s="1"/>
  <c r="DB23" i="99" s="1"/>
  <c r="DB24" i="99" s="1"/>
  <c r="DB25" i="99" s="1"/>
  <c r="DB26" i="99" s="1"/>
  <c r="DB27" i="99" s="1"/>
  <c r="DB28" i="99" s="1"/>
  <c r="DB29" i="99" s="1"/>
  <c r="DB30" i="99" s="1"/>
  <c r="DB31" i="99" s="1"/>
  <c r="DB32" i="99" s="1"/>
  <c r="DB33" i="99" s="1"/>
  <c r="DB34" i="99" s="1"/>
  <c r="DB35" i="99" s="1"/>
  <c r="DB36" i="99" s="1"/>
  <c r="DB37" i="99" s="1"/>
  <c r="DB38" i="99" s="1"/>
  <c r="DB39" i="99" s="1"/>
  <c r="DB40" i="99" s="1"/>
  <c r="DB41" i="99" s="1"/>
  <c r="DB42" i="99" s="1"/>
  <c r="DB43" i="99" s="1"/>
  <c r="DB44" i="99" s="1"/>
  <c r="DB45" i="99" s="1"/>
  <c r="EL13" i="5"/>
  <c r="EN13" i="5" s="1"/>
  <c r="CT29" i="5"/>
  <c r="CV29" i="5" s="1"/>
  <c r="FM13" i="99"/>
  <c r="FC20" i="99"/>
  <c r="FD20" i="99"/>
  <c r="FD26" i="99"/>
  <c r="FE27" i="99"/>
  <c r="FD23" i="99"/>
  <c r="DJ27" i="99"/>
  <c r="DL26" i="99"/>
  <c r="ER26" i="99" s="1"/>
  <c r="CI15" i="99"/>
  <c r="CG16" i="99"/>
  <c r="BK9" i="99"/>
  <c r="DC18" i="99"/>
  <c r="DC19" i="99" s="1"/>
  <c r="AZ17" i="99"/>
  <c r="AX18" i="99"/>
  <c r="CL32" i="99"/>
  <c r="CJ33" i="99"/>
  <c r="EM13" i="99"/>
  <c r="EK14" i="99"/>
  <c r="EU12" i="99"/>
  <c r="EQ12" i="99"/>
  <c r="EN12" i="99"/>
  <c r="EO12" i="99" s="1"/>
  <c r="EP12" i="99" s="1"/>
  <c r="DB66" i="5"/>
  <c r="DB35" i="5"/>
  <c r="DT26" i="5"/>
  <c r="DV26" i="5" s="1"/>
  <c r="DW26" i="5" s="1"/>
  <c r="DX26" i="5" s="1"/>
  <c r="DY26" i="5" s="1"/>
  <c r="DJ53" i="5"/>
  <c r="FV5" i="99"/>
  <c r="FW5" i="99"/>
  <c r="FU6" i="99"/>
  <c r="FW6" i="99" s="1"/>
  <c r="FD18" i="99"/>
  <c r="FE26" i="99"/>
  <c r="FC13" i="99"/>
  <c r="FE36" i="99"/>
  <c r="FE33" i="99"/>
  <c r="FC19" i="99"/>
  <c r="FB71" i="99"/>
  <c r="FD27" i="99"/>
  <c r="FD25" i="99"/>
  <c r="FC22" i="99"/>
  <c r="FE32" i="99"/>
  <c r="FC18" i="99"/>
  <c r="FE34" i="99"/>
  <c r="FD24" i="99"/>
  <c r="BT67" i="99"/>
  <c r="CX11" i="92" s="1"/>
  <c r="AW66" i="99"/>
  <c r="BV66" i="99"/>
  <c r="BT65" i="99"/>
  <c r="BV65" i="99"/>
  <c r="BV67" i="99"/>
  <c r="CR11" i="92" s="1"/>
  <c r="BT66" i="99"/>
  <c r="AW67" i="99"/>
  <c r="AW65" i="99"/>
  <c r="FC15" i="99"/>
  <c r="FE29" i="99"/>
  <c r="FE28" i="99"/>
  <c r="FD21" i="99"/>
  <c r="FC14" i="99"/>
  <c r="FD22" i="99"/>
  <c r="FD19" i="99"/>
  <c r="FC17" i="99"/>
  <c r="FC16" i="99"/>
  <c r="BH18" i="99"/>
  <c r="BF19" i="99"/>
  <c r="FC11" i="99"/>
  <c r="FD16" i="99"/>
  <c r="FV4" i="99"/>
  <c r="FW4" i="99"/>
  <c r="DS25" i="99"/>
  <c r="FC34" i="99"/>
  <c r="FD32" i="99"/>
  <c r="FD35" i="99"/>
  <c r="FC35" i="99"/>
  <c r="FE42" i="99"/>
  <c r="FE37" i="99"/>
  <c r="FC30" i="99"/>
  <c r="FC31" i="99"/>
  <c r="FD34" i="99"/>
  <c r="FE41" i="99"/>
  <c r="FE39" i="99"/>
  <c r="FC32" i="99"/>
  <c r="FD38" i="99"/>
  <c r="FD33" i="99"/>
  <c r="FE48" i="99"/>
  <c r="FC33" i="99"/>
  <c r="FD42" i="99"/>
  <c r="FD17" i="99"/>
  <c r="FC12" i="99"/>
  <c r="FE25" i="99"/>
  <c r="FE30" i="99"/>
  <c r="ER25" i="99"/>
  <c r="AQ10" i="99"/>
  <c r="AR10" i="99" s="1"/>
  <c r="AS9" i="99"/>
  <c r="DD18" i="99"/>
  <c r="DE18" i="99" s="1"/>
  <c r="EY60" i="99"/>
  <c r="EY59" i="99"/>
  <c r="EX53" i="99"/>
  <c r="EX54" i="99"/>
  <c r="EX55" i="99"/>
  <c r="EZ66" i="99"/>
  <c r="EZ67" i="99"/>
  <c r="EY58" i="99"/>
  <c r="CP44" i="99"/>
  <c r="BB44" i="99"/>
  <c r="CP45" i="99"/>
  <c r="BB42" i="99"/>
  <c r="CP42" i="99"/>
  <c r="CP43" i="99"/>
  <c r="EX45" i="99"/>
  <c r="EZ58" i="99"/>
  <c r="EZ59" i="99"/>
  <c r="EY50" i="99"/>
  <c r="EX46" i="99"/>
  <c r="EY51" i="99"/>
  <c r="EZ57" i="99"/>
  <c r="EY49" i="99"/>
  <c r="EX44" i="99"/>
  <c r="EZ52" i="99"/>
  <c r="EX39" i="99"/>
  <c r="EY44" i="99"/>
  <c r="EX37" i="99"/>
  <c r="EY42" i="99"/>
  <c r="EZ50" i="99"/>
  <c r="EZ46" i="99"/>
  <c r="EY35" i="99"/>
  <c r="EY38" i="99"/>
  <c r="EY39" i="99"/>
  <c r="EZ47" i="99"/>
  <c r="EX31" i="99"/>
  <c r="EY33" i="99"/>
  <c r="EZ38" i="99"/>
  <c r="EZ42" i="99"/>
  <c r="EY36" i="99"/>
  <c r="EZ40" i="99"/>
  <c r="EZ39" i="99"/>
  <c r="EY30" i="99"/>
  <c r="EX30" i="99"/>
  <c r="EY34" i="99"/>
  <c r="EZ37" i="99"/>
  <c r="EX32" i="99"/>
  <c r="EX27" i="99"/>
  <c r="EZ41" i="99"/>
  <c r="EY31" i="99"/>
  <c r="EY37" i="99"/>
  <c r="EZ43" i="99"/>
  <c r="EX33" i="99"/>
  <c r="EX29" i="99"/>
  <c r="EY29" i="99"/>
  <c r="EZ45" i="99"/>
  <c r="EX34" i="99"/>
  <c r="EZ44" i="99"/>
  <c r="EY32" i="99"/>
  <c r="EX28" i="99"/>
  <c r="EZ30" i="99"/>
  <c r="EZ31" i="99"/>
  <c r="EY22" i="99"/>
  <c r="EX18" i="99"/>
  <c r="EX17" i="99"/>
  <c r="EY23" i="99"/>
  <c r="CP11" i="99"/>
  <c r="BB10" i="99"/>
  <c r="CP10" i="99"/>
  <c r="ES12" i="99"/>
  <c r="AE7" i="99"/>
  <c r="AF7" i="99" s="1"/>
  <c r="AG6" i="99"/>
  <c r="EZ55" i="99"/>
  <c r="EX41" i="99"/>
  <c r="EY45" i="99"/>
  <c r="EZ56" i="99"/>
  <c r="EX42" i="99"/>
  <c r="EZ54" i="99"/>
  <c r="EY46" i="99"/>
  <c r="EZ53" i="99"/>
  <c r="EY48" i="99"/>
  <c r="EY47" i="99"/>
  <c r="EX43" i="99"/>
  <c r="EX40" i="99"/>
  <c r="EY43" i="99"/>
  <c r="EX38" i="99"/>
  <c r="EZ51" i="99"/>
  <c r="EZ32" i="99"/>
  <c r="EX19" i="99"/>
  <c r="EY25" i="99"/>
  <c r="EW71" i="99"/>
  <c r="EX20" i="99"/>
  <c r="EY24" i="99"/>
  <c r="EZ33" i="99"/>
  <c r="EX14" i="99"/>
  <c r="EY19" i="99"/>
  <c r="EZ27" i="99"/>
  <c r="EY16" i="99"/>
  <c r="EX12" i="99"/>
  <c r="EX13" i="99"/>
  <c r="EY17" i="99"/>
  <c r="EZ26" i="99"/>
  <c r="EY18" i="99"/>
  <c r="EX11" i="99"/>
  <c r="EZ25" i="99"/>
  <c r="EZ24" i="99"/>
  <c r="EZ63" i="99"/>
  <c r="EY54" i="99"/>
  <c r="EX50" i="99"/>
  <c r="EX49" i="99"/>
  <c r="EY53" i="99"/>
  <c r="EZ62" i="99"/>
  <c r="EZ60" i="99"/>
  <c r="EY55" i="99"/>
  <c r="EY52" i="99"/>
  <c r="EX47" i="99"/>
  <c r="EX48" i="99"/>
  <c r="EZ61" i="99"/>
  <c r="BB34" i="99"/>
  <c r="CP34" i="99"/>
  <c r="EY40" i="99"/>
  <c r="EX36" i="99"/>
  <c r="EX35" i="99"/>
  <c r="EZ49" i="99"/>
  <c r="EY41" i="99"/>
  <c r="EZ48" i="99"/>
  <c r="FM34" i="99"/>
  <c r="FM33" i="99"/>
  <c r="EX15" i="99"/>
  <c r="EY20" i="99"/>
  <c r="EZ28" i="99"/>
  <c r="AM7" i="99"/>
  <c r="AN7" i="99" s="1"/>
  <c r="AO6" i="99"/>
  <c r="BB6" i="99"/>
  <c r="CP6" i="99"/>
  <c r="CP7" i="99"/>
  <c r="FR5" i="99"/>
  <c r="FS5" i="99"/>
  <c r="FQ6" i="99"/>
  <c r="FM19" i="99"/>
  <c r="ED13" i="99"/>
  <c r="EB14" i="99"/>
  <c r="EZ65" i="99"/>
  <c r="EZ64" i="99"/>
  <c r="EY57" i="99"/>
  <c r="EX52" i="99"/>
  <c r="EY56" i="99"/>
  <c r="EX51" i="99"/>
  <c r="CP40" i="99"/>
  <c r="BB40" i="99"/>
  <c r="CP41" i="99"/>
  <c r="CP38" i="99"/>
  <c r="CP37" i="99"/>
  <c r="BB37" i="99"/>
  <c r="CP35" i="99"/>
  <c r="BB35" i="99"/>
  <c r="CP36" i="99"/>
  <c r="BB30" i="99"/>
  <c r="CP31" i="99"/>
  <c r="CP30" i="99"/>
  <c r="EZ35" i="99"/>
  <c r="EX21" i="99"/>
  <c r="EX23" i="99"/>
  <c r="EY28" i="99"/>
  <c r="EZ34" i="99"/>
  <c r="EZ36" i="99"/>
  <c r="EY27" i="99"/>
  <c r="EY26" i="99"/>
  <c r="EX22" i="99"/>
  <c r="EX16" i="99"/>
  <c r="EY21" i="99"/>
  <c r="EZ29" i="99"/>
  <c r="FM14" i="99"/>
  <c r="FM15" i="99"/>
  <c r="DA8" i="5"/>
  <c r="DB8" i="5"/>
  <c r="DB48" i="5"/>
  <c r="DA48" i="5"/>
  <c r="DA44" i="5"/>
  <c r="DB44" i="5"/>
  <c r="DA61" i="5"/>
  <c r="DB61" i="5"/>
  <c r="DA24" i="5"/>
  <c r="DB24" i="5"/>
  <c r="DK11" i="5"/>
  <c r="DJ22" i="5"/>
  <c r="DK22" i="5"/>
  <c r="DJ59" i="5"/>
  <c r="DK59" i="5"/>
  <c r="DJ9" i="5"/>
  <c r="DK9" i="5"/>
  <c r="DJ35" i="5"/>
  <c r="DK35" i="5"/>
  <c r="DK38" i="5"/>
  <c r="DJ38" i="5"/>
  <c r="DJ14" i="5"/>
  <c r="DK17" i="5"/>
  <c r="DJ17" i="5"/>
  <c r="BQ8" i="5"/>
  <c r="BO9" i="5"/>
  <c r="BJ17" i="5"/>
  <c r="BL16" i="5"/>
  <c r="DJ6" i="5"/>
  <c r="DK6" i="5"/>
  <c r="DK64" i="5"/>
  <c r="DJ64" i="5"/>
  <c r="DJ28" i="5"/>
  <c r="DK28" i="5"/>
  <c r="DK13" i="5"/>
  <c r="DJ13" i="5"/>
  <c r="DJ21" i="5"/>
  <c r="DK21" i="5"/>
  <c r="DJ40" i="5"/>
  <c r="DK40" i="5"/>
  <c r="DJ49" i="5"/>
  <c r="DK49" i="5"/>
  <c r="DJ58" i="5"/>
  <c r="DK58" i="5"/>
  <c r="DK5" i="5"/>
  <c r="DJ5" i="5"/>
  <c r="DJ47" i="5"/>
  <c r="DK47" i="5"/>
  <c r="DK56" i="5"/>
  <c r="DJ56" i="5"/>
  <c r="DK50" i="5"/>
  <c r="DJ50" i="5"/>
  <c r="DK63" i="5"/>
  <c r="DJ63" i="5"/>
  <c r="DJ8" i="5"/>
  <c r="DK8" i="5"/>
  <c r="DJ29" i="5"/>
  <c r="DK29" i="5"/>
  <c r="DJ37" i="5"/>
  <c r="DK37" i="5"/>
  <c r="DJ44" i="5"/>
  <c r="DJ57" i="5"/>
  <c r="DK57" i="5"/>
  <c r="CQ15" i="5"/>
  <c r="CS15" i="5" s="1"/>
  <c r="DJ61" i="5"/>
  <c r="DK61" i="5"/>
  <c r="DJ39" i="5"/>
  <c r="DK39" i="5"/>
  <c r="DJ36" i="5"/>
  <c r="DK36" i="5"/>
  <c r="DJ66" i="5"/>
  <c r="DK66" i="5"/>
  <c r="DJ7" i="5"/>
  <c r="DK7" i="5"/>
  <c r="DJ16" i="5"/>
  <c r="DK16" i="5"/>
  <c r="DJ25" i="5"/>
  <c r="DK25" i="5"/>
  <c r="DK45" i="5"/>
  <c r="DJ45" i="5"/>
  <c r="DJ54" i="5"/>
  <c r="DK54" i="5"/>
  <c r="DJ46" i="5"/>
  <c r="DK46" i="5"/>
  <c r="DK23" i="5"/>
  <c r="DJ23" i="5"/>
  <c r="DJ33" i="5"/>
  <c r="DK33" i="5"/>
  <c r="DJ20" i="5"/>
  <c r="DK24" i="5"/>
  <c r="DJ24" i="5"/>
  <c r="DJ32" i="5"/>
  <c r="DK32" i="5"/>
  <c r="DJ41" i="5"/>
  <c r="DK41" i="5"/>
  <c r="CR19" i="5"/>
  <c r="AU8" i="5"/>
  <c r="AV8" i="5" s="1"/>
  <c r="AW7" i="5"/>
  <c r="DK65" i="5"/>
  <c r="AO6" i="5"/>
  <c r="AM7" i="5"/>
  <c r="CU33" i="5"/>
  <c r="FD25" i="5"/>
  <c r="EI25" i="5"/>
  <c r="EF25" i="5"/>
  <c r="EG25" i="5" s="1"/>
  <c r="EH25" i="5" s="1"/>
  <c r="EI26" i="5"/>
  <c r="EF26" i="5"/>
  <c r="EG26" i="5" s="1"/>
  <c r="EH26" i="5" s="1"/>
  <c r="FD26" i="5"/>
  <c r="EW12" i="5"/>
  <c r="EU13" i="5"/>
  <c r="EE27" i="5"/>
  <c r="EC28" i="5"/>
  <c r="DA56" i="5"/>
  <c r="DB56" i="5"/>
  <c r="DW25" i="5"/>
  <c r="DX25" i="5" s="1"/>
  <c r="DY25" i="5" s="1"/>
  <c r="DZ25" i="5"/>
  <c r="DB11" i="5"/>
  <c r="DB60" i="5"/>
  <c r="DA60" i="5"/>
  <c r="DB33" i="5"/>
  <c r="DA33" i="5"/>
  <c r="DA39" i="5"/>
  <c r="DB39" i="5"/>
  <c r="DA64" i="5"/>
  <c r="DB64" i="5"/>
  <c r="DB6" i="5"/>
  <c r="DA6" i="5"/>
  <c r="DB13" i="5"/>
  <c r="DA13" i="5"/>
  <c r="DB30" i="5"/>
  <c r="DA30" i="5"/>
  <c r="BB17" i="5"/>
  <c r="BD16" i="5"/>
  <c r="AK6" i="5"/>
  <c r="AI7" i="5"/>
  <c r="AJ7" i="5" s="1"/>
  <c r="DA7" i="5"/>
  <c r="DB7" i="5"/>
  <c r="DA23" i="5"/>
  <c r="DB23" i="5"/>
  <c r="DA42" i="5"/>
  <c r="DB42" i="5"/>
  <c r="DA51" i="5"/>
  <c r="DB51" i="5"/>
  <c r="DB17" i="5"/>
  <c r="DA17" i="5"/>
  <c r="DB21" i="5"/>
  <c r="DA21" i="5"/>
  <c r="DA41" i="5"/>
  <c r="DB41" i="5"/>
  <c r="DB45" i="5"/>
  <c r="DA45" i="5"/>
  <c r="DB53" i="5"/>
  <c r="DA53" i="5"/>
  <c r="DA67" i="5"/>
  <c r="DB67" i="5"/>
  <c r="DA10" i="5"/>
  <c r="DB10" i="5"/>
  <c r="DA19" i="5"/>
  <c r="DB19" i="5"/>
  <c r="DB26" i="5"/>
  <c r="DA26" i="5"/>
  <c r="DB34" i="5"/>
  <c r="DA34" i="5"/>
  <c r="DB50" i="5"/>
  <c r="DA50" i="5"/>
  <c r="BG8" i="5"/>
  <c r="BI8" i="5" s="1"/>
  <c r="CK29" i="5"/>
  <c r="CM29" i="5" s="1"/>
  <c r="CH15" i="5"/>
  <c r="DA14" i="5"/>
  <c r="DB14" i="5"/>
  <c r="DB25" i="5"/>
  <c r="DA25" i="5"/>
  <c r="DB29" i="5"/>
  <c r="DA29" i="5"/>
  <c r="DB38" i="5"/>
  <c r="DA38" i="5"/>
  <c r="DB49" i="5"/>
  <c r="DA49" i="5"/>
  <c r="DB58" i="5"/>
  <c r="DA58" i="5"/>
  <c r="DA15" i="5"/>
  <c r="DB15" i="5"/>
  <c r="DB31" i="5"/>
  <c r="DA31" i="5"/>
  <c r="DA9" i="5"/>
  <c r="DB9" i="5"/>
  <c r="DB22" i="5"/>
  <c r="DA22" i="5"/>
  <c r="DA37" i="5"/>
  <c r="DB37" i="5"/>
  <c r="DB18" i="5"/>
  <c r="DA18" i="5"/>
  <c r="DA47" i="5"/>
  <c r="DB47" i="5"/>
  <c r="DA54" i="5"/>
  <c r="DB54" i="5"/>
  <c r="CZ5" i="92"/>
  <c r="DA63" i="5"/>
  <c r="DB63" i="5"/>
  <c r="DA5" i="5"/>
  <c r="DB5" i="5"/>
  <c r="DA46" i="5"/>
  <c r="DB46" i="5"/>
  <c r="AI8" i="99" l="1"/>
  <c r="AJ8" i="99" s="1"/>
  <c r="AK7" i="99"/>
  <c r="AK6" i="99"/>
  <c r="AN7" i="5"/>
  <c r="FU7" i="99"/>
  <c r="EL14" i="5"/>
  <c r="FB26" i="5"/>
  <c r="DZ26" i="5"/>
  <c r="CT30" i="5"/>
  <c r="AQ7" i="5"/>
  <c r="AR7" i="5" s="1"/>
  <c r="CK30" i="5"/>
  <c r="DB46" i="99"/>
  <c r="DB47" i="99" s="1"/>
  <c r="DB48" i="99" s="1"/>
  <c r="DB49" i="99" s="1"/>
  <c r="DB50" i="99" s="1"/>
  <c r="DB51" i="99" s="1"/>
  <c r="DB52" i="99" s="1"/>
  <c r="DB53" i="99" s="1"/>
  <c r="DB54" i="99" s="1"/>
  <c r="DB55" i="99" s="1"/>
  <c r="DB56" i="99" s="1"/>
  <c r="DB57" i="99" s="1"/>
  <c r="DB58" i="99" s="1"/>
  <c r="DB59" i="99" s="1"/>
  <c r="DB60" i="99" s="1"/>
  <c r="DB61" i="99" s="1"/>
  <c r="DB62" i="99" s="1"/>
  <c r="DB63" i="99" s="1"/>
  <c r="DB64" i="99" s="1"/>
  <c r="DB65" i="99" s="1"/>
  <c r="DB66" i="99" s="1"/>
  <c r="DB67" i="99" s="1"/>
  <c r="FV6" i="99"/>
  <c r="DT27" i="5"/>
  <c r="DT28" i="5" s="1"/>
  <c r="DD18" i="5"/>
  <c r="DD19" i="5" s="1"/>
  <c r="DM26" i="99"/>
  <c r="DN26" i="99" s="1"/>
  <c r="DO26" i="99" s="1"/>
  <c r="DP26" i="99"/>
  <c r="BM9" i="99"/>
  <c r="BK10" i="99"/>
  <c r="DJ28" i="99"/>
  <c r="DL27" i="99"/>
  <c r="AX19" i="99"/>
  <c r="AZ18" i="99"/>
  <c r="CI16" i="99"/>
  <c r="CG17" i="99"/>
  <c r="EK15" i="99"/>
  <c r="EM14" i="99"/>
  <c r="CJ34" i="99"/>
  <c r="CL33" i="99"/>
  <c r="EU13" i="99"/>
  <c r="EQ13" i="99"/>
  <c r="EN13" i="99"/>
  <c r="EO13" i="99" s="1"/>
  <c r="EP13" i="99" s="1"/>
  <c r="DU25" i="99"/>
  <c r="DS26" i="99"/>
  <c r="BH19" i="99"/>
  <c r="BF20" i="99"/>
  <c r="DC20" i="99"/>
  <c r="DD19" i="99"/>
  <c r="DE19" i="99" s="1"/>
  <c r="AQ11" i="99"/>
  <c r="AR11" i="99" s="1"/>
  <c r="AS10" i="99"/>
  <c r="FV7" i="99"/>
  <c r="FU8" i="99"/>
  <c r="FW7" i="99"/>
  <c r="CQ36" i="99"/>
  <c r="CR36" i="99"/>
  <c r="CQ37" i="99"/>
  <c r="CR37" i="99"/>
  <c r="CQ40" i="99"/>
  <c r="CR40" i="99"/>
  <c r="FR6" i="99"/>
  <c r="FS6" i="99"/>
  <c r="FQ7" i="99"/>
  <c r="CR7" i="99"/>
  <c r="CQ7" i="99"/>
  <c r="AM8" i="99"/>
  <c r="AN8" i="99" s="1"/>
  <c r="AO7" i="99"/>
  <c r="CR34" i="99"/>
  <c r="CQ34" i="99"/>
  <c r="CQ45" i="99"/>
  <c r="CR45" i="99"/>
  <c r="CQ30" i="99"/>
  <c r="CR30" i="99"/>
  <c r="CQ38" i="99"/>
  <c r="CR38" i="99"/>
  <c r="EB15" i="99"/>
  <c r="ED14" i="99"/>
  <c r="CR6" i="99"/>
  <c r="CQ6" i="99"/>
  <c r="CR11" i="99"/>
  <c r="CQ11" i="99"/>
  <c r="CR43" i="99"/>
  <c r="CQ43" i="99"/>
  <c r="CR31" i="99"/>
  <c r="CQ31" i="99"/>
  <c r="CR35" i="99"/>
  <c r="CQ35" i="99"/>
  <c r="CQ41" i="99"/>
  <c r="CR41" i="99"/>
  <c r="EH13" i="99"/>
  <c r="ES13" i="99"/>
  <c r="EE13" i="99"/>
  <c r="EF13" i="99" s="1"/>
  <c r="EG13" i="99" s="1"/>
  <c r="BC8" i="99"/>
  <c r="CA29" i="99"/>
  <c r="CC29" i="99" s="1"/>
  <c r="BX15" i="99"/>
  <c r="AE8" i="99"/>
  <c r="AF8" i="99" s="1"/>
  <c r="AG7" i="99"/>
  <c r="CQ42" i="99"/>
  <c r="CR42" i="99"/>
  <c r="CQ44" i="99"/>
  <c r="CR44" i="99"/>
  <c r="CQ10" i="99"/>
  <c r="CR10" i="99"/>
  <c r="CV30" i="5"/>
  <c r="CT31" i="5"/>
  <c r="CQ16" i="5"/>
  <c r="BJ18" i="5"/>
  <c r="BL17" i="5"/>
  <c r="DL18" i="5"/>
  <c r="DL19" i="5" s="1"/>
  <c r="DL20" i="5" s="1"/>
  <c r="DL21" i="5" s="1"/>
  <c r="DL22" i="5" s="1"/>
  <c r="DL23" i="5" s="1"/>
  <c r="DL24" i="5" s="1"/>
  <c r="DL25" i="5" s="1"/>
  <c r="DL26" i="5" s="1"/>
  <c r="DL27" i="5" s="1"/>
  <c r="DL28" i="5" s="1"/>
  <c r="DL29" i="5" s="1"/>
  <c r="DL30" i="5" s="1"/>
  <c r="DL31" i="5" s="1"/>
  <c r="DL32" i="5" s="1"/>
  <c r="DL33" i="5" s="1"/>
  <c r="DL34" i="5" s="1"/>
  <c r="DL35" i="5" s="1"/>
  <c r="DL36" i="5" s="1"/>
  <c r="DL37" i="5" s="1"/>
  <c r="DL38" i="5" s="1"/>
  <c r="DL39" i="5" s="1"/>
  <c r="DL40" i="5" s="1"/>
  <c r="DL41" i="5" s="1"/>
  <c r="DL42" i="5" s="1"/>
  <c r="DL43" i="5" s="1"/>
  <c r="DL44" i="5" s="1"/>
  <c r="DL45" i="5" s="1"/>
  <c r="DL46" i="5" s="1"/>
  <c r="DL47" i="5" s="1"/>
  <c r="DL48" i="5" s="1"/>
  <c r="DL49" i="5" s="1"/>
  <c r="DL50" i="5" s="1"/>
  <c r="DL51" i="5" s="1"/>
  <c r="DL52" i="5" s="1"/>
  <c r="DL53" i="5" s="1"/>
  <c r="DL54" i="5" s="1"/>
  <c r="DL55" i="5" s="1"/>
  <c r="DL56" i="5" s="1"/>
  <c r="DL57" i="5" s="1"/>
  <c r="DL58" i="5" s="1"/>
  <c r="DL59" i="5" s="1"/>
  <c r="DL60" i="5" s="1"/>
  <c r="DL61" i="5" s="1"/>
  <c r="DL62" i="5" s="1"/>
  <c r="DL63" i="5" s="1"/>
  <c r="DL64" i="5" s="1"/>
  <c r="DL65" i="5" s="1"/>
  <c r="DL66" i="5" s="1"/>
  <c r="DL67" i="5" s="1"/>
  <c r="BO10" i="5"/>
  <c r="BQ9" i="5"/>
  <c r="DM18" i="5"/>
  <c r="EW13" i="5"/>
  <c r="EU14" i="5"/>
  <c r="CU34" i="5"/>
  <c r="FA12" i="5"/>
  <c r="FE12" i="5"/>
  <c r="EX12" i="5"/>
  <c r="EY12" i="5" s="1"/>
  <c r="EZ12" i="5" s="1"/>
  <c r="AO7" i="5"/>
  <c r="AM8" i="5"/>
  <c r="CR20" i="5"/>
  <c r="EC29" i="5"/>
  <c r="EE28" i="5"/>
  <c r="AW8" i="5"/>
  <c r="AU9" i="5"/>
  <c r="AV9" i="5" s="1"/>
  <c r="FD27" i="5"/>
  <c r="EF27" i="5"/>
  <c r="EG27" i="5" s="1"/>
  <c r="EH27" i="5" s="1"/>
  <c r="EI27" i="5"/>
  <c r="BG9" i="5"/>
  <c r="BG10" i="5" s="1"/>
  <c r="CK31" i="5"/>
  <c r="CM30" i="5"/>
  <c r="CJ15" i="5"/>
  <c r="CH16" i="5"/>
  <c r="EN14" i="5"/>
  <c r="EL15" i="5"/>
  <c r="DC18" i="5"/>
  <c r="DC19" i="5" s="1"/>
  <c r="DC20" i="5" s="1"/>
  <c r="DC21" i="5" s="1"/>
  <c r="DC22" i="5" s="1"/>
  <c r="DC23" i="5" s="1"/>
  <c r="DC24" i="5" s="1"/>
  <c r="DC25" i="5" s="1"/>
  <c r="DC26" i="5" s="1"/>
  <c r="DC27" i="5" s="1"/>
  <c r="DC28" i="5" s="1"/>
  <c r="DC29" i="5" s="1"/>
  <c r="DC30" i="5" s="1"/>
  <c r="DC31" i="5" s="1"/>
  <c r="DC32" i="5" s="1"/>
  <c r="DC33" i="5" s="1"/>
  <c r="DC34" i="5" s="1"/>
  <c r="DC35" i="5" s="1"/>
  <c r="DC36" i="5" s="1"/>
  <c r="DC37" i="5" s="1"/>
  <c r="DC38" i="5" s="1"/>
  <c r="DC39" i="5" s="1"/>
  <c r="DC40" i="5" s="1"/>
  <c r="DC41" i="5" s="1"/>
  <c r="DC42" i="5" s="1"/>
  <c r="DC43" i="5" s="1"/>
  <c r="DC44" i="5" s="1"/>
  <c r="DC45" i="5" s="1"/>
  <c r="DC46" i="5" s="1"/>
  <c r="DC47" i="5" s="1"/>
  <c r="DC48" i="5" s="1"/>
  <c r="DC49" i="5" s="1"/>
  <c r="DC50" i="5" s="1"/>
  <c r="DC51" i="5" s="1"/>
  <c r="DC52" i="5" s="1"/>
  <c r="DC53" i="5" s="1"/>
  <c r="DC54" i="5" s="1"/>
  <c r="DC55" i="5" s="1"/>
  <c r="DC56" i="5" s="1"/>
  <c r="DC57" i="5" s="1"/>
  <c r="DC58" i="5" s="1"/>
  <c r="DC59" i="5" s="1"/>
  <c r="DC60" i="5" s="1"/>
  <c r="DC61" i="5" s="1"/>
  <c r="DC62" i="5" s="1"/>
  <c r="DC63" i="5" s="1"/>
  <c r="DC64" i="5" s="1"/>
  <c r="DC65" i="5" s="1"/>
  <c r="DC66" i="5" s="1"/>
  <c r="DC67" i="5" s="1"/>
  <c r="FC13" i="5"/>
  <c r="ER13" i="5"/>
  <c r="EO13" i="5"/>
  <c r="EP13" i="5" s="1"/>
  <c r="EQ13" i="5" s="1"/>
  <c r="BD17" i="5"/>
  <c r="BB18" i="5"/>
  <c r="AK7" i="5"/>
  <c r="AI8" i="5"/>
  <c r="AJ8" i="5" s="1"/>
  <c r="AK8" i="99" l="1"/>
  <c r="AI9" i="99"/>
  <c r="AJ9" i="99" s="1"/>
  <c r="AN8" i="5"/>
  <c r="AQ8" i="5"/>
  <c r="AR8" i="5" s="1"/>
  <c r="AS7" i="5"/>
  <c r="DV27" i="5"/>
  <c r="BM10" i="99"/>
  <c r="BK11" i="99"/>
  <c r="AZ19" i="99"/>
  <c r="AX20" i="99"/>
  <c r="CG18" i="99"/>
  <c r="CI17" i="99"/>
  <c r="DM27" i="99"/>
  <c r="DN27" i="99" s="1"/>
  <c r="DO27" i="99" s="1"/>
  <c r="ER27" i="99"/>
  <c r="DP27" i="99"/>
  <c r="DJ29" i="99"/>
  <c r="DL28" i="99"/>
  <c r="EQ14" i="99"/>
  <c r="EU14" i="99"/>
  <c r="EN14" i="99"/>
  <c r="EO14" i="99" s="1"/>
  <c r="EP14" i="99" s="1"/>
  <c r="EK16" i="99"/>
  <c r="EM15" i="99"/>
  <c r="CJ35" i="99"/>
  <c r="CL34" i="99"/>
  <c r="BH20" i="99"/>
  <c r="BF21" i="99"/>
  <c r="DU26" i="99"/>
  <c r="DS27" i="99"/>
  <c r="ET25" i="99"/>
  <c r="DV25" i="99"/>
  <c r="DW25" i="99" s="1"/>
  <c r="DX25" i="99" s="1"/>
  <c r="DY25" i="99"/>
  <c r="FU9" i="99"/>
  <c r="FW8" i="99"/>
  <c r="FV8" i="99"/>
  <c r="AQ12" i="99"/>
  <c r="AR12" i="99" s="1"/>
  <c r="AS11" i="99"/>
  <c r="DD20" i="99"/>
  <c r="DE20" i="99" s="1"/>
  <c r="DC21" i="99"/>
  <c r="AG8" i="99"/>
  <c r="AE9" i="99"/>
  <c r="AF9" i="99" s="1"/>
  <c r="EB16" i="99"/>
  <c r="ED15" i="99"/>
  <c r="AO8" i="99"/>
  <c r="AM9" i="99"/>
  <c r="AN9" i="99" s="1"/>
  <c r="BZ15" i="99"/>
  <c r="BX16" i="99"/>
  <c r="CS18" i="99"/>
  <c r="CS19" i="99" s="1"/>
  <c r="CS20" i="99" s="1"/>
  <c r="CS21" i="99" s="1"/>
  <c r="CS22" i="99" s="1"/>
  <c r="CS23" i="99" s="1"/>
  <c r="CS24" i="99" s="1"/>
  <c r="CS25" i="99" s="1"/>
  <c r="CS26" i="99" s="1"/>
  <c r="CS27" i="99" s="1"/>
  <c r="CS28" i="99" s="1"/>
  <c r="CS29" i="99" s="1"/>
  <c r="CS30" i="99" s="1"/>
  <c r="CS31" i="99" s="1"/>
  <c r="CS32" i="99" s="1"/>
  <c r="CS33" i="99" s="1"/>
  <c r="CS34" i="99" s="1"/>
  <c r="CS35" i="99" s="1"/>
  <c r="CS36" i="99" s="1"/>
  <c r="CS37" i="99" s="1"/>
  <c r="CS38" i="99" s="1"/>
  <c r="CS39" i="99" s="1"/>
  <c r="CS40" i="99" s="1"/>
  <c r="CS41" i="99" s="1"/>
  <c r="CS42" i="99" s="1"/>
  <c r="CS43" i="99" s="1"/>
  <c r="CS44" i="99" s="1"/>
  <c r="CS45" i="99" s="1"/>
  <c r="CS46" i="99" s="1"/>
  <c r="CS47" i="99" s="1"/>
  <c r="CS48" i="99" s="1"/>
  <c r="CS49" i="99" s="1"/>
  <c r="CS50" i="99" s="1"/>
  <c r="CS51" i="99" s="1"/>
  <c r="CS52" i="99" s="1"/>
  <c r="CS53" i="99" s="1"/>
  <c r="CS54" i="99" s="1"/>
  <c r="CS55" i="99" s="1"/>
  <c r="CS56" i="99" s="1"/>
  <c r="CS57" i="99" s="1"/>
  <c r="CS58" i="99" s="1"/>
  <c r="CS59" i="99" s="1"/>
  <c r="CS60" i="99" s="1"/>
  <c r="CS61" i="99" s="1"/>
  <c r="CS62" i="99" s="1"/>
  <c r="CS63" i="99" s="1"/>
  <c r="CS64" i="99" s="1"/>
  <c r="CS65" i="99" s="1"/>
  <c r="CS66" i="99" s="1"/>
  <c r="CS67" i="99" s="1"/>
  <c r="CT18" i="99"/>
  <c r="CA30" i="99"/>
  <c r="BE8" i="99"/>
  <c r="BC9" i="99"/>
  <c r="ES14" i="99"/>
  <c r="EH14" i="99"/>
  <c r="EE14" i="99"/>
  <c r="EF14" i="99" s="1"/>
  <c r="EG14" i="99" s="1"/>
  <c r="FQ8" i="99"/>
  <c r="FS7" i="99"/>
  <c r="FR7" i="99"/>
  <c r="BI9" i="5"/>
  <c r="DN18" i="5"/>
  <c r="DO18" i="5" s="1"/>
  <c r="DM19" i="5"/>
  <c r="BL18" i="5"/>
  <c r="BJ19" i="5"/>
  <c r="BO11" i="5"/>
  <c r="BQ10" i="5"/>
  <c r="CQ17" i="5"/>
  <c r="CS16" i="5"/>
  <c r="CV31" i="5"/>
  <c r="CT32" i="5"/>
  <c r="CR21" i="5"/>
  <c r="EI28" i="5"/>
  <c r="FD28" i="5"/>
  <c r="EF28" i="5"/>
  <c r="EG28" i="5" s="1"/>
  <c r="EH28" i="5" s="1"/>
  <c r="CU35" i="5"/>
  <c r="EU15" i="5"/>
  <c r="EW14" i="5"/>
  <c r="EE29" i="5"/>
  <c r="EC30" i="5"/>
  <c r="AO8" i="5"/>
  <c r="AM9" i="5"/>
  <c r="FA13" i="5"/>
  <c r="FE13" i="5"/>
  <c r="EX13" i="5"/>
  <c r="EY13" i="5" s="1"/>
  <c r="EZ13" i="5" s="1"/>
  <c r="AW9" i="5"/>
  <c r="AU10" i="5"/>
  <c r="AV10" i="5" s="1"/>
  <c r="AI9" i="5"/>
  <c r="AJ9" i="5" s="1"/>
  <c r="AK8" i="5"/>
  <c r="EN15" i="5"/>
  <c r="EL16" i="5"/>
  <c r="DE18" i="5"/>
  <c r="DF18" i="5" s="1"/>
  <c r="DE19" i="5"/>
  <c r="DF19" i="5" s="1"/>
  <c r="DD20" i="5"/>
  <c r="DV28" i="5"/>
  <c r="DT29" i="5"/>
  <c r="ER14" i="5"/>
  <c r="FC14" i="5"/>
  <c r="EO14" i="5"/>
  <c r="EP14" i="5" s="1"/>
  <c r="EQ14" i="5" s="1"/>
  <c r="BI10" i="5"/>
  <c r="BG11" i="5"/>
  <c r="CJ16" i="5"/>
  <c r="CH17" i="5"/>
  <c r="BD18" i="5"/>
  <c r="BB19" i="5"/>
  <c r="DZ27" i="5"/>
  <c r="FB27" i="5"/>
  <c r="DW27" i="5"/>
  <c r="DX27" i="5" s="1"/>
  <c r="DY27" i="5" s="1"/>
  <c r="CK32" i="5"/>
  <c r="CM31" i="5"/>
  <c r="AI10" i="99" l="1"/>
  <c r="AJ10" i="99" s="1"/>
  <c r="AK9" i="99"/>
  <c r="AN9" i="5"/>
  <c r="AS8" i="5"/>
  <c r="AQ9" i="5"/>
  <c r="AR9" i="5" s="1"/>
  <c r="AX21" i="99"/>
  <c r="AZ20" i="99"/>
  <c r="ER28" i="99"/>
  <c r="DM28" i="99"/>
  <c r="DN28" i="99" s="1"/>
  <c r="DO28" i="99" s="1"/>
  <c r="DP28" i="99"/>
  <c r="DJ30" i="99"/>
  <c r="DL29" i="99"/>
  <c r="BK12" i="99"/>
  <c r="BM11" i="99"/>
  <c r="CI18" i="99"/>
  <c r="CG19" i="99"/>
  <c r="CJ36" i="99"/>
  <c r="CL35" i="99"/>
  <c r="EM16" i="99"/>
  <c r="EK17" i="99"/>
  <c r="EN15" i="99"/>
  <c r="EO15" i="99" s="1"/>
  <c r="EP15" i="99" s="1"/>
  <c r="EU15" i="99"/>
  <c r="EQ15" i="99"/>
  <c r="DS28" i="99"/>
  <c r="DU27" i="99"/>
  <c r="DY26" i="99"/>
  <c r="ET26" i="99"/>
  <c r="DV26" i="99"/>
  <c r="DW26" i="99" s="1"/>
  <c r="DX26" i="99" s="1"/>
  <c r="BF22" i="99"/>
  <c r="BH21" i="99"/>
  <c r="AS12" i="99"/>
  <c r="AQ13" i="99"/>
  <c r="AR13" i="99" s="1"/>
  <c r="DC22" i="99"/>
  <c r="DD21" i="99"/>
  <c r="DE21" i="99" s="1"/>
  <c r="FU10" i="99"/>
  <c r="FV9" i="99"/>
  <c r="FW9" i="99"/>
  <c r="FR8" i="99"/>
  <c r="FQ9" i="99"/>
  <c r="FS8" i="99"/>
  <c r="CU18" i="99"/>
  <c r="CV18" i="99" s="1"/>
  <c r="CT19" i="99"/>
  <c r="BZ16" i="99"/>
  <c r="BX17" i="99"/>
  <c r="CA31" i="99"/>
  <c r="CC30" i="99"/>
  <c r="EH15" i="99"/>
  <c r="EE15" i="99"/>
  <c r="EF15" i="99" s="1"/>
  <c r="EG15" i="99" s="1"/>
  <c r="ES15" i="99"/>
  <c r="AG9" i="99"/>
  <c r="AE10" i="99"/>
  <c r="AF10" i="99" s="1"/>
  <c r="BE9" i="99"/>
  <c r="BC10" i="99"/>
  <c r="EB17" i="99"/>
  <c r="ED16" i="99"/>
  <c r="AM10" i="99"/>
  <c r="AN10" i="99" s="1"/>
  <c r="AO9" i="99"/>
  <c r="BO12" i="5"/>
  <c r="BQ11" i="5"/>
  <c r="BL19" i="5"/>
  <c r="BJ20" i="5"/>
  <c r="CQ18" i="5"/>
  <c r="CS17" i="5"/>
  <c r="DN19" i="5"/>
  <c r="DO19" i="5" s="1"/>
  <c r="DM20" i="5"/>
  <c r="CT33" i="5"/>
  <c r="CV32" i="5"/>
  <c r="EW15" i="5"/>
  <c r="EU16" i="5"/>
  <c r="AW10" i="5"/>
  <c r="AU11" i="5"/>
  <c r="AV11" i="5" s="1"/>
  <c r="AO9" i="5"/>
  <c r="AM10" i="5"/>
  <c r="EC31" i="5"/>
  <c r="EE30" i="5"/>
  <c r="CU36" i="5"/>
  <c r="FD29" i="5"/>
  <c r="EI29" i="5"/>
  <c r="EF29" i="5"/>
  <c r="EG29" i="5" s="1"/>
  <c r="EH29" i="5" s="1"/>
  <c r="FE14" i="5"/>
  <c r="FA14" i="5"/>
  <c r="EX14" i="5"/>
  <c r="EY14" i="5" s="1"/>
  <c r="EZ14" i="5" s="1"/>
  <c r="CR22" i="5"/>
  <c r="BI11" i="5"/>
  <c r="BG12" i="5"/>
  <c r="EN16" i="5"/>
  <c r="EL17" i="5"/>
  <c r="CM32" i="5"/>
  <c r="CK33" i="5"/>
  <c r="DV29" i="5"/>
  <c r="DT30" i="5"/>
  <c r="ER15" i="5"/>
  <c r="FC15" i="5"/>
  <c r="EO15" i="5"/>
  <c r="EP15" i="5" s="1"/>
  <c r="EQ15" i="5" s="1"/>
  <c r="CJ17" i="5"/>
  <c r="CH18" i="5"/>
  <c r="DW28" i="5"/>
  <c r="DX28" i="5" s="1"/>
  <c r="DY28" i="5" s="1"/>
  <c r="DZ28" i="5"/>
  <c r="FB28" i="5"/>
  <c r="BB20" i="5"/>
  <c r="BD19" i="5"/>
  <c r="DE20" i="5"/>
  <c r="DF20" i="5" s="1"/>
  <c r="DD21" i="5"/>
  <c r="AK9" i="5"/>
  <c r="AI10" i="5"/>
  <c r="AJ10" i="5" s="1"/>
  <c r="AK10" i="99" l="1"/>
  <c r="AI11" i="99"/>
  <c r="AJ11" i="99" s="1"/>
  <c r="AN10" i="5"/>
  <c r="AQ10" i="5"/>
  <c r="AR10" i="5" s="1"/>
  <c r="AS9" i="5"/>
  <c r="BK13" i="99"/>
  <c r="BM12" i="99"/>
  <c r="CI19" i="99"/>
  <c r="CG20" i="99"/>
  <c r="DP29" i="99"/>
  <c r="ER29" i="99"/>
  <c r="DM29" i="99"/>
  <c r="DN29" i="99" s="1"/>
  <c r="DO29" i="99" s="1"/>
  <c r="DL30" i="99"/>
  <c r="DJ31" i="99"/>
  <c r="AZ21" i="99"/>
  <c r="AX22" i="99"/>
  <c r="EK18" i="99"/>
  <c r="EM17" i="99"/>
  <c r="EU16" i="99"/>
  <c r="EN16" i="99"/>
  <c r="EO16" i="99" s="1"/>
  <c r="EP16" i="99" s="1"/>
  <c r="EQ16" i="99"/>
  <c r="CJ37" i="99"/>
  <c r="CL36" i="99"/>
  <c r="DU28" i="99"/>
  <c r="DS29" i="99"/>
  <c r="BH22" i="99"/>
  <c r="BF23" i="99"/>
  <c r="DV27" i="99"/>
  <c r="DW27" i="99" s="1"/>
  <c r="DX27" i="99" s="1"/>
  <c r="ET27" i="99"/>
  <c r="DY27" i="99"/>
  <c r="DC23" i="99"/>
  <c r="DD22" i="99"/>
  <c r="DE22" i="99" s="1"/>
  <c r="FV10" i="99"/>
  <c r="FU11" i="99"/>
  <c r="FW10" i="99"/>
  <c r="AQ14" i="99"/>
  <c r="AR14" i="99" s="1"/>
  <c r="AS13" i="99"/>
  <c r="ES16" i="99"/>
  <c r="EE16" i="99"/>
  <c r="EF16" i="99" s="1"/>
  <c r="EG16" i="99" s="1"/>
  <c r="EH16" i="99"/>
  <c r="BE10" i="99"/>
  <c r="BC11" i="99"/>
  <c r="FS9" i="99"/>
  <c r="FR9" i="99"/>
  <c r="FQ10" i="99"/>
  <c r="AO10" i="99"/>
  <c r="AM11" i="99"/>
  <c r="AN11" i="99" s="1"/>
  <c r="ED17" i="99"/>
  <c r="EB18" i="99"/>
  <c r="AE11" i="99"/>
  <c r="AF11" i="99" s="1"/>
  <c r="AG10" i="99"/>
  <c r="CU19" i="99"/>
  <c r="CV19" i="99" s="1"/>
  <c r="CT20" i="99"/>
  <c r="CA32" i="99"/>
  <c r="CC31" i="99"/>
  <c r="BZ17" i="99"/>
  <c r="BX18" i="99"/>
  <c r="CT34" i="5"/>
  <c r="CV33" i="5"/>
  <c r="CQ19" i="5"/>
  <c r="CS18" i="5"/>
  <c r="DM21" i="5"/>
  <c r="DN20" i="5"/>
  <c r="DO20" i="5" s="1"/>
  <c r="BL20" i="5"/>
  <c r="BJ21" i="5"/>
  <c r="BQ12" i="5"/>
  <c r="BO13" i="5"/>
  <c r="FD30" i="5"/>
  <c r="EI30" i="5"/>
  <c r="EF30" i="5"/>
  <c r="EG30" i="5" s="1"/>
  <c r="EH30" i="5" s="1"/>
  <c r="AW11" i="5"/>
  <c r="AU12" i="5"/>
  <c r="AV12" i="5" s="1"/>
  <c r="EE31" i="5"/>
  <c r="EC32" i="5"/>
  <c r="EU17" i="5"/>
  <c r="EW16" i="5"/>
  <c r="CR23" i="5"/>
  <c r="CU37" i="5"/>
  <c r="AO10" i="5"/>
  <c r="AM11" i="5"/>
  <c r="FE15" i="5"/>
  <c r="FA15" i="5"/>
  <c r="EX15" i="5"/>
  <c r="EY15" i="5" s="1"/>
  <c r="EZ15" i="5" s="1"/>
  <c r="FB29" i="5"/>
  <c r="DW29" i="5"/>
  <c r="DX29" i="5" s="1"/>
  <c r="DY29" i="5" s="1"/>
  <c r="DZ29" i="5"/>
  <c r="CM33" i="5"/>
  <c r="CK34" i="5"/>
  <c r="AK10" i="5"/>
  <c r="AI11" i="5"/>
  <c r="AJ11" i="5" s="1"/>
  <c r="BB21" i="5"/>
  <c r="BD20" i="5"/>
  <c r="CJ18" i="5"/>
  <c r="CH19" i="5"/>
  <c r="EN17" i="5"/>
  <c r="EL18" i="5"/>
  <c r="BI12" i="5"/>
  <c r="BG13" i="5"/>
  <c r="DE21" i="5"/>
  <c r="DF21" i="5" s="1"/>
  <c r="DD22" i="5"/>
  <c r="DV30" i="5"/>
  <c r="DT31" i="5"/>
  <c r="ER16" i="5"/>
  <c r="FC16" i="5"/>
  <c r="EO16" i="5"/>
  <c r="EP16" i="5" s="1"/>
  <c r="EQ16" i="5" s="1"/>
  <c r="AK11" i="99" l="1"/>
  <c r="AI12" i="99"/>
  <c r="AJ12" i="99" s="1"/>
  <c r="AN11" i="5"/>
  <c r="AS10" i="5"/>
  <c r="AQ11" i="5"/>
  <c r="AR11" i="5" s="1"/>
  <c r="DP30" i="99"/>
  <c r="ER30" i="99"/>
  <c r="DM30" i="99"/>
  <c r="DN30" i="99" s="1"/>
  <c r="DO30" i="99" s="1"/>
  <c r="CG21" i="99"/>
  <c r="CI20" i="99"/>
  <c r="AZ22" i="99"/>
  <c r="AX23" i="99"/>
  <c r="DL31" i="99"/>
  <c r="DJ32" i="99"/>
  <c r="BK14" i="99"/>
  <c r="BM13" i="99"/>
  <c r="CL37" i="99"/>
  <c r="CJ38" i="99"/>
  <c r="EN17" i="99"/>
  <c r="EO17" i="99" s="1"/>
  <c r="EP17" i="99" s="1"/>
  <c r="EU17" i="99"/>
  <c r="EQ17" i="99"/>
  <c r="EK19" i="99"/>
  <c r="EM18" i="99"/>
  <c r="DU29" i="99"/>
  <c r="DS30" i="99"/>
  <c r="DY28" i="99"/>
  <c r="ET28" i="99"/>
  <c r="DV28" i="99"/>
  <c r="DW28" i="99" s="1"/>
  <c r="DX28" i="99" s="1"/>
  <c r="BH23" i="99"/>
  <c r="BF24" i="99"/>
  <c r="FU12" i="99"/>
  <c r="FV11" i="99"/>
  <c r="FW11" i="99"/>
  <c r="AS14" i="99"/>
  <c r="AQ15" i="99"/>
  <c r="AR15" i="99" s="1"/>
  <c r="DD23" i="99"/>
  <c r="DE23" i="99" s="1"/>
  <c r="DC24" i="99"/>
  <c r="EH17" i="99"/>
  <c r="EE17" i="99"/>
  <c r="EF17" i="99" s="1"/>
  <c r="EG17" i="99" s="1"/>
  <c r="ES17" i="99"/>
  <c r="CA33" i="99"/>
  <c r="CC32" i="99"/>
  <c r="AO11" i="99"/>
  <c r="AM12" i="99"/>
  <c r="AN12" i="99" s="1"/>
  <c r="BX19" i="99"/>
  <c r="BZ18" i="99"/>
  <c r="AE12" i="99"/>
  <c r="AF12" i="99" s="1"/>
  <c r="AG11" i="99"/>
  <c r="CT21" i="99"/>
  <c r="CU20" i="99"/>
  <c r="CV20" i="99" s="1"/>
  <c r="EB19" i="99"/>
  <c r="ED18" i="99"/>
  <c r="FR10" i="99"/>
  <c r="FQ11" i="99"/>
  <c r="FS10" i="99"/>
  <c r="BC12" i="99"/>
  <c r="BE11" i="99"/>
  <c r="BJ22" i="5"/>
  <c r="BL21" i="5"/>
  <c r="CQ20" i="5"/>
  <c r="CS19" i="5"/>
  <c r="BO14" i="5"/>
  <c r="BQ13" i="5"/>
  <c r="DM22" i="5"/>
  <c r="DN21" i="5"/>
  <c r="DO21" i="5" s="1"/>
  <c r="CT35" i="5"/>
  <c r="CV34" i="5"/>
  <c r="CU38" i="5"/>
  <c r="FD31" i="5"/>
  <c r="EI31" i="5"/>
  <c r="EF31" i="5"/>
  <c r="EG31" i="5" s="1"/>
  <c r="EH31" i="5" s="1"/>
  <c r="AW12" i="5"/>
  <c r="AU13" i="5"/>
  <c r="AV13" i="5" s="1"/>
  <c r="AM12" i="5"/>
  <c r="AO11" i="5"/>
  <c r="FA16" i="5"/>
  <c r="FE16" i="5"/>
  <c r="EX16" i="5"/>
  <c r="EY16" i="5" s="1"/>
  <c r="EZ16" i="5" s="1"/>
  <c r="EW17" i="5"/>
  <c r="EU18" i="5"/>
  <c r="CR24" i="5"/>
  <c r="EC33" i="5"/>
  <c r="EE32" i="5"/>
  <c r="DZ30" i="5"/>
  <c r="DW30" i="5"/>
  <c r="DX30" i="5" s="1"/>
  <c r="DY30" i="5" s="1"/>
  <c r="FB30" i="5"/>
  <c r="FC17" i="5"/>
  <c r="ER17" i="5"/>
  <c r="EO17" i="5"/>
  <c r="EP17" i="5" s="1"/>
  <c r="EQ17" i="5" s="1"/>
  <c r="DT32" i="5"/>
  <c r="DV31" i="5"/>
  <c r="BI13" i="5"/>
  <c r="BG14" i="5"/>
  <c r="CJ19" i="5"/>
  <c r="CH20" i="5"/>
  <c r="DE22" i="5"/>
  <c r="DF22" i="5" s="1"/>
  <c r="DD23" i="5"/>
  <c r="BD21" i="5"/>
  <c r="BB22" i="5"/>
  <c r="EN18" i="5"/>
  <c r="EL19" i="5"/>
  <c r="AI12" i="5"/>
  <c r="AJ12" i="5" s="1"/>
  <c r="AK11" i="5"/>
  <c r="CM34" i="5"/>
  <c r="CK35" i="5"/>
  <c r="AK12" i="99" l="1"/>
  <c r="AI13" i="99"/>
  <c r="AJ13" i="99" s="1"/>
  <c r="AN12" i="5"/>
  <c r="AQ12" i="5"/>
  <c r="AR12" i="5" s="1"/>
  <c r="AS11" i="5"/>
  <c r="DP31" i="99"/>
  <c r="ER31" i="99"/>
  <c r="DM31" i="99"/>
  <c r="DN31" i="99" s="1"/>
  <c r="DO31" i="99" s="1"/>
  <c r="CI21" i="99"/>
  <c r="CG22" i="99"/>
  <c r="AX24" i="99"/>
  <c r="AZ23" i="99"/>
  <c r="BM14" i="99"/>
  <c r="BK15" i="99"/>
  <c r="DJ33" i="99"/>
  <c r="DL32" i="99"/>
  <c r="EM19" i="99"/>
  <c r="EK20" i="99"/>
  <c r="CJ39" i="99"/>
  <c r="CL38" i="99"/>
  <c r="EN18" i="99"/>
  <c r="EO18" i="99" s="1"/>
  <c r="EP18" i="99" s="1"/>
  <c r="EQ18" i="99"/>
  <c r="EU18" i="99"/>
  <c r="BF25" i="99"/>
  <c r="BH24" i="99"/>
  <c r="DS31" i="99"/>
  <c r="DU30" i="99"/>
  <c r="DY29" i="99"/>
  <c r="DV29" i="99"/>
  <c r="DW29" i="99" s="1"/>
  <c r="DX29" i="99" s="1"/>
  <c r="ET29" i="99"/>
  <c r="DD24" i="99"/>
  <c r="DE24" i="99" s="1"/>
  <c r="DC25" i="99"/>
  <c r="AS15" i="99"/>
  <c r="AQ16" i="99"/>
  <c r="AR16" i="99" s="1"/>
  <c r="FW12" i="99"/>
  <c r="FU13" i="99"/>
  <c r="FV12" i="99"/>
  <c r="BE12" i="99"/>
  <c r="BC13" i="99"/>
  <c r="FS11" i="99"/>
  <c r="FR11" i="99"/>
  <c r="FQ12" i="99"/>
  <c r="CU21" i="99"/>
  <c r="CV21" i="99" s="1"/>
  <c r="CT22" i="99"/>
  <c r="ES18" i="99"/>
  <c r="EE18" i="99"/>
  <c r="EF18" i="99" s="1"/>
  <c r="EG18" i="99" s="1"/>
  <c r="EH18" i="99"/>
  <c r="AG12" i="99"/>
  <c r="AE13" i="99"/>
  <c r="AF13" i="99" s="1"/>
  <c r="BX20" i="99"/>
  <c r="BZ19" i="99"/>
  <c r="CC33" i="99"/>
  <c r="CA34" i="99"/>
  <c r="EB20" i="99"/>
  <c r="ED19" i="99"/>
  <c r="AO12" i="99"/>
  <c r="AM13" i="99"/>
  <c r="AN13" i="99" s="1"/>
  <c r="CT36" i="5"/>
  <c r="CV35" i="5"/>
  <c r="BO15" i="5"/>
  <c r="BQ14" i="5"/>
  <c r="CQ21" i="5"/>
  <c r="CS20" i="5"/>
  <c r="DM23" i="5"/>
  <c r="DN22" i="5"/>
  <c r="DO22" i="5" s="1"/>
  <c r="BJ23" i="5"/>
  <c r="BL22" i="5"/>
  <c r="CR25" i="5"/>
  <c r="EU19" i="5"/>
  <c r="EW18" i="5"/>
  <c r="EF32" i="5"/>
  <c r="EG32" i="5" s="1"/>
  <c r="EH32" i="5" s="1"/>
  <c r="EI32" i="5"/>
  <c r="FD32" i="5"/>
  <c r="FE17" i="5"/>
  <c r="FA17" i="5"/>
  <c r="EX17" i="5"/>
  <c r="EY17" i="5" s="1"/>
  <c r="EZ17" i="5" s="1"/>
  <c r="AM13" i="5"/>
  <c r="AO12" i="5"/>
  <c r="EE33" i="5"/>
  <c r="EC34" i="5"/>
  <c r="AU14" i="5"/>
  <c r="AV14" i="5" s="1"/>
  <c r="AW13" i="5"/>
  <c r="CU39" i="5"/>
  <c r="AK12" i="5"/>
  <c r="AI13" i="5"/>
  <c r="AJ13" i="5" s="1"/>
  <c r="CK36" i="5"/>
  <c r="CM35" i="5"/>
  <c r="FC18" i="5"/>
  <c r="ER18" i="5"/>
  <c r="EO18" i="5"/>
  <c r="EP18" i="5" s="1"/>
  <c r="EQ18" i="5" s="1"/>
  <c r="DE23" i="5"/>
  <c r="DF23" i="5" s="1"/>
  <c r="DD24" i="5"/>
  <c r="BD22" i="5"/>
  <c r="BB23" i="5"/>
  <c r="CJ20" i="5"/>
  <c r="CH21" i="5"/>
  <c r="FB31" i="5"/>
  <c r="DW31" i="5"/>
  <c r="DX31" i="5" s="1"/>
  <c r="DY31" i="5" s="1"/>
  <c r="DZ31" i="5"/>
  <c r="EN19" i="5"/>
  <c r="EL20" i="5"/>
  <c r="BI14" i="5"/>
  <c r="BG15" i="5"/>
  <c r="DV32" i="5"/>
  <c r="DT33" i="5"/>
  <c r="AK13" i="99" l="1"/>
  <c r="AI14" i="99"/>
  <c r="AJ14" i="99" s="1"/>
  <c r="AN13" i="5"/>
  <c r="AQ13" i="5"/>
  <c r="AR13" i="5" s="1"/>
  <c r="AS12" i="5"/>
  <c r="DP32" i="99"/>
  <c r="ER32" i="99"/>
  <c r="DM32" i="99"/>
  <c r="DN32" i="99" s="1"/>
  <c r="DO32" i="99" s="1"/>
  <c r="DL33" i="99"/>
  <c r="DJ34" i="99"/>
  <c r="AZ24" i="99"/>
  <c r="AX25" i="99"/>
  <c r="BK16" i="99"/>
  <c r="BM15" i="99"/>
  <c r="CG23" i="99"/>
  <c r="CI22" i="99"/>
  <c r="EM20" i="99"/>
  <c r="EK21" i="99"/>
  <c r="CL39" i="99"/>
  <c r="CJ40" i="99"/>
  <c r="EU19" i="99"/>
  <c r="EQ19" i="99"/>
  <c r="EN19" i="99"/>
  <c r="EO19" i="99" s="1"/>
  <c r="EP19" i="99" s="1"/>
  <c r="DV30" i="99"/>
  <c r="DW30" i="99" s="1"/>
  <c r="DX30" i="99" s="1"/>
  <c r="ET30" i="99"/>
  <c r="DY30" i="99"/>
  <c r="BF26" i="99"/>
  <c r="BH25" i="99"/>
  <c r="DU31" i="99"/>
  <c r="DS32" i="99"/>
  <c r="AQ17" i="99"/>
  <c r="AR17" i="99" s="1"/>
  <c r="AS16" i="99"/>
  <c r="FW13" i="99"/>
  <c r="FV13" i="99"/>
  <c r="FU14" i="99"/>
  <c r="DD25" i="99"/>
  <c r="DE25" i="99" s="1"/>
  <c r="DC26" i="99"/>
  <c r="EB21" i="99"/>
  <c r="ED20" i="99"/>
  <c r="AE14" i="99"/>
  <c r="AF14" i="99" s="1"/>
  <c r="AG13" i="99"/>
  <c r="CC34" i="99"/>
  <c r="CA35" i="99"/>
  <c r="BE13" i="99"/>
  <c r="BC14" i="99"/>
  <c r="AO13" i="99"/>
  <c r="AM14" i="99"/>
  <c r="AN14" i="99" s="1"/>
  <c r="EH19" i="99"/>
  <c r="EE19" i="99"/>
  <c r="EF19" i="99" s="1"/>
  <c r="EG19" i="99" s="1"/>
  <c r="ES19" i="99"/>
  <c r="BX21" i="99"/>
  <c r="BZ20" i="99"/>
  <c r="CU22" i="99"/>
  <c r="CV22" i="99" s="1"/>
  <c r="CT23" i="99"/>
  <c r="FR12" i="99"/>
  <c r="FQ13" i="99"/>
  <c r="FS12" i="99"/>
  <c r="BJ24" i="5"/>
  <c r="BL23" i="5"/>
  <c r="DN23" i="5"/>
  <c r="DO23" i="5" s="1"/>
  <c r="DM24" i="5"/>
  <c r="BQ15" i="5"/>
  <c r="BO16" i="5"/>
  <c r="CQ22" i="5"/>
  <c r="CS21" i="5"/>
  <c r="CT37" i="5"/>
  <c r="CV36" i="5"/>
  <c r="CU40" i="5"/>
  <c r="CR26" i="5"/>
  <c r="AW14" i="5"/>
  <c r="AU15" i="5"/>
  <c r="AV15" i="5" s="1"/>
  <c r="EE34" i="5"/>
  <c r="EC35" i="5"/>
  <c r="AO13" i="5"/>
  <c r="AM14" i="5"/>
  <c r="FA18" i="5"/>
  <c r="FE18" i="5"/>
  <c r="EX18" i="5"/>
  <c r="EY18" i="5" s="1"/>
  <c r="EZ18" i="5" s="1"/>
  <c r="FD33" i="5"/>
  <c r="EI33" i="5"/>
  <c r="EF33" i="5"/>
  <c r="EG33" i="5" s="1"/>
  <c r="EH33" i="5" s="1"/>
  <c r="EW19" i="5"/>
  <c r="EU20" i="5"/>
  <c r="FB32" i="5"/>
  <c r="DZ32" i="5"/>
  <c r="DW32" i="5"/>
  <c r="DX32" i="5" s="1"/>
  <c r="DY32" i="5" s="1"/>
  <c r="AI14" i="5"/>
  <c r="AJ14" i="5" s="1"/>
  <c r="AK13" i="5"/>
  <c r="BI15" i="5"/>
  <c r="BG16" i="5"/>
  <c r="DE24" i="5"/>
  <c r="DF24" i="5" s="1"/>
  <c r="DD25" i="5"/>
  <c r="EN20" i="5"/>
  <c r="EL21" i="5"/>
  <c r="CJ21" i="5"/>
  <c r="CH22" i="5"/>
  <c r="BD23" i="5"/>
  <c r="BB24" i="5"/>
  <c r="DV33" i="5"/>
  <c r="DT34" i="5"/>
  <c r="FC19" i="5"/>
  <c r="ER19" i="5"/>
  <c r="EO19" i="5"/>
  <c r="EP19" i="5" s="1"/>
  <c r="EQ19" i="5" s="1"/>
  <c r="CM36" i="5"/>
  <c r="CK37" i="5"/>
  <c r="AK14" i="99" l="1"/>
  <c r="AI15" i="99"/>
  <c r="AJ15" i="99" s="1"/>
  <c r="AN14" i="5"/>
  <c r="AS13" i="5"/>
  <c r="AQ14" i="5"/>
  <c r="AR14" i="5" s="1"/>
  <c r="BK17" i="99"/>
  <c r="BM16" i="99"/>
  <c r="DM33" i="99"/>
  <c r="DN33" i="99" s="1"/>
  <c r="DO33" i="99" s="1"/>
  <c r="DP33" i="99"/>
  <c r="ER33" i="99"/>
  <c r="AZ25" i="99"/>
  <c r="AX26" i="99"/>
  <c r="CG24" i="99"/>
  <c r="CI23" i="99"/>
  <c r="DL34" i="99"/>
  <c r="DJ35" i="99"/>
  <c r="EM21" i="99"/>
  <c r="EK22" i="99"/>
  <c r="EQ20" i="99"/>
  <c r="EU20" i="99"/>
  <c r="EN20" i="99"/>
  <c r="EO20" i="99" s="1"/>
  <c r="EP20" i="99" s="1"/>
  <c r="CJ41" i="99"/>
  <c r="CL40" i="99"/>
  <c r="BF27" i="99"/>
  <c r="BH26" i="99"/>
  <c r="DS33" i="99"/>
  <c r="DU32" i="99"/>
  <c r="ET31" i="99"/>
  <c r="DY31" i="99"/>
  <c r="DV31" i="99"/>
  <c r="DW31" i="99" s="1"/>
  <c r="DX31" i="99" s="1"/>
  <c r="FV14" i="99"/>
  <c r="FU15" i="99"/>
  <c r="FW14" i="99"/>
  <c r="DD26" i="99"/>
  <c r="DE26" i="99" s="1"/>
  <c r="DC27" i="99"/>
  <c r="AS17" i="99"/>
  <c r="AQ18" i="99"/>
  <c r="AR18" i="99" s="1"/>
  <c r="BE14" i="99"/>
  <c r="BC15" i="99"/>
  <c r="AG14" i="99"/>
  <c r="AE15" i="99"/>
  <c r="AF15" i="99" s="1"/>
  <c r="EE20" i="99"/>
  <c r="EF20" i="99" s="1"/>
  <c r="EG20" i="99" s="1"/>
  <c r="EH20" i="99"/>
  <c r="ES20" i="99"/>
  <c r="FS13" i="99"/>
  <c r="FQ14" i="99"/>
  <c r="FR13" i="99"/>
  <c r="BX22" i="99"/>
  <c r="BZ21" i="99"/>
  <c r="AM15" i="99"/>
  <c r="AN15" i="99" s="1"/>
  <c r="AO14" i="99"/>
  <c r="EB22" i="99"/>
  <c r="ED21" i="99"/>
  <c r="CU23" i="99"/>
  <c r="CV23" i="99" s="1"/>
  <c r="CT24" i="99"/>
  <c r="CA36" i="99"/>
  <c r="CC35" i="99"/>
  <c r="CT38" i="5"/>
  <c r="CV37" i="5"/>
  <c r="DN24" i="5"/>
  <c r="DO24" i="5" s="1"/>
  <c r="DM25" i="5"/>
  <c r="CQ23" i="5"/>
  <c r="CS22" i="5"/>
  <c r="BO17" i="5"/>
  <c r="BQ16" i="5"/>
  <c r="BL24" i="5"/>
  <c r="BJ25" i="5"/>
  <c r="EE35" i="5"/>
  <c r="EC36" i="5"/>
  <c r="CU41" i="5"/>
  <c r="EF34" i="5"/>
  <c r="EG34" i="5" s="1"/>
  <c r="EH34" i="5" s="1"/>
  <c r="FD34" i="5"/>
  <c r="EI34" i="5"/>
  <c r="EU21" i="5"/>
  <c r="EW20" i="5"/>
  <c r="AM15" i="5"/>
  <c r="AO14" i="5"/>
  <c r="FE19" i="5"/>
  <c r="FA19" i="5"/>
  <c r="EX19" i="5"/>
  <c r="EY19" i="5" s="1"/>
  <c r="EZ19" i="5" s="1"/>
  <c r="AW15" i="5"/>
  <c r="AU16" i="5"/>
  <c r="AV16" i="5" s="1"/>
  <c r="CR27" i="5"/>
  <c r="DV34" i="5"/>
  <c r="DT35" i="5"/>
  <c r="ER20" i="5"/>
  <c r="FC20" i="5"/>
  <c r="EO20" i="5"/>
  <c r="EP20" i="5" s="1"/>
  <c r="EQ20" i="5" s="1"/>
  <c r="FB33" i="5"/>
  <c r="DZ33" i="5"/>
  <c r="DW33" i="5"/>
  <c r="DX33" i="5" s="1"/>
  <c r="DY33" i="5" s="1"/>
  <c r="CJ22" i="5"/>
  <c r="CH23" i="5"/>
  <c r="AK14" i="5"/>
  <c r="AI15" i="5"/>
  <c r="AJ15" i="5" s="1"/>
  <c r="BI16" i="5"/>
  <c r="BG17" i="5"/>
  <c r="CM37" i="5"/>
  <c r="CK38" i="5"/>
  <c r="BB25" i="5"/>
  <c r="BD24" i="5"/>
  <c r="EN21" i="5"/>
  <c r="EL22" i="5"/>
  <c r="DE25" i="5"/>
  <c r="DF25" i="5" s="1"/>
  <c r="DD26" i="5"/>
  <c r="AK15" i="99" l="1"/>
  <c r="AI16" i="99"/>
  <c r="AJ16" i="99" s="1"/>
  <c r="AN15" i="5"/>
  <c r="AS14" i="5"/>
  <c r="AQ15" i="5"/>
  <c r="AR15" i="5" s="1"/>
  <c r="CG25" i="99"/>
  <c r="CI24" i="99"/>
  <c r="DL35" i="99"/>
  <c r="DJ36" i="99"/>
  <c r="AZ26" i="99"/>
  <c r="AX27" i="99"/>
  <c r="ER34" i="99"/>
  <c r="DM34" i="99"/>
  <c r="DN34" i="99" s="1"/>
  <c r="DO34" i="99" s="1"/>
  <c r="DP34" i="99"/>
  <c r="BK18" i="99"/>
  <c r="BM17" i="99"/>
  <c r="CJ42" i="99"/>
  <c r="CL41" i="99"/>
  <c r="EK23" i="99"/>
  <c r="EM22" i="99"/>
  <c r="EU21" i="99"/>
  <c r="EN21" i="99"/>
  <c r="EO21" i="99" s="1"/>
  <c r="EP21" i="99" s="1"/>
  <c r="EQ21" i="99"/>
  <c r="DU33" i="99"/>
  <c r="DS34" i="99"/>
  <c r="BH27" i="99"/>
  <c r="BF28" i="99"/>
  <c r="DY32" i="99"/>
  <c r="DV32" i="99"/>
  <c r="DW32" i="99" s="1"/>
  <c r="DX32" i="99" s="1"/>
  <c r="ET32" i="99"/>
  <c r="DD27" i="99"/>
  <c r="DE27" i="99" s="1"/>
  <c r="DC28" i="99"/>
  <c r="AS18" i="99"/>
  <c r="AQ19" i="99"/>
  <c r="AR19" i="99" s="1"/>
  <c r="FV15" i="99"/>
  <c r="FW15" i="99"/>
  <c r="FU16" i="99"/>
  <c r="ED22" i="99"/>
  <c r="EB23" i="99"/>
  <c r="BX23" i="99"/>
  <c r="BZ22" i="99"/>
  <c r="AG15" i="99"/>
  <c r="AE16" i="99"/>
  <c r="AF16" i="99" s="1"/>
  <c r="CC36" i="99"/>
  <c r="CA37" i="99"/>
  <c r="CT25" i="99"/>
  <c r="CU24" i="99"/>
  <c r="CV24" i="99" s="1"/>
  <c r="AO15" i="99"/>
  <c r="AM16" i="99"/>
  <c r="AN16" i="99" s="1"/>
  <c r="FS14" i="99"/>
  <c r="FR14" i="99"/>
  <c r="FQ15" i="99"/>
  <c r="BE15" i="99"/>
  <c r="BC16" i="99"/>
  <c r="EE21" i="99"/>
  <c r="EF21" i="99" s="1"/>
  <c r="EG21" i="99" s="1"/>
  <c r="ES21" i="99"/>
  <c r="EH21" i="99"/>
  <c r="CQ24" i="5"/>
  <c r="CS23" i="5"/>
  <c r="DN25" i="5"/>
  <c r="DO25" i="5" s="1"/>
  <c r="DM26" i="5"/>
  <c r="BQ17" i="5"/>
  <c r="BO18" i="5"/>
  <c r="BL25" i="5"/>
  <c r="BJ26" i="5"/>
  <c r="CT39" i="5"/>
  <c r="CV38" i="5"/>
  <c r="FA20" i="5"/>
  <c r="FE20" i="5"/>
  <c r="EX20" i="5"/>
  <c r="EY20" i="5" s="1"/>
  <c r="EZ20" i="5" s="1"/>
  <c r="EC37" i="5"/>
  <c r="EE36" i="5"/>
  <c r="AW16" i="5"/>
  <c r="AU17" i="5"/>
  <c r="AV17" i="5" s="1"/>
  <c r="EW21" i="5"/>
  <c r="EU22" i="5"/>
  <c r="CU42" i="5"/>
  <c r="EI35" i="5"/>
  <c r="EF35" i="5"/>
  <c r="EG35" i="5" s="1"/>
  <c r="EH35" i="5" s="1"/>
  <c r="FD35" i="5"/>
  <c r="CR28" i="5"/>
  <c r="AO15" i="5"/>
  <c r="AM16" i="5"/>
  <c r="DE26" i="5"/>
  <c r="DF26" i="5" s="1"/>
  <c r="DD27" i="5"/>
  <c r="BI17" i="5"/>
  <c r="BG18" i="5"/>
  <c r="AK15" i="5"/>
  <c r="AI16" i="5"/>
  <c r="AJ16" i="5" s="1"/>
  <c r="BD25" i="5"/>
  <c r="BB26" i="5"/>
  <c r="DV35" i="5"/>
  <c r="DT36" i="5"/>
  <c r="EN22" i="5"/>
  <c r="EL23" i="5"/>
  <c r="CH24" i="5"/>
  <c r="CJ23" i="5"/>
  <c r="DZ34" i="5"/>
  <c r="DW34" i="5"/>
  <c r="DX34" i="5" s="1"/>
  <c r="DY34" i="5" s="1"/>
  <c r="FB34" i="5"/>
  <c r="CK39" i="5"/>
  <c r="CM38" i="5"/>
  <c r="ER21" i="5"/>
  <c r="FC21" i="5"/>
  <c r="EO21" i="5"/>
  <c r="EP21" i="5" s="1"/>
  <c r="EQ21" i="5" s="1"/>
  <c r="AK16" i="99" l="1"/>
  <c r="AI17" i="99"/>
  <c r="AJ17" i="99" s="1"/>
  <c r="AN16" i="5"/>
  <c r="AS15" i="5"/>
  <c r="AQ16" i="5"/>
  <c r="AR16" i="5" s="1"/>
  <c r="DL36" i="99"/>
  <c r="DJ37" i="99"/>
  <c r="DM35" i="99"/>
  <c r="DN35" i="99" s="1"/>
  <c r="DO35" i="99" s="1"/>
  <c r="DP35" i="99"/>
  <c r="ER35" i="99"/>
  <c r="BM18" i="99"/>
  <c r="BK19" i="99"/>
  <c r="AZ27" i="99"/>
  <c r="AX28" i="99"/>
  <c r="CG26" i="99"/>
  <c r="CI25" i="99"/>
  <c r="CJ43" i="99"/>
  <c r="CL42" i="99"/>
  <c r="EN22" i="99"/>
  <c r="EO22" i="99" s="1"/>
  <c r="EP22" i="99" s="1"/>
  <c r="EU22" i="99"/>
  <c r="EQ22" i="99"/>
  <c r="EM23" i="99"/>
  <c r="EK24" i="99"/>
  <c r="DS35" i="99"/>
  <c r="DU34" i="99"/>
  <c r="DY33" i="99"/>
  <c r="ET33" i="99"/>
  <c r="DV33" i="99"/>
  <c r="DW33" i="99" s="1"/>
  <c r="DX33" i="99" s="1"/>
  <c r="BF29" i="99"/>
  <c r="BH28" i="99"/>
  <c r="FV16" i="99"/>
  <c r="FW16" i="99"/>
  <c r="FU17" i="99"/>
  <c r="DD28" i="99"/>
  <c r="DE28" i="99" s="1"/>
  <c r="DC29" i="99"/>
  <c r="AS19" i="99"/>
  <c r="AQ20" i="99"/>
  <c r="AR20" i="99" s="1"/>
  <c r="BE16" i="99"/>
  <c r="BC17" i="99"/>
  <c r="CA38" i="99"/>
  <c r="CC37" i="99"/>
  <c r="EB24" i="99"/>
  <c r="ED23" i="99"/>
  <c r="AM17" i="99"/>
  <c r="AN17" i="99" s="1"/>
  <c r="AO16" i="99"/>
  <c r="EE22" i="99"/>
  <c r="EF22" i="99" s="1"/>
  <c r="EG22" i="99" s="1"/>
  <c r="ES22" i="99"/>
  <c r="EH22" i="99"/>
  <c r="FQ16" i="99"/>
  <c r="FR15" i="99"/>
  <c r="FS15" i="99"/>
  <c r="CU25" i="99"/>
  <c r="CV25" i="99" s="1"/>
  <c r="CT26" i="99"/>
  <c r="AG16" i="99"/>
  <c r="AE17" i="99"/>
  <c r="AF17" i="99" s="1"/>
  <c r="BX24" i="99"/>
  <c r="BZ23" i="99"/>
  <c r="CT40" i="5"/>
  <c r="CV39" i="5"/>
  <c r="DN26" i="5"/>
  <c r="DO26" i="5" s="1"/>
  <c r="DM27" i="5"/>
  <c r="BJ27" i="5"/>
  <c r="BL26" i="5"/>
  <c r="BO19" i="5"/>
  <c r="BQ18" i="5"/>
  <c r="CQ25" i="5"/>
  <c r="CS24" i="5"/>
  <c r="AM17" i="5"/>
  <c r="AO16" i="5"/>
  <c r="EU23" i="5"/>
  <c r="EW22" i="5"/>
  <c r="AU18" i="5"/>
  <c r="AV18" i="5" s="1"/>
  <c r="AW17" i="5"/>
  <c r="FE21" i="5"/>
  <c r="FA21" i="5"/>
  <c r="EX21" i="5"/>
  <c r="EY21" i="5" s="1"/>
  <c r="EZ21" i="5" s="1"/>
  <c r="EF36" i="5"/>
  <c r="EG36" i="5" s="1"/>
  <c r="EH36" i="5" s="1"/>
  <c r="EI36" i="5"/>
  <c r="FD36" i="5"/>
  <c r="CR29" i="5"/>
  <c r="CU43" i="5"/>
  <c r="EC38" i="5"/>
  <c r="EE37" i="5"/>
  <c r="CJ24" i="5"/>
  <c r="CH25" i="5"/>
  <c r="FC22" i="5"/>
  <c r="ER22" i="5"/>
  <c r="EO22" i="5"/>
  <c r="EP22" i="5" s="1"/>
  <c r="EQ22" i="5" s="1"/>
  <c r="DV36" i="5"/>
  <c r="DT37" i="5"/>
  <c r="AK16" i="5"/>
  <c r="AI17" i="5"/>
  <c r="AJ17" i="5" s="1"/>
  <c r="DE27" i="5"/>
  <c r="DF27" i="5" s="1"/>
  <c r="DD28" i="5"/>
  <c r="DW35" i="5"/>
  <c r="DX35" i="5" s="1"/>
  <c r="DY35" i="5" s="1"/>
  <c r="FB35" i="5"/>
  <c r="DZ35" i="5"/>
  <c r="CK40" i="5"/>
  <c r="CM39" i="5"/>
  <c r="EN23" i="5"/>
  <c r="EL24" i="5"/>
  <c r="BD26" i="5"/>
  <c r="BB27" i="5"/>
  <c r="BI18" i="5"/>
  <c r="BG19" i="5"/>
  <c r="AK17" i="99" l="1"/>
  <c r="AI18" i="99"/>
  <c r="AJ18" i="99" s="1"/>
  <c r="AN17" i="5"/>
  <c r="AQ17" i="5"/>
  <c r="AR17" i="5" s="1"/>
  <c r="AS16" i="5"/>
  <c r="BM19" i="99"/>
  <c r="BK20" i="99"/>
  <c r="CG27" i="99"/>
  <c r="CI26" i="99"/>
  <c r="DL37" i="99"/>
  <c r="DJ38" i="99"/>
  <c r="AX29" i="99"/>
  <c r="AZ28" i="99"/>
  <c r="DM36" i="99"/>
  <c r="DN36" i="99" s="1"/>
  <c r="DO36" i="99" s="1"/>
  <c r="ER36" i="99"/>
  <c r="DP36" i="99"/>
  <c r="EQ23" i="99"/>
  <c r="EU23" i="99"/>
  <c r="EN23" i="99"/>
  <c r="EO23" i="99" s="1"/>
  <c r="EP23" i="99" s="1"/>
  <c r="EK25" i="99"/>
  <c r="EM24" i="99"/>
  <c r="CJ44" i="99"/>
  <c r="CL43" i="99"/>
  <c r="DY34" i="99"/>
  <c r="DV34" i="99"/>
  <c r="DW34" i="99" s="1"/>
  <c r="DX34" i="99" s="1"/>
  <c r="ET34" i="99"/>
  <c r="BF30" i="99"/>
  <c r="BH29" i="99"/>
  <c r="DS36" i="99"/>
  <c r="DU35" i="99"/>
  <c r="AS20" i="99"/>
  <c r="AQ21" i="99"/>
  <c r="AR21" i="99" s="1"/>
  <c r="DC30" i="99"/>
  <c r="DD29" i="99"/>
  <c r="DE29" i="99" s="1"/>
  <c r="FU18" i="99"/>
  <c r="FW17" i="99"/>
  <c r="FV17" i="99"/>
  <c r="CT27" i="99"/>
  <c r="CU26" i="99"/>
  <c r="CV26" i="99" s="1"/>
  <c r="AM18" i="99"/>
  <c r="AN18" i="99" s="1"/>
  <c r="AO17" i="99"/>
  <c r="EE23" i="99"/>
  <c r="EF23" i="99" s="1"/>
  <c r="EG23" i="99" s="1"/>
  <c r="ES23" i="99"/>
  <c r="EH23" i="99"/>
  <c r="BZ24" i="99"/>
  <c r="BX25" i="99"/>
  <c r="EB25" i="99"/>
  <c r="ED24" i="99"/>
  <c r="AG17" i="99"/>
  <c r="AE18" i="99"/>
  <c r="AF18" i="99" s="1"/>
  <c r="FQ17" i="99"/>
  <c r="FR16" i="99"/>
  <c r="FS16" i="99"/>
  <c r="CC38" i="99"/>
  <c r="CA39" i="99"/>
  <c r="BE17" i="99"/>
  <c r="BC18" i="99"/>
  <c r="CQ26" i="5"/>
  <c r="CS25" i="5"/>
  <c r="BL27" i="5"/>
  <c r="BJ28" i="5"/>
  <c r="DN27" i="5"/>
  <c r="DO27" i="5" s="1"/>
  <c r="DM28" i="5"/>
  <c r="BQ19" i="5"/>
  <c r="BO20" i="5"/>
  <c r="CT41" i="5"/>
  <c r="CV40" i="5"/>
  <c r="EC39" i="5"/>
  <c r="EE38" i="5"/>
  <c r="EW23" i="5"/>
  <c r="EU24" i="5"/>
  <c r="CU44" i="5"/>
  <c r="CR30" i="5"/>
  <c r="AW18" i="5"/>
  <c r="AU19" i="5"/>
  <c r="AV19" i="5" s="1"/>
  <c r="AM18" i="5"/>
  <c r="AO17" i="5"/>
  <c r="EI37" i="5"/>
  <c r="EF37" i="5"/>
  <c r="EG37" i="5" s="1"/>
  <c r="EH37" i="5" s="1"/>
  <c r="FD37" i="5"/>
  <c r="FA22" i="5"/>
  <c r="FE22" i="5"/>
  <c r="EX22" i="5"/>
  <c r="EY22" i="5" s="1"/>
  <c r="EZ22" i="5" s="1"/>
  <c r="BB28" i="5"/>
  <c r="BD27" i="5"/>
  <c r="AK17" i="5"/>
  <c r="AI18" i="5"/>
  <c r="AJ18" i="5" s="1"/>
  <c r="CM40" i="5"/>
  <c r="CK41" i="5"/>
  <c r="BG20" i="5"/>
  <c r="BI19" i="5"/>
  <c r="DE28" i="5"/>
  <c r="DF28" i="5" s="1"/>
  <c r="DD29" i="5"/>
  <c r="DV37" i="5"/>
  <c r="DT38" i="5"/>
  <c r="EN24" i="5"/>
  <c r="EL25" i="5"/>
  <c r="FC23" i="5"/>
  <c r="ER23" i="5"/>
  <c r="EO23" i="5"/>
  <c r="EP23" i="5" s="1"/>
  <c r="EQ23" i="5" s="1"/>
  <c r="DW36" i="5"/>
  <c r="DX36" i="5" s="1"/>
  <c r="DY36" i="5" s="1"/>
  <c r="DZ36" i="5"/>
  <c r="FB36" i="5"/>
  <c r="CJ25" i="5"/>
  <c r="CH26" i="5"/>
  <c r="AK18" i="99" l="1"/>
  <c r="AI19" i="99"/>
  <c r="AJ19" i="99" s="1"/>
  <c r="AN18" i="5"/>
  <c r="AQ18" i="5"/>
  <c r="AR18" i="5" s="1"/>
  <c r="AS17" i="5"/>
  <c r="AX30" i="99"/>
  <c r="AZ29" i="99"/>
  <c r="CI27" i="99"/>
  <c r="CG28" i="99"/>
  <c r="DL38" i="99"/>
  <c r="DJ39" i="99"/>
  <c r="BK21" i="99"/>
  <c r="BM20" i="99"/>
  <c r="ER37" i="99"/>
  <c r="DM37" i="99"/>
  <c r="DN37" i="99" s="1"/>
  <c r="DO37" i="99" s="1"/>
  <c r="DP37" i="99"/>
  <c r="CJ45" i="99"/>
  <c r="CL44" i="99"/>
  <c r="EN24" i="99"/>
  <c r="EO24" i="99" s="1"/>
  <c r="EP24" i="99" s="1"/>
  <c r="EU24" i="99"/>
  <c r="EQ24" i="99"/>
  <c r="EM25" i="99"/>
  <c r="EK26" i="99"/>
  <c r="DV35" i="99"/>
  <c r="DW35" i="99" s="1"/>
  <c r="DX35" i="99" s="1"/>
  <c r="DY35" i="99"/>
  <c r="ET35" i="99"/>
  <c r="DS37" i="99"/>
  <c r="DU36" i="99"/>
  <c r="BH30" i="99"/>
  <c r="BF31" i="99"/>
  <c r="FW18" i="99"/>
  <c r="FV18" i="99"/>
  <c r="FU19" i="99"/>
  <c r="AS21" i="99"/>
  <c r="AQ22" i="99"/>
  <c r="AR22" i="99" s="1"/>
  <c r="DC31" i="99"/>
  <c r="DD30" i="99"/>
  <c r="DE30" i="99" s="1"/>
  <c r="AO18" i="99"/>
  <c r="AM19" i="99"/>
  <c r="AN19" i="99" s="1"/>
  <c r="BE18" i="99"/>
  <c r="BC19" i="99"/>
  <c r="AG18" i="99"/>
  <c r="AE19" i="99"/>
  <c r="AF19" i="99" s="1"/>
  <c r="FR17" i="99"/>
  <c r="FS17" i="99"/>
  <c r="FQ18" i="99"/>
  <c r="ES24" i="99"/>
  <c r="EH24" i="99"/>
  <c r="EE24" i="99"/>
  <c r="EF24" i="99" s="1"/>
  <c r="EG24" i="99" s="1"/>
  <c r="BZ25" i="99"/>
  <c r="BX26" i="99"/>
  <c r="CU27" i="99"/>
  <c r="CV27" i="99" s="1"/>
  <c r="CT28" i="99"/>
  <c r="CC39" i="99"/>
  <c r="CA40" i="99"/>
  <c r="ED25" i="99"/>
  <c r="EB26" i="99"/>
  <c r="CT42" i="5"/>
  <c r="CV41" i="5"/>
  <c r="BL28" i="5"/>
  <c r="BJ29" i="5"/>
  <c r="BO21" i="5"/>
  <c r="BQ20" i="5"/>
  <c r="DM29" i="5"/>
  <c r="DN28" i="5"/>
  <c r="DO28" i="5" s="1"/>
  <c r="CQ27" i="5"/>
  <c r="CS26" i="5"/>
  <c r="CU45" i="5"/>
  <c r="EW24" i="5"/>
  <c r="EU25" i="5"/>
  <c r="AO18" i="5"/>
  <c r="AM19" i="5"/>
  <c r="CR31" i="5"/>
  <c r="FE23" i="5"/>
  <c r="FA23" i="5"/>
  <c r="EX23" i="5"/>
  <c r="EY23" i="5" s="1"/>
  <c r="EZ23" i="5" s="1"/>
  <c r="FD38" i="5"/>
  <c r="EI38" i="5"/>
  <c r="EF38" i="5"/>
  <c r="EG38" i="5" s="1"/>
  <c r="EH38" i="5" s="1"/>
  <c r="AU20" i="5"/>
  <c r="AV20" i="5" s="1"/>
  <c r="AW19" i="5"/>
  <c r="EC40" i="5"/>
  <c r="EE39" i="5"/>
  <c r="CH27" i="5"/>
  <c r="CJ26" i="5"/>
  <c r="EN25" i="5"/>
  <c r="EL26" i="5"/>
  <c r="DE29" i="5"/>
  <c r="DF29" i="5" s="1"/>
  <c r="DD30" i="5"/>
  <c r="CK42" i="5"/>
  <c r="CM41" i="5"/>
  <c r="ER24" i="5"/>
  <c r="FC24" i="5"/>
  <c r="EO24" i="5"/>
  <c r="EP24" i="5" s="1"/>
  <c r="EQ24" i="5" s="1"/>
  <c r="DV38" i="5"/>
  <c r="DT39" i="5"/>
  <c r="AI19" i="5"/>
  <c r="AJ19" i="5" s="1"/>
  <c r="AK18" i="5"/>
  <c r="DZ37" i="5"/>
  <c r="FB37" i="5"/>
  <c r="DW37" i="5"/>
  <c r="DX37" i="5" s="1"/>
  <c r="DY37" i="5" s="1"/>
  <c r="BI20" i="5"/>
  <c r="BG21" i="5"/>
  <c r="BB29" i="5"/>
  <c r="BD28" i="5"/>
  <c r="AI20" i="99" l="1"/>
  <c r="AJ20" i="99" s="1"/>
  <c r="AK19" i="99"/>
  <c r="AN19" i="5"/>
  <c r="AQ19" i="5"/>
  <c r="AR19" i="5" s="1"/>
  <c r="AS18" i="5"/>
  <c r="CI28" i="99"/>
  <c r="CG29" i="99"/>
  <c r="BK22" i="99"/>
  <c r="BM21" i="99"/>
  <c r="DJ40" i="99"/>
  <c r="DL39" i="99"/>
  <c r="DM38" i="99"/>
  <c r="DN38" i="99" s="1"/>
  <c r="DO38" i="99" s="1"/>
  <c r="ER38" i="99"/>
  <c r="DP38" i="99"/>
  <c r="AZ30" i="99"/>
  <c r="AX31" i="99"/>
  <c r="EM26" i="99"/>
  <c r="EK27" i="99"/>
  <c r="EQ25" i="99"/>
  <c r="EN25" i="99"/>
  <c r="EO25" i="99" s="1"/>
  <c r="EP25" i="99" s="1"/>
  <c r="EU25" i="99"/>
  <c r="CJ46" i="99"/>
  <c r="CL45" i="99"/>
  <c r="DY36" i="99"/>
  <c r="DV36" i="99"/>
  <c r="DW36" i="99" s="1"/>
  <c r="DX36" i="99" s="1"/>
  <c r="ET36" i="99"/>
  <c r="DU37" i="99"/>
  <c r="DS38" i="99"/>
  <c r="BF32" i="99"/>
  <c r="BH31" i="99"/>
  <c r="AS22" i="99"/>
  <c r="AQ23" i="99"/>
  <c r="AR23" i="99" s="1"/>
  <c r="DD31" i="99"/>
  <c r="DE31" i="99" s="1"/>
  <c r="DC32" i="99"/>
  <c r="FW19" i="99"/>
  <c r="FV19" i="99"/>
  <c r="FU20" i="99"/>
  <c r="FS18" i="99"/>
  <c r="FR18" i="99"/>
  <c r="FQ19" i="99"/>
  <c r="AG19" i="99"/>
  <c r="AE20" i="99"/>
  <c r="AF20" i="99" s="1"/>
  <c r="BC20" i="99"/>
  <c r="BE19" i="99"/>
  <c r="AO19" i="99"/>
  <c r="AM20" i="99"/>
  <c r="AN20" i="99" s="1"/>
  <c r="EB27" i="99"/>
  <c r="ED26" i="99"/>
  <c r="CA41" i="99"/>
  <c r="CC40" i="99"/>
  <c r="EH25" i="99"/>
  <c r="ES25" i="99"/>
  <c r="EE25" i="99"/>
  <c r="EF25" i="99" s="1"/>
  <c r="EG25" i="99" s="1"/>
  <c r="CU28" i="99"/>
  <c r="CV28" i="99" s="1"/>
  <c r="CT29" i="99"/>
  <c r="BX27" i="99"/>
  <c r="BZ26" i="99"/>
  <c r="CQ28" i="5"/>
  <c r="CS27" i="5"/>
  <c r="BJ30" i="5"/>
  <c r="BL29" i="5"/>
  <c r="DN29" i="5"/>
  <c r="DO29" i="5" s="1"/>
  <c r="DM30" i="5"/>
  <c r="BQ21" i="5"/>
  <c r="BO22" i="5"/>
  <c r="CT43" i="5"/>
  <c r="CV42" i="5"/>
  <c r="EW25" i="5"/>
  <c r="EU26" i="5"/>
  <c r="FA24" i="5"/>
  <c r="FE24" i="5"/>
  <c r="EX24" i="5"/>
  <c r="EY24" i="5" s="1"/>
  <c r="EZ24" i="5" s="1"/>
  <c r="EI39" i="5"/>
  <c r="EF39" i="5"/>
  <c r="EG39" i="5" s="1"/>
  <c r="EH39" i="5" s="1"/>
  <c r="FD39" i="5"/>
  <c r="AU21" i="5"/>
  <c r="AV21" i="5" s="1"/>
  <c r="AW20" i="5"/>
  <c r="AO19" i="5"/>
  <c r="AM20" i="5"/>
  <c r="EC41" i="5"/>
  <c r="EE40" i="5"/>
  <c r="CR32" i="5"/>
  <c r="CU46" i="5"/>
  <c r="DT40" i="5"/>
  <c r="DV39" i="5"/>
  <c r="EN26" i="5"/>
  <c r="EL27" i="5"/>
  <c r="BD29" i="5"/>
  <c r="BB30" i="5"/>
  <c r="DZ38" i="5"/>
  <c r="FB38" i="5"/>
  <c r="DW38" i="5"/>
  <c r="DX38" i="5" s="1"/>
  <c r="DY38" i="5" s="1"/>
  <c r="CM42" i="5"/>
  <c r="CK43" i="5"/>
  <c r="ER25" i="5"/>
  <c r="FC25" i="5"/>
  <c r="EO25" i="5"/>
  <c r="EP25" i="5" s="1"/>
  <c r="EQ25" i="5" s="1"/>
  <c r="BI21" i="5"/>
  <c r="BG22" i="5"/>
  <c r="DE30" i="5"/>
  <c r="DF30" i="5" s="1"/>
  <c r="DD31" i="5"/>
  <c r="AK19" i="5"/>
  <c r="AI20" i="5"/>
  <c r="AJ20" i="5" s="1"/>
  <c r="CJ27" i="5"/>
  <c r="CH28" i="5"/>
  <c r="AI21" i="99" l="1"/>
  <c r="AJ21" i="99" s="1"/>
  <c r="AK20" i="99"/>
  <c r="AN20" i="5"/>
  <c r="AS19" i="5"/>
  <c r="AQ20" i="5"/>
  <c r="AR20" i="5" s="1"/>
  <c r="AX32" i="99"/>
  <c r="AZ31" i="99"/>
  <c r="BM22" i="99"/>
  <c r="BK23" i="99"/>
  <c r="DP39" i="99"/>
  <c r="DM39" i="99"/>
  <c r="DN39" i="99" s="1"/>
  <c r="DO39" i="99" s="1"/>
  <c r="ER39" i="99"/>
  <c r="CG30" i="99"/>
  <c r="CI29" i="99"/>
  <c r="CM29" i="99" s="1"/>
  <c r="DJ41" i="99"/>
  <c r="DL40" i="99"/>
  <c r="CL46" i="99"/>
  <c r="CJ47" i="99"/>
  <c r="EM27" i="99"/>
  <c r="EK28" i="99"/>
  <c r="EN26" i="99"/>
  <c r="EO26" i="99" s="1"/>
  <c r="EP26" i="99" s="1"/>
  <c r="EU26" i="99"/>
  <c r="EQ26" i="99"/>
  <c r="BF33" i="99"/>
  <c r="BH32" i="99"/>
  <c r="DU38" i="99"/>
  <c r="DS39" i="99"/>
  <c r="DY37" i="99"/>
  <c r="ET37" i="99"/>
  <c r="DV37" i="99"/>
  <c r="DW37" i="99" s="1"/>
  <c r="DX37" i="99" s="1"/>
  <c r="FV20" i="99"/>
  <c r="FU21" i="99"/>
  <c r="FW20" i="99"/>
  <c r="DC33" i="99"/>
  <c r="DD32" i="99"/>
  <c r="DE32" i="99" s="1"/>
  <c r="AS23" i="99"/>
  <c r="AQ24" i="99"/>
  <c r="AR24" i="99" s="1"/>
  <c r="CU29" i="99"/>
  <c r="CV29" i="99" s="1"/>
  <c r="CT30" i="99"/>
  <c r="EB28" i="99"/>
  <c r="ED27" i="99"/>
  <c r="BC21" i="99"/>
  <c r="BE20" i="99"/>
  <c r="AM21" i="99"/>
  <c r="AN21" i="99" s="1"/>
  <c r="AO20" i="99"/>
  <c r="AG20" i="99"/>
  <c r="AE21" i="99"/>
  <c r="AF21" i="99" s="1"/>
  <c r="FQ20" i="99"/>
  <c r="FS19" i="99"/>
  <c r="FR19" i="99"/>
  <c r="CC41" i="99"/>
  <c r="CA42" i="99"/>
  <c r="BZ27" i="99"/>
  <c r="BX28" i="99"/>
  <c r="EE26" i="99"/>
  <c r="EF26" i="99" s="1"/>
  <c r="EG26" i="99" s="1"/>
  <c r="EH26" i="99"/>
  <c r="ES26" i="99"/>
  <c r="CT44" i="5"/>
  <c r="CV43" i="5"/>
  <c r="BQ22" i="5"/>
  <c r="BO23" i="5"/>
  <c r="BJ31" i="5"/>
  <c r="BL30" i="5"/>
  <c r="DM31" i="5"/>
  <c r="DN30" i="5"/>
  <c r="DO30" i="5" s="1"/>
  <c r="CQ29" i="5"/>
  <c r="CS28" i="5"/>
  <c r="CR33" i="5"/>
  <c r="AW21" i="5"/>
  <c r="AU22" i="5"/>
  <c r="AV22" i="5" s="1"/>
  <c r="CU47" i="5"/>
  <c r="FD40" i="5"/>
  <c r="EI40" i="5"/>
  <c r="EF40" i="5"/>
  <c r="EG40" i="5" s="1"/>
  <c r="EH40" i="5" s="1"/>
  <c r="EW26" i="5"/>
  <c r="EU27" i="5"/>
  <c r="EC42" i="5"/>
  <c r="EE41" i="5"/>
  <c r="AM21" i="5"/>
  <c r="AO20" i="5"/>
  <c r="FA25" i="5"/>
  <c r="FE25" i="5"/>
  <c r="EX25" i="5"/>
  <c r="EY25" i="5" s="1"/>
  <c r="EZ25" i="5" s="1"/>
  <c r="EN27" i="5"/>
  <c r="EL28" i="5"/>
  <c r="DD32" i="5"/>
  <c r="DE31" i="5"/>
  <c r="DF31" i="5" s="1"/>
  <c r="BG23" i="5"/>
  <c r="BI22" i="5"/>
  <c r="ER26" i="5"/>
  <c r="EO26" i="5"/>
  <c r="EP26" i="5" s="1"/>
  <c r="EQ26" i="5" s="1"/>
  <c r="FC26" i="5"/>
  <c r="CJ28" i="5"/>
  <c r="CH29" i="5"/>
  <c r="CK44" i="5"/>
  <c r="CM43" i="5"/>
  <c r="BD30" i="5"/>
  <c r="BB31" i="5"/>
  <c r="FB39" i="5"/>
  <c r="DZ39" i="5"/>
  <c r="DW39" i="5"/>
  <c r="DX39" i="5" s="1"/>
  <c r="DY39" i="5" s="1"/>
  <c r="AI21" i="5"/>
  <c r="AJ21" i="5" s="1"/>
  <c r="AK20" i="5"/>
  <c r="DV40" i="5"/>
  <c r="DT41" i="5"/>
  <c r="AI22" i="99" l="1"/>
  <c r="AJ22" i="99" s="1"/>
  <c r="AK21" i="99"/>
  <c r="AN21" i="5"/>
  <c r="AQ21" i="5"/>
  <c r="AR21" i="5" s="1"/>
  <c r="AS20" i="5"/>
  <c r="BK24" i="99"/>
  <c r="BM23" i="99"/>
  <c r="ER40" i="99"/>
  <c r="DP40" i="99"/>
  <c r="DM40" i="99"/>
  <c r="DN40" i="99" s="1"/>
  <c r="DO40" i="99" s="1"/>
  <c r="CI30" i="99"/>
  <c r="CM30" i="99" s="1"/>
  <c r="CG31" i="99"/>
  <c r="DJ42" i="99"/>
  <c r="DL41" i="99"/>
  <c r="AX33" i="99"/>
  <c r="AZ32" i="99"/>
  <c r="EM28" i="99"/>
  <c r="EK29" i="99"/>
  <c r="EU27" i="99"/>
  <c r="EQ27" i="99"/>
  <c r="EN27" i="99"/>
  <c r="EO27" i="99" s="1"/>
  <c r="EP27" i="99" s="1"/>
  <c r="CJ48" i="99"/>
  <c r="CL47" i="99"/>
  <c r="BH33" i="99"/>
  <c r="BF34" i="99"/>
  <c r="DU39" i="99"/>
  <c r="DS40" i="99"/>
  <c r="DV38" i="99"/>
  <c r="DW38" i="99" s="1"/>
  <c r="DX38" i="99" s="1"/>
  <c r="DY38" i="99"/>
  <c r="ET38" i="99"/>
  <c r="AS24" i="99"/>
  <c r="AQ25" i="99"/>
  <c r="AR25" i="99" s="1"/>
  <c r="DD33" i="99"/>
  <c r="DE33" i="99" s="1"/>
  <c r="DC34" i="99"/>
  <c r="FU22" i="99"/>
  <c r="FV21" i="99"/>
  <c r="FW21" i="99"/>
  <c r="FQ21" i="99"/>
  <c r="FS20" i="99"/>
  <c r="FR20" i="99"/>
  <c r="AM22" i="99"/>
  <c r="AN22" i="99" s="1"/>
  <c r="AO21" i="99"/>
  <c r="BE21" i="99"/>
  <c r="BC22" i="99"/>
  <c r="CU30" i="99"/>
  <c r="CV30" i="99" s="1"/>
  <c r="CT31" i="99"/>
  <c r="BZ28" i="99"/>
  <c r="BX29" i="99"/>
  <c r="AG21" i="99"/>
  <c r="AE22" i="99"/>
  <c r="AF22" i="99" s="1"/>
  <c r="EH27" i="99"/>
  <c r="ES27" i="99"/>
  <c r="EE27" i="99"/>
  <c r="EF27" i="99" s="1"/>
  <c r="EG27" i="99" s="1"/>
  <c r="CA43" i="99"/>
  <c r="CC42" i="99"/>
  <c r="ED28" i="99"/>
  <c r="EB29" i="99"/>
  <c r="CQ30" i="5"/>
  <c r="CS29" i="5"/>
  <c r="CW29" i="5" s="1"/>
  <c r="BL31" i="5"/>
  <c r="BJ32" i="5"/>
  <c r="BO24" i="5"/>
  <c r="BQ23" i="5"/>
  <c r="DN31" i="5"/>
  <c r="DO31" i="5" s="1"/>
  <c r="DM32" i="5"/>
  <c r="CT45" i="5"/>
  <c r="CV44" i="5"/>
  <c r="FD41" i="5"/>
  <c r="EI41" i="5"/>
  <c r="EF41" i="5"/>
  <c r="EG41" i="5" s="1"/>
  <c r="EH41" i="5" s="1"/>
  <c r="AU23" i="5"/>
  <c r="AV23" i="5" s="1"/>
  <c r="AW22" i="5"/>
  <c r="EC43" i="5"/>
  <c r="EE42" i="5"/>
  <c r="CR34" i="5"/>
  <c r="EW27" i="5"/>
  <c r="EU28" i="5"/>
  <c r="CU48" i="5"/>
  <c r="AO21" i="5"/>
  <c r="AM22" i="5"/>
  <c r="FA26" i="5"/>
  <c r="FE26" i="5"/>
  <c r="EX26" i="5"/>
  <c r="EY26" i="5" s="1"/>
  <c r="EZ26" i="5" s="1"/>
  <c r="FB40" i="5"/>
  <c r="DZ40" i="5"/>
  <c r="DW40" i="5"/>
  <c r="DX40" i="5" s="1"/>
  <c r="DY40" i="5" s="1"/>
  <c r="AI22" i="5"/>
  <c r="AJ22" i="5" s="1"/>
  <c r="AK21" i="5"/>
  <c r="BD31" i="5"/>
  <c r="BB32" i="5"/>
  <c r="DE32" i="5"/>
  <c r="DF32" i="5" s="1"/>
  <c r="DD33" i="5"/>
  <c r="CJ29" i="5"/>
  <c r="CN29" i="5" s="1"/>
  <c r="CH30" i="5"/>
  <c r="EN28" i="5"/>
  <c r="EL29" i="5"/>
  <c r="DV41" i="5"/>
  <c r="DT42" i="5"/>
  <c r="CM44" i="5"/>
  <c r="CK45" i="5"/>
  <c r="BI23" i="5"/>
  <c r="BG24" i="5"/>
  <c r="ER27" i="5"/>
  <c r="FC27" i="5"/>
  <c r="EO27" i="5"/>
  <c r="EP27" i="5" s="1"/>
  <c r="EQ27" i="5" s="1"/>
  <c r="AI23" i="99" l="1"/>
  <c r="AJ23" i="99" s="1"/>
  <c r="AK22" i="99"/>
  <c r="AN22" i="5"/>
  <c r="AS21" i="5"/>
  <c r="AQ22" i="5"/>
  <c r="AR22" i="5" s="1"/>
  <c r="CG32" i="99"/>
  <c r="CI31" i="99"/>
  <c r="CM31" i="99" s="1"/>
  <c r="AX34" i="99"/>
  <c r="AZ33" i="99"/>
  <c r="DJ43" i="99"/>
  <c r="DL42" i="99"/>
  <c r="DM41" i="99"/>
  <c r="DN41" i="99" s="1"/>
  <c r="DO41" i="99" s="1"/>
  <c r="DP41" i="99"/>
  <c r="ER41" i="99"/>
  <c r="BM24" i="99"/>
  <c r="BK25" i="99"/>
  <c r="CJ49" i="99"/>
  <c r="CL48" i="99"/>
  <c r="EM29" i="99"/>
  <c r="EK30" i="99"/>
  <c r="EQ28" i="99"/>
  <c r="EU28" i="99"/>
  <c r="EN28" i="99"/>
  <c r="EO28" i="99" s="1"/>
  <c r="EP28" i="99" s="1"/>
  <c r="DU40" i="99"/>
  <c r="DS41" i="99"/>
  <c r="BH34" i="99"/>
  <c r="BF35" i="99"/>
  <c r="DV39" i="99"/>
  <c r="DW39" i="99" s="1"/>
  <c r="DX39" i="99" s="1"/>
  <c r="ET39" i="99"/>
  <c r="DY39" i="99"/>
  <c r="DD34" i="99"/>
  <c r="DE34" i="99" s="1"/>
  <c r="DC35" i="99"/>
  <c r="AQ26" i="99"/>
  <c r="AR26" i="99" s="1"/>
  <c r="AS25" i="99"/>
  <c r="FV22" i="99"/>
  <c r="FU23" i="99"/>
  <c r="FW22" i="99"/>
  <c r="ED29" i="99"/>
  <c r="EB30" i="99"/>
  <c r="AG22" i="99"/>
  <c r="AE23" i="99"/>
  <c r="AF23" i="99" s="1"/>
  <c r="EH28" i="99"/>
  <c r="ES28" i="99"/>
  <c r="EE28" i="99"/>
  <c r="EF28" i="99" s="1"/>
  <c r="EG28" i="99" s="1"/>
  <c r="CC43" i="99"/>
  <c r="CA44" i="99"/>
  <c r="BZ29" i="99"/>
  <c r="CD29" i="99" s="1"/>
  <c r="BX30" i="99"/>
  <c r="BC23" i="99"/>
  <c r="BE22" i="99"/>
  <c r="FS21" i="99"/>
  <c r="FR21" i="99"/>
  <c r="FQ22" i="99"/>
  <c r="AM23" i="99"/>
  <c r="AN23" i="99" s="1"/>
  <c r="AO22" i="99"/>
  <c r="CU31" i="99"/>
  <c r="CV31" i="99" s="1"/>
  <c r="CT32" i="99"/>
  <c r="CT46" i="5"/>
  <c r="CV45" i="5"/>
  <c r="DM33" i="5"/>
  <c r="DN32" i="5"/>
  <c r="DO32" i="5" s="1"/>
  <c r="BJ33" i="5"/>
  <c r="BL32" i="5"/>
  <c r="BO25" i="5"/>
  <c r="BQ24" i="5"/>
  <c r="CQ31" i="5"/>
  <c r="CS30" i="5"/>
  <c r="CW30" i="5" s="1"/>
  <c r="CR35" i="5"/>
  <c r="EF42" i="5"/>
  <c r="EG42" i="5" s="1"/>
  <c r="EH42" i="5" s="1"/>
  <c r="FD42" i="5"/>
  <c r="EI42" i="5"/>
  <c r="EW28" i="5"/>
  <c r="EU29" i="5"/>
  <c r="EE43" i="5"/>
  <c r="EC44" i="5"/>
  <c r="FA27" i="5"/>
  <c r="FE27" i="5"/>
  <c r="EX27" i="5"/>
  <c r="EY27" i="5" s="1"/>
  <c r="EZ27" i="5" s="1"/>
  <c r="AM23" i="5"/>
  <c r="AO22" i="5"/>
  <c r="CU49" i="5"/>
  <c r="AU24" i="5"/>
  <c r="AV24" i="5" s="1"/>
  <c r="AW23" i="5"/>
  <c r="DV42" i="5"/>
  <c r="DT43" i="5"/>
  <c r="CH31" i="5"/>
  <c r="CJ30" i="5"/>
  <c r="CN30" i="5" s="1"/>
  <c r="DE33" i="5"/>
  <c r="DF33" i="5" s="1"/>
  <c r="DD34" i="5"/>
  <c r="AK22" i="5"/>
  <c r="AI23" i="5"/>
  <c r="AJ23" i="5" s="1"/>
  <c r="FB41" i="5"/>
  <c r="DZ41" i="5"/>
  <c r="DW41" i="5"/>
  <c r="DX41" i="5" s="1"/>
  <c r="DY41" i="5" s="1"/>
  <c r="BB33" i="5"/>
  <c r="BD32" i="5"/>
  <c r="BI24" i="5"/>
  <c r="BG25" i="5"/>
  <c r="CM45" i="5"/>
  <c r="CK46" i="5"/>
  <c r="EN29" i="5"/>
  <c r="EL30" i="5"/>
  <c r="ER28" i="5"/>
  <c r="FC28" i="5"/>
  <c r="EO28" i="5"/>
  <c r="EP28" i="5" s="1"/>
  <c r="EQ28" i="5" s="1"/>
  <c r="AI24" i="99" l="1"/>
  <c r="AJ24" i="99" s="1"/>
  <c r="AK23" i="99"/>
  <c r="AN23" i="5"/>
  <c r="AQ23" i="5"/>
  <c r="AR23" i="5" s="1"/>
  <c r="AS22" i="5"/>
  <c r="BM25" i="99"/>
  <c r="BK26" i="99"/>
  <c r="AZ34" i="99"/>
  <c r="AX35" i="99"/>
  <c r="DM42" i="99"/>
  <c r="DN42" i="99" s="1"/>
  <c r="DO42" i="99" s="1"/>
  <c r="ER42" i="99"/>
  <c r="DP42" i="99"/>
  <c r="DL43" i="99"/>
  <c r="DJ44" i="99"/>
  <c r="CI32" i="99"/>
  <c r="CM32" i="99" s="1"/>
  <c r="CG33" i="99"/>
  <c r="CL49" i="99"/>
  <c r="CJ50" i="99"/>
  <c r="EM30" i="99"/>
  <c r="EK31" i="99"/>
  <c r="EN29" i="99"/>
  <c r="EO29" i="99" s="1"/>
  <c r="EP29" i="99" s="1"/>
  <c r="EQ29" i="99"/>
  <c r="EU29" i="99"/>
  <c r="DU41" i="99"/>
  <c r="DS42" i="99"/>
  <c r="DV40" i="99"/>
  <c r="DW40" i="99" s="1"/>
  <c r="DX40" i="99" s="1"/>
  <c r="DY40" i="99"/>
  <c r="ET40" i="99"/>
  <c r="BH35" i="99"/>
  <c r="BF36" i="99"/>
  <c r="AQ27" i="99"/>
  <c r="AR27" i="99" s="1"/>
  <c r="AS26" i="99"/>
  <c r="FU24" i="99"/>
  <c r="FV23" i="99"/>
  <c r="FW23" i="99"/>
  <c r="DC36" i="99"/>
  <c r="DD35" i="99"/>
  <c r="DE35" i="99" s="1"/>
  <c r="AO23" i="99"/>
  <c r="AM24" i="99"/>
  <c r="AN24" i="99" s="1"/>
  <c r="FS22" i="99"/>
  <c r="FR22" i="99"/>
  <c r="FQ23" i="99"/>
  <c r="BE23" i="99"/>
  <c r="BC24" i="99"/>
  <c r="CA45" i="99"/>
  <c r="CC44" i="99"/>
  <c r="AG23" i="99"/>
  <c r="AE24" i="99"/>
  <c r="AF24" i="99" s="1"/>
  <c r="BX31" i="99"/>
  <c r="BZ30" i="99"/>
  <c r="CD30" i="99" s="1"/>
  <c r="CU32" i="99"/>
  <c r="CV32" i="99" s="1"/>
  <c r="CT33" i="99"/>
  <c r="EB31" i="99"/>
  <c r="ED30" i="99"/>
  <c r="EH29" i="99"/>
  <c r="ES29" i="99"/>
  <c r="EE29" i="99"/>
  <c r="EF29" i="99" s="1"/>
  <c r="EG29" i="99" s="1"/>
  <c r="CQ32" i="5"/>
  <c r="CS31" i="5"/>
  <c r="CW31" i="5" s="1"/>
  <c r="DM34" i="5"/>
  <c r="DN33" i="5"/>
  <c r="DO33" i="5" s="1"/>
  <c r="BQ25" i="5"/>
  <c r="BO26" i="5"/>
  <c r="BJ34" i="5"/>
  <c r="BL33" i="5"/>
  <c r="CT47" i="5"/>
  <c r="CV46" i="5"/>
  <c r="CU50" i="5"/>
  <c r="FA28" i="5"/>
  <c r="FE28" i="5"/>
  <c r="EX28" i="5"/>
  <c r="EY28" i="5" s="1"/>
  <c r="EZ28" i="5" s="1"/>
  <c r="AW24" i="5"/>
  <c r="AU25" i="5"/>
  <c r="AV25" i="5" s="1"/>
  <c r="AM24" i="5"/>
  <c r="AO23" i="5"/>
  <c r="EE44" i="5"/>
  <c r="EC45" i="5"/>
  <c r="FD43" i="5"/>
  <c r="EI43" i="5"/>
  <c r="EF43" i="5"/>
  <c r="EG43" i="5" s="1"/>
  <c r="EH43" i="5" s="1"/>
  <c r="EW29" i="5"/>
  <c r="EU30" i="5"/>
  <c r="CR36" i="5"/>
  <c r="BB34" i="5"/>
  <c r="BD33" i="5"/>
  <c r="EN30" i="5"/>
  <c r="EL31" i="5"/>
  <c r="BI25" i="5"/>
  <c r="BG26" i="5"/>
  <c r="CJ31" i="5"/>
  <c r="CN31" i="5" s="1"/>
  <c r="CH32" i="5"/>
  <c r="FC29" i="5"/>
  <c r="ER29" i="5"/>
  <c r="EO29" i="5"/>
  <c r="EP29" i="5" s="1"/>
  <c r="EQ29" i="5" s="1"/>
  <c r="AI24" i="5"/>
  <c r="AJ24" i="5" s="1"/>
  <c r="AK23" i="5"/>
  <c r="DE34" i="5"/>
  <c r="DF34" i="5" s="1"/>
  <c r="DD35" i="5"/>
  <c r="DV43" i="5"/>
  <c r="DT44" i="5"/>
  <c r="CM46" i="5"/>
  <c r="CK47" i="5"/>
  <c r="FB42" i="5"/>
  <c r="DW42" i="5"/>
  <c r="DX42" i="5" s="1"/>
  <c r="DY42" i="5" s="1"/>
  <c r="DZ42" i="5"/>
  <c r="AK24" i="99" l="1"/>
  <c r="AI25" i="99"/>
  <c r="AJ25" i="99" s="1"/>
  <c r="AN24" i="5"/>
  <c r="AQ24" i="5"/>
  <c r="AR24" i="5" s="1"/>
  <c r="AS23" i="5"/>
  <c r="AX36" i="99"/>
  <c r="AZ35" i="99"/>
  <c r="CG34" i="99"/>
  <c r="CI33" i="99"/>
  <c r="CM33" i="99" s="1"/>
  <c r="BM26" i="99"/>
  <c r="BK27" i="99"/>
  <c r="DP43" i="99"/>
  <c r="ER43" i="99"/>
  <c r="DM43" i="99"/>
  <c r="DN43" i="99" s="1"/>
  <c r="DO43" i="99" s="1"/>
  <c r="DJ45" i="99"/>
  <c r="DL44" i="99"/>
  <c r="EK32" i="99"/>
  <c r="EM31" i="99"/>
  <c r="EQ30" i="99"/>
  <c r="EN30" i="99"/>
  <c r="EO30" i="99" s="1"/>
  <c r="EP30" i="99" s="1"/>
  <c r="EU30" i="99"/>
  <c r="CJ51" i="99"/>
  <c r="CL50" i="99"/>
  <c r="DS43" i="99"/>
  <c r="DU42" i="99"/>
  <c r="ET41" i="99"/>
  <c r="DY41" i="99"/>
  <c r="DV41" i="99"/>
  <c r="DW41" i="99" s="1"/>
  <c r="DX41" i="99" s="1"/>
  <c r="BF37" i="99"/>
  <c r="BH36" i="99"/>
  <c r="FU25" i="99"/>
  <c r="FW24" i="99"/>
  <c r="FV24" i="99"/>
  <c r="DC37" i="99"/>
  <c r="DD36" i="99"/>
  <c r="DE36" i="99" s="1"/>
  <c r="AQ28" i="99"/>
  <c r="AR28" i="99" s="1"/>
  <c r="AS27" i="99"/>
  <c r="CU33" i="99"/>
  <c r="CV33" i="99" s="1"/>
  <c r="CT34" i="99"/>
  <c r="FQ24" i="99"/>
  <c r="FS23" i="99"/>
  <c r="FR23" i="99"/>
  <c r="ES30" i="99"/>
  <c r="EH30" i="99"/>
  <c r="EE30" i="99"/>
  <c r="EF30" i="99" s="1"/>
  <c r="EG30" i="99" s="1"/>
  <c r="CC45" i="99"/>
  <c r="CA46" i="99"/>
  <c r="ED31" i="99"/>
  <c r="EB32" i="99"/>
  <c r="BX32" i="99"/>
  <c r="BZ31" i="99"/>
  <c r="CD31" i="99" s="1"/>
  <c r="AE25" i="99"/>
  <c r="AF25" i="99" s="1"/>
  <c r="AG24" i="99"/>
  <c r="BC25" i="99"/>
  <c r="BE24" i="99"/>
  <c r="AM25" i="99"/>
  <c r="AN25" i="99" s="1"/>
  <c r="AO24" i="99"/>
  <c r="CT48" i="5"/>
  <c r="CV47" i="5"/>
  <c r="BJ35" i="5"/>
  <c r="BL34" i="5"/>
  <c r="DM35" i="5"/>
  <c r="DN34" i="5"/>
  <c r="DO34" i="5" s="1"/>
  <c r="BQ26" i="5"/>
  <c r="BO27" i="5"/>
  <c r="CQ33" i="5"/>
  <c r="CS32" i="5"/>
  <c r="CW32" i="5" s="1"/>
  <c r="EC46" i="5"/>
  <c r="EE45" i="5"/>
  <c r="FD44" i="5"/>
  <c r="EI44" i="5"/>
  <c r="EF44" i="5"/>
  <c r="EG44" i="5" s="1"/>
  <c r="EH44" i="5" s="1"/>
  <c r="AO24" i="5"/>
  <c r="AM25" i="5"/>
  <c r="CR37" i="5"/>
  <c r="AU26" i="5"/>
  <c r="AV26" i="5" s="1"/>
  <c r="AW25" i="5"/>
  <c r="FA29" i="5"/>
  <c r="FE29" i="5"/>
  <c r="EX29" i="5"/>
  <c r="EY29" i="5" s="1"/>
  <c r="EZ29" i="5" s="1"/>
  <c r="EW30" i="5"/>
  <c r="EU31" i="5"/>
  <c r="CU51" i="5"/>
  <c r="DE35" i="5"/>
  <c r="DF35" i="5" s="1"/>
  <c r="DD36" i="5"/>
  <c r="CJ32" i="5"/>
  <c r="CN32" i="5" s="1"/>
  <c r="CH33" i="5"/>
  <c r="EN31" i="5"/>
  <c r="EL32" i="5"/>
  <c r="DV44" i="5"/>
  <c r="DT45" i="5"/>
  <c r="FC30" i="5"/>
  <c r="ER30" i="5"/>
  <c r="EO30" i="5"/>
  <c r="EP30" i="5" s="1"/>
  <c r="EQ30" i="5" s="1"/>
  <c r="CK48" i="5"/>
  <c r="CM47" i="5"/>
  <c r="FB43" i="5"/>
  <c r="DZ43" i="5"/>
  <c r="DW43" i="5"/>
  <c r="DX43" i="5" s="1"/>
  <c r="DY43" i="5" s="1"/>
  <c r="AI25" i="5"/>
  <c r="AJ25" i="5" s="1"/>
  <c r="AK24" i="5"/>
  <c r="BG27" i="5"/>
  <c r="BI26" i="5"/>
  <c r="BB35" i="5"/>
  <c r="BD34" i="5"/>
  <c r="AK25" i="99" l="1"/>
  <c r="AI26" i="99"/>
  <c r="AJ26" i="99" s="1"/>
  <c r="AN25" i="5"/>
  <c r="AQ25" i="5"/>
  <c r="AR25" i="5" s="1"/>
  <c r="AS24" i="5"/>
  <c r="DP44" i="99"/>
  <c r="ER44" i="99"/>
  <c r="DM44" i="99"/>
  <c r="DN44" i="99" s="1"/>
  <c r="DO44" i="99" s="1"/>
  <c r="CG35" i="99"/>
  <c r="CI34" i="99"/>
  <c r="CM34" i="99" s="1"/>
  <c r="DJ46" i="99"/>
  <c r="DL45" i="99"/>
  <c r="BM27" i="99"/>
  <c r="BK28" i="99"/>
  <c r="AZ36" i="99"/>
  <c r="AX37" i="99"/>
  <c r="CL51" i="99"/>
  <c r="CJ52" i="99"/>
  <c r="EN31" i="99"/>
  <c r="EO31" i="99" s="1"/>
  <c r="EP31" i="99" s="1"/>
  <c r="EQ31" i="99"/>
  <c r="EU31" i="99"/>
  <c r="EK33" i="99"/>
  <c r="EM32" i="99"/>
  <c r="BF38" i="99"/>
  <c r="BH37" i="99"/>
  <c r="DV42" i="99"/>
  <c r="DW42" i="99" s="1"/>
  <c r="DX42" i="99" s="1"/>
  <c r="DY42" i="99"/>
  <c r="ET42" i="99"/>
  <c r="DS44" i="99"/>
  <c r="DU43" i="99"/>
  <c r="AS28" i="99"/>
  <c r="AQ29" i="99"/>
  <c r="AR29" i="99" s="1"/>
  <c r="DC38" i="99"/>
  <c r="DD37" i="99"/>
  <c r="DE37" i="99" s="1"/>
  <c r="FV25" i="99"/>
  <c r="FW25" i="99"/>
  <c r="FU26" i="99"/>
  <c r="AM26" i="99"/>
  <c r="AN26" i="99" s="1"/>
  <c r="AO25" i="99"/>
  <c r="EB33" i="99"/>
  <c r="ED32" i="99"/>
  <c r="FQ25" i="99"/>
  <c r="FS24" i="99"/>
  <c r="FR24" i="99"/>
  <c r="EE31" i="99"/>
  <c r="EF31" i="99" s="1"/>
  <c r="EG31" i="99" s="1"/>
  <c r="ES31" i="99"/>
  <c r="EH31" i="99"/>
  <c r="BE25" i="99"/>
  <c r="BC26" i="99"/>
  <c r="AE26" i="99"/>
  <c r="AF26" i="99" s="1"/>
  <c r="AG25" i="99"/>
  <c r="BX33" i="99"/>
  <c r="BZ32" i="99"/>
  <c r="CD32" i="99" s="1"/>
  <c r="CA47" i="99"/>
  <c r="CC46" i="99"/>
  <c r="CU34" i="99"/>
  <c r="CV34" i="99" s="1"/>
  <c r="CT35" i="99"/>
  <c r="CQ34" i="5"/>
  <c r="CS33" i="5"/>
  <c r="CW33" i="5" s="1"/>
  <c r="DM36" i="5"/>
  <c r="DN35" i="5"/>
  <c r="DO35" i="5" s="1"/>
  <c r="BO28" i="5"/>
  <c r="BQ27" i="5"/>
  <c r="BL35" i="5"/>
  <c r="BJ36" i="5"/>
  <c r="CT49" i="5"/>
  <c r="CV48" i="5"/>
  <c r="FA30" i="5"/>
  <c r="FE30" i="5"/>
  <c r="EX30" i="5"/>
  <c r="EY30" i="5" s="1"/>
  <c r="EZ30" i="5" s="1"/>
  <c r="AO25" i="5"/>
  <c r="AM26" i="5"/>
  <c r="CU52" i="5"/>
  <c r="EI45" i="5"/>
  <c r="EF45" i="5"/>
  <c r="EG45" i="5" s="1"/>
  <c r="EH45" i="5" s="1"/>
  <c r="FD45" i="5"/>
  <c r="EW31" i="5"/>
  <c r="EU32" i="5"/>
  <c r="AU27" i="5"/>
  <c r="AV27" i="5" s="1"/>
  <c r="AW26" i="5"/>
  <c r="CR38" i="5"/>
  <c r="EE46" i="5"/>
  <c r="EC47" i="5"/>
  <c r="DV45" i="5"/>
  <c r="DT46" i="5"/>
  <c r="DZ44" i="5"/>
  <c r="DW44" i="5"/>
  <c r="DX44" i="5" s="1"/>
  <c r="DY44" i="5" s="1"/>
  <c r="FB44" i="5"/>
  <c r="EN32" i="5"/>
  <c r="EL33" i="5"/>
  <c r="BB36" i="5"/>
  <c r="BD35" i="5"/>
  <c r="AK25" i="5"/>
  <c r="AI26" i="5"/>
  <c r="AJ26" i="5" s="1"/>
  <c r="FC31" i="5"/>
  <c r="ER31" i="5"/>
  <c r="EO31" i="5"/>
  <c r="EP31" i="5" s="1"/>
  <c r="EQ31" i="5" s="1"/>
  <c r="DE36" i="5"/>
  <c r="DF36" i="5" s="1"/>
  <c r="DD37" i="5"/>
  <c r="BI27" i="5"/>
  <c r="BG28" i="5"/>
  <c r="CM48" i="5"/>
  <c r="CK49" i="5"/>
  <c r="CJ33" i="5"/>
  <c r="CN33" i="5" s="1"/>
  <c r="CH34" i="5"/>
  <c r="AK26" i="99" l="1"/>
  <c r="AI27" i="99"/>
  <c r="AJ27" i="99" s="1"/>
  <c r="AN26" i="5"/>
  <c r="AS25" i="5"/>
  <c r="AQ26" i="5"/>
  <c r="AR26" i="5" s="1"/>
  <c r="CI35" i="99"/>
  <c r="CM35" i="99" s="1"/>
  <c r="CG36" i="99"/>
  <c r="AX38" i="99"/>
  <c r="AZ37" i="99"/>
  <c r="DP45" i="99"/>
  <c r="DM45" i="99"/>
  <c r="DN45" i="99" s="1"/>
  <c r="DO45" i="99" s="1"/>
  <c r="ER45" i="99"/>
  <c r="DJ47" i="99"/>
  <c r="DL46" i="99"/>
  <c r="BK29" i="99"/>
  <c r="BM28" i="99"/>
  <c r="EM33" i="99"/>
  <c r="EK34" i="99"/>
  <c r="CJ53" i="99"/>
  <c r="CL52" i="99"/>
  <c r="EQ32" i="99"/>
  <c r="EU32" i="99"/>
  <c r="EN32" i="99"/>
  <c r="EO32" i="99" s="1"/>
  <c r="EP32" i="99" s="1"/>
  <c r="ET43" i="99"/>
  <c r="DY43" i="99"/>
  <c r="DV43" i="99"/>
  <c r="DW43" i="99" s="1"/>
  <c r="DX43" i="99" s="1"/>
  <c r="DS45" i="99"/>
  <c r="DU44" i="99"/>
  <c r="BF39" i="99"/>
  <c r="BH38" i="99"/>
  <c r="AS29" i="99"/>
  <c r="AQ30" i="99"/>
  <c r="AR30" i="99" s="1"/>
  <c r="FU27" i="99"/>
  <c r="FW26" i="99"/>
  <c r="FV26" i="99"/>
  <c r="DD38" i="99"/>
  <c r="DE38" i="99" s="1"/>
  <c r="DC39" i="99"/>
  <c r="CU35" i="99"/>
  <c r="CV35" i="99" s="1"/>
  <c r="CT36" i="99"/>
  <c r="BC27" i="99"/>
  <c r="BE26" i="99"/>
  <c r="EB34" i="99"/>
  <c r="ED33" i="99"/>
  <c r="CA48" i="99"/>
  <c r="CC47" i="99"/>
  <c r="BZ33" i="99"/>
  <c r="CD33" i="99" s="1"/>
  <c r="BX34" i="99"/>
  <c r="AM27" i="99"/>
  <c r="AN27" i="99" s="1"/>
  <c r="AO26" i="99"/>
  <c r="AG26" i="99"/>
  <c r="AE27" i="99"/>
  <c r="AF27" i="99" s="1"/>
  <c r="FQ26" i="99"/>
  <c r="FS25" i="99"/>
  <c r="FR25" i="99"/>
  <c r="EH32" i="99"/>
  <c r="EE32" i="99"/>
  <c r="EF32" i="99" s="1"/>
  <c r="EG32" i="99" s="1"/>
  <c r="ES32" i="99"/>
  <c r="CT50" i="5"/>
  <c r="CV49" i="5"/>
  <c r="BQ28" i="5"/>
  <c r="BO29" i="5"/>
  <c r="BJ37" i="5"/>
  <c r="BL36" i="5"/>
  <c r="DM37" i="5"/>
  <c r="DN36" i="5"/>
  <c r="DO36" i="5" s="1"/>
  <c r="CQ35" i="5"/>
  <c r="CS34" i="5"/>
  <c r="CW34" i="5" s="1"/>
  <c r="EW32" i="5"/>
  <c r="EU33" i="5"/>
  <c r="CU53" i="5"/>
  <c r="CR39" i="5"/>
  <c r="FE31" i="5"/>
  <c r="FA31" i="5"/>
  <c r="EX31" i="5"/>
  <c r="EY31" i="5" s="1"/>
  <c r="EZ31" i="5" s="1"/>
  <c r="EE47" i="5"/>
  <c r="EC48" i="5"/>
  <c r="AM27" i="5"/>
  <c r="AO26" i="5"/>
  <c r="FD46" i="5"/>
  <c r="EI46" i="5"/>
  <c r="EF46" i="5"/>
  <c r="EG46" i="5" s="1"/>
  <c r="EH46" i="5" s="1"/>
  <c r="AW27" i="5"/>
  <c r="AU28" i="5"/>
  <c r="AV28" i="5" s="1"/>
  <c r="BI28" i="5"/>
  <c r="BG29" i="5"/>
  <c r="FC32" i="5"/>
  <c r="ER32" i="5"/>
  <c r="EO32" i="5"/>
  <c r="EP32" i="5" s="1"/>
  <c r="EQ32" i="5" s="1"/>
  <c r="CJ34" i="5"/>
  <c r="CN34" i="5" s="1"/>
  <c r="CH35" i="5"/>
  <c r="CM49" i="5"/>
  <c r="CK50" i="5"/>
  <c r="DE37" i="5"/>
  <c r="DF37" i="5" s="1"/>
  <c r="DD38" i="5"/>
  <c r="BB37" i="5"/>
  <c r="BD36" i="5"/>
  <c r="DV46" i="5"/>
  <c r="DT47" i="5"/>
  <c r="AK26" i="5"/>
  <c r="AI27" i="5"/>
  <c r="AJ27" i="5" s="1"/>
  <c r="EN33" i="5"/>
  <c r="EL34" i="5"/>
  <c r="DW45" i="5"/>
  <c r="DX45" i="5" s="1"/>
  <c r="DY45" i="5" s="1"/>
  <c r="FB45" i="5"/>
  <c r="DZ45" i="5"/>
  <c r="AK27" i="99" l="1"/>
  <c r="AI28" i="99"/>
  <c r="AJ28" i="99" s="1"/>
  <c r="AN27" i="5"/>
  <c r="AS26" i="5"/>
  <c r="AQ27" i="5"/>
  <c r="AR27" i="5" s="1"/>
  <c r="AZ38" i="99"/>
  <c r="AX39" i="99"/>
  <c r="BK30" i="99"/>
  <c r="BM29" i="99"/>
  <c r="CG37" i="99"/>
  <c r="CI36" i="99"/>
  <c r="CM36" i="99" s="1"/>
  <c r="DL47" i="99"/>
  <c r="DJ48" i="99"/>
  <c r="DP46" i="99"/>
  <c r="DM46" i="99"/>
  <c r="DN46" i="99" s="1"/>
  <c r="DO46" i="99" s="1"/>
  <c r="ER46" i="99"/>
  <c r="CL53" i="99"/>
  <c r="CJ54" i="99"/>
  <c r="EK35" i="99"/>
  <c r="EM34" i="99"/>
  <c r="EU33" i="99"/>
  <c r="EN33" i="99"/>
  <c r="EO33" i="99" s="1"/>
  <c r="EP33" i="99" s="1"/>
  <c r="EQ33" i="99"/>
  <c r="DV44" i="99"/>
  <c r="DW44" i="99" s="1"/>
  <c r="DX44" i="99" s="1"/>
  <c r="DY44" i="99"/>
  <c r="ET44" i="99"/>
  <c r="BF40" i="99"/>
  <c r="BH39" i="99"/>
  <c r="DS46" i="99"/>
  <c r="DU45" i="99"/>
  <c r="DC40" i="99"/>
  <c r="DD39" i="99"/>
  <c r="DE39" i="99" s="1"/>
  <c r="DG38" i="99"/>
  <c r="AS30" i="99"/>
  <c r="AQ31" i="99"/>
  <c r="AR31" i="99" s="1"/>
  <c r="FU28" i="99"/>
  <c r="FW27" i="99"/>
  <c r="FV27" i="99"/>
  <c r="FQ27" i="99"/>
  <c r="FR26" i="99"/>
  <c r="FS26" i="99"/>
  <c r="CC48" i="99"/>
  <c r="CA49" i="99"/>
  <c r="ES33" i="99"/>
  <c r="EE33" i="99"/>
  <c r="EF33" i="99" s="1"/>
  <c r="EG33" i="99" s="1"/>
  <c r="EH33" i="99"/>
  <c r="BE27" i="99"/>
  <c r="BC28" i="99"/>
  <c r="AM28" i="99"/>
  <c r="AN28" i="99" s="1"/>
  <c r="AO27" i="99"/>
  <c r="BZ34" i="99"/>
  <c r="CD34" i="99" s="1"/>
  <c r="BX35" i="99"/>
  <c r="ED34" i="99"/>
  <c r="EB35" i="99"/>
  <c r="CU36" i="99"/>
  <c r="CV36" i="99" s="1"/>
  <c r="CT37" i="99"/>
  <c r="AG27" i="99"/>
  <c r="AE28" i="99"/>
  <c r="AF28" i="99" s="1"/>
  <c r="CQ36" i="5"/>
  <c r="CS35" i="5"/>
  <c r="CW35" i="5" s="1"/>
  <c r="BO30" i="5"/>
  <c r="BQ29" i="5"/>
  <c r="DM38" i="5"/>
  <c r="DN37" i="5"/>
  <c r="DO37" i="5" s="1"/>
  <c r="BL37" i="5"/>
  <c r="BJ38" i="5"/>
  <c r="CT51" i="5"/>
  <c r="CV50" i="5"/>
  <c r="EW33" i="5"/>
  <c r="EU34" i="5"/>
  <c r="AM28" i="5"/>
  <c r="AO27" i="5"/>
  <c r="FE32" i="5"/>
  <c r="FA32" i="5"/>
  <c r="EX32" i="5"/>
  <c r="EY32" i="5" s="1"/>
  <c r="EZ32" i="5" s="1"/>
  <c r="EC49" i="5"/>
  <c r="EE48" i="5"/>
  <c r="CR40" i="5"/>
  <c r="AW28" i="5"/>
  <c r="AU29" i="5"/>
  <c r="AV29" i="5" s="1"/>
  <c r="FD47" i="5"/>
  <c r="EI47" i="5"/>
  <c r="EF47" i="5"/>
  <c r="EG47" i="5" s="1"/>
  <c r="EH47" i="5" s="1"/>
  <c r="CU54" i="5"/>
  <c r="EN34" i="5"/>
  <c r="EL35" i="5"/>
  <c r="ER33" i="5"/>
  <c r="FC33" i="5"/>
  <c r="EO33" i="5"/>
  <c r="EP33" i="5" s="1"/>
  <c r="EQ33" i="5" s="1"/>
  <c r="DT48" i="5"/>
  <c r="DV47" i="5"/>
  <c r="DE38" i="5"/>
  <c r="DF38" i="5" s="1"/>
  <c r="DD39" i="5"/>
  <c r="AK27" i="5"/>
  <c r="AI28" i="5"/>
  <c r="AJ28" i="5" s="1"/>
  <c r="DZ46" i="5"/>
  <c r="FB46" i="5"/>
  <c r="DW46" i="5"/>
  <c r="DX46" i="5" s="1"/>
  <c r="DY46" i="5" s="1"/>
  <c r="CM50" i="5"/>
  <c r="CK51" i="5"/>
  <c r="BI29" i="5"/>
  <c r="BG30" i="5"/>
  <c r="BD37" i="5"/>
  <c r="BB38" i="5"/>
  <c r="CJ35" i="5"/>
  <c r="CN35" i="5" s="1"/>
  <c r="CH36" i="5"/>
  <c r="AI29" i="99" l="1"/>
  <c r="AJ29" i="99" s="1"/>
  <c r="AK28" i="99"/>
  <c r="AN28" i="5"/>
  <c r="AS27" i="5"/>
  <c r="AQ28" i="5"/>
  <c r="AR28" i="5" s="1"/>
  <c r="DJ49" i="99"/>
  <c r="DL48" i="99"/>
  <c r="DM47" i="99"/>
  <c r="DN47" i="99" s="1"/>
  <c r="DO47" i="99" s="1"/>
  <c r="DP47" i="99"/>
  <c r="ER47" i="99"/>
  <c r="BM30" i="99"/>
  <c r="BK31" i="99"/>
  <c r="AX40" i="99"/>
  <c r="AZ39" i="99"/>
  <c r="CI37" i="99"/>
  <c r="CM37" i="99" s="1"/>
  <c r="CN37" i="99" s="1"/>
  <c r="CO37" i="99" s="1"/>
  <c r="CG38" i="99"/>
  <c r="CL54" i="99"/>
  <c r="CJ55" i="99"/>
  <c r="EQ34" i="99"/>
  <c r="EN34" i="99"/>
  <c r="EO34" i="99" s="1"/>
  <c r="EP34" i="99" s="1"/>
  <c r="EU34" i="99"/>
  <c r="EK36" i="99"/>
  <c r="EM35" i="99"/>
  <c r="DS47" i="99"/>
  <c r="DU46" i="99"/>
  <c r="BF41" i="99"/>
  <c r="BH40" i="99"/>
  <c r="DY45" i="99"/>
  <c r="DV45" i="99"/>
  <c r="DW45" i="99" s="1"/>
  <c r="DX45" i="99" s="1"/>
  <c r="ET45" i="99"/>
  <c r="AS31" i="99"/>
  <c r="AQ32" i="99"/>
  <c r="AR32" i="99" s="1"/>
  <c r="DG39" i="99"/>
  <c r="FU29" i="99"/>
  <c r="FW28" i="99"/>
  <c r="FV28" i="99"/>
  <c r="DC41" i="99"/>
  <c r="DD40" i="99"/>
  <c r="DE40" i="99" s="1"/>
  <c r="CU37" i="99"/>
  <c r="CV37" i="99" s="1"/>
  <c r="CT38" i="99"/>
  <c r="BX36" i="99"/>
  <c r="BZ35" i="99"/>
  <c r="CD35" i="99" s="1"/>
  <c r="EB36" i="99"/>
  <c r="ED35" i="99"/>
  <c r="BE28" i="99"/>
  <c r="BC29" i="99"/>
  <c r="AE29" i="99"/>
  <c r="AF29" i="99" s="1"/>
  <c r="AG28" i="99"/>
  <c r="EH34" i="99"/>
  <c r="ES34" i="99"/>
  <c r="EE34" i="99"/>
  <c r="EF34" i="99" s="1"/>
  <c r="EG34" i="99" s="1"/>
  <c r="AM29" i="99"/>
  <c r="AN29" i="99" s="1"/>
  <c r="AO28" i="99"/>
  <c r="CC49" i="99"/>
  <c r="CA50" i="99"/>
  <c r="FR27" i="99"/>
  <c r="FS27" i="99"/>
  <c r="FQ28" i="99"/>
  <c r="BJ39" i="5"/>
  <c r="BL38" i="5"/>
  <c r="BO31" i="5"/>
  <c r="BQ30" i="5"/>
  <c r="DN38" i="5"/>
  <c r="DO38" i="5" s="1"/>
  <c r="DQ38" i="5" s="1"/>
  <c r="DM39" i="5"/>
  <c r="CQ37" i="5"/>
  <c r="CS36" i="5"/>
  <c r="CW36" i="5" s="1"/>
  <c r="CT52" i="5"/>
  <c r="CV51" i="5"/>
  <c r="EC50" i="5"/>
  <c r="EE49" i="5"/>
  <c r="FA33" i="5"/>
  <c r="FE33" i="5"/>
  <c r="EX33" i="5"/>
  <c r="EY33" i="5" s="1"/>
  <c r="EZ33" i="5" s="1"/>
  <c r="CU55" i="5"/>
  <c r="CR41" i="5"/>
  <c r="AO28" i="5"/>
  <c r="AM29" i="5"/>
  <c r="AU30" i="5"/>
  <c r="AV30" i="5" s="1"/>
  <c r="AW29" i="5"/>
  <c r="EF48" i="5"/>
  <c r="EG48" i="5" s="1"/>
  <c r="EH48" i="5" s="1"/>
  <c r="FD48" i="5"/>
  <c r="EI48" i="5"/>
  <c r="EW34" i="5"/>
  <c r="EU35" i="5"/>
  <c r="CJ36" i="5"/>
  <c r="CN36" i="5" s="1"/>
  <c r="CH37" i="5"/>
  <c r="BG31" i="5"/>
  <c r="BI30" i="5"/>
  <c r="CM51" i="5"/>
  <c r="CK52" i="5"/>
  <c r="DH38" i="5"/>
  <c r="BB39" i="5"/>
  <c r="BD38" i="5"/>
  <c r="AI29" i="5"/>
  <c r="AJ29" i="5" s="1"/>
  <c r="AK28" i="5"/>
  <c r="DW47" i="5"/>
  <c r="DX47" i="5" s="1"/>
  <c r="DY47" i="5" s="1"/>
  <c r="FB47" i="5"/>
  <c r="DZ47" i="5"/>
  <c r="DV48" i="5"/>
  <c r="DT49" i="5"/>
  <c r="EN35" i="5"/>
  <c r="EL36" i="5"/>
  <c r="DD40" i="5"/>
  <c r="DE39" i="5"/>
  <c r="DF39" i="5" s="1"/>
  <c r="ER34" i="5"/>
  <c r="FC34" i="5"/>
  <c r="EO34" i="5"/>
  <c r="EP34" i="5" s="1"/>
  <c r="EQ34" i="5" s="1"/>
  <c r="AK29" i="99" l="1"/>
  <c r="AI30" i="99"/>
  <c r="AJ30" i="99" s="1"/>
  <c r="AN29" i="5"/>
  <c r="AS28" i="5"/>
  <c r="AQ29" i="5"/>
  <c r="AR29" i="5" s="1"/>
  <c r="BM31" i="99"/>
  <c r="BK32" i="99"/>
  <c r="CI38" i="99"/>
  <c r="CM38" i="99" s="1"/>
  <c r="CN38" i="99" s="1"/>
  <c r="CO38" i="99" s="1"/>
  <c r="CG39" i="99"/>
  <c r="DM48" i="99"/>
  <c r="DN48" i="99" s="1"/>
  <c r="DO48" i="99" s="1"/>
  <c r="DP48" i="99"/>
  <c r="ER48" i="99"/>
  <c r="AZ40" i="99"/>
  <c r="AX41" i="99"/>
  <c r="DJ50" i="99"/>
  <c r="DL49" i="99"/>
  <c r="EQ35" i="99"/>
  <c r="EN35" i="99"/>
  <c r="EO35" i="99" s="1"/>
  <c r="EP35" i="99" s="1"/>
  <c r="EU35" i="99"/>
  <c r="EM36" i="99"/>
  <c r="EK37" i="99"/>
  <c r="CJ56" i="99"/>
  <c r="CL55" i="99"/>
  <c r="BH41" i="99"/>
  <c r="BF42" i="99"/>
  <c r="DV46" i="99"/>
  <c r="DW46" i="99" s="1"/>
  <c r="DX46" i="99" s="1"/>
  <c r="DY46" i="99"/>
  <c r="ET46" i="99"/>
  <c r="DU47" i="99"/>
  <c r="DS48" i="99"/>
  <c r="DG40" i="99"/>
  <c r="FU30" i="99"/>
  <c r="FV29" i="99"/>
  <c r="FW29" i="99"/>
  <c r="DD41" i="99"/>
  <c r="DE41" i="99" s="1"/>
  <c r="DC42" i="99"/>
  <c r="AQ33" i="99"/>
  <c r="AR33" i="99" s="1"/>
  <c r="AS32" i="99"/>
  <c r="CC50" i="99"/>
  <c r="CA51" i="99"/>
  <c r="BZ36" i="99"/>
  <c r="CD36" i="99" s="1"/>
  <c r="BX37" i="99"/>
  <c r="FR28" i="99"/>
  <c r="FQ29" i="99"/>
  <c r="FS28" i="99"/>
  <c r="EH35" i="99"/>
  <c r="ES35" i="99"/>
  <c r="EE35" i="99"/>
  <c r="EF35" i="99" s="1"/>
  <c r="EG35" i="99" s="1"/>
  <c r="CU38" i="99"/>
  <c r="CV38" i="99" s="1"/>
  <c r="CT39" i="99"/>
  <c r="AG29" i="99"/>
  <c r="AE30" i="99"/>
  <c r="AF30" i="99" s="1"/>
  <c r="EB37" i="99"/>
  <c r="ED36" i="99"/>
  <c r="AM30" i="99"/>
  <c r="AN30" i="99" s="1"/>
  <c r="AO29" i="99"/>
  <c r="BE29" i="99"/>
  <c r="BC30" i="99"/>
  <c r="DM40" i="5"/>
  <c r="DN39" i="5"/>
  <c r="DO39" i="5" s="1"/>
  <c r="DQ39" i="5" s="1"/>
  <c r="BQ31" i="5"/>
  <c r="BO32" i="5"/>
  <c r="CT53" i="5"/>
  <c r="CV52" i="5"/>
  <c r="BJ40" i="5"/>
  <c r="BL39" i="5"/>
  <c r="CQ38" i="5"/>
  <c r="CS37" i="5"/>
  <c r="CW37" i="5" s="1"/>
  <c r="CX37" i="5" s="1"/>
  <c r="CY37" i="5" s="1"/>
  <c r="EW35" i="5"/>
  <c r="EU36" i="5"/>
  <c r="AO29" i="5"/>
  <c r="AM30" i="5"/>
  <c r="CU56" i="5"/>
  <c r="EF49" i="5"/>
  <c r="EG49" i="5" s="1"/>
  <c r="EH49" i="5" s="1"/>
  <c r="FD49" i="5"/>
  <c r="EI49" i="5"/>
  <c r="EC51" i="5"/>
  <c r="EE50" i="5"/>
  <c r="FE34" i="5"/>
  <c r="FA34" i="5"/>
  <c r="EX34" i="5"/>
  <c r="EY34" i="5" s="1"/>
  <c r="EZ34" i="5" s="1"/>
  <c r="AU31" i="5"/>
  <c r="AV31" i="5" s="1"/>
  <c r="AW30" i="5"/>
  <c r="CR42" i="5"/>
  <c r="BB40" i="5"/>
  <c r="BD39" i="5"/>
  <c r="EN36" i="5"/>
  <c r="EL37" i="5"/>
  <c r="FC35" i="5"/>
  <c r="ER35" i="5"/>
  <c r="EO35" i="5"/>
  <c r="EP35" i="5" s="1"/>
  <c r="EQ35" i="5" s="1"/>
  <c r="BG32" i="5"/>
  <c r="BI31" i="5"/>
  <c r="DH39" i="5"/>
  <c r="DV49" i="5"/>
  <c r="DT50" i="5"/>
  <c r="AK29" i="5"/>
  <c r="AI30" i="5"/>
  <c r="AJ30" i="5" s="1"/>
  <c r="CM52" i="5"/>
  <c r="CK53" i="5"/>
  <c r="CJ37" i="5"/>
  <c r="CN37" i="5" s="1"/>
  <c r="CH38" i="5"/>
  <c r="DE40" i="5"/>
  <c r="DF40" i="5" s="1"/>
  <c r="DD41" i="5"/>
  <c r="DW48" i="5"/>
  <c r="DX48" i="5" s="1"/>
  <c r="DY48" i="5" s="1"/>
  <c r="FB48" i="5"/>
  <c r="DZ48" i="5"/>
  <c r="AK30" i="99" l="1"/>
  <c r="AI31" i="99"/>
  <c r="AJ31" i="99" s="1"/>
  <c r="AN30" i="5"/>
  <c r="AS29" i="5"/>
  <c r="AQ30" i="5"/>
  <c r="AR30" i="5" s="1"/>
  <c r="CG40" i="99"/>
  <c r="CI39" i="99"/>
  <c r="CM39" i="99" s="1"/>
  <c r="DM49" i="99"/>
  <c r="DN49" i="99" s="1"/>
  <c r="DO49" i="99" s="1"/>
  <c r="DP49" i="99"/>
  <c r="ER49" i="99"/>
  <c r="DL50" i="99"/>
  <c r="DJ51" i="99"/>
  <c r="BM32" i="99"/>
  <c r="BK33" i="99"/>
  <c r="AZ41" i="99"/>
  <c r="AX42" i="99"/>
  <c r="CL56" i="99"/>
  <c r="CJ57" i="99"/>
  <c r="EM37" i="99"/>
  <c r="EK38" i="99"/>
  <c r="EU36" i="99"/>
  <c r="EN36" i="99"/>
  <c r="EO36" i="99" s="1"/>
  <c r="EP36" i="99" s="1"/>
  <c r="EQ36" i="99"/>
  <c r="BF43" i="99"/>
  <c r="BH42" i="99"/>
  <c r="DS49" i="99"/>
  <c r="DU48" i="99"/>
  <c r="DV47" i="99"/>
  <c r="DW47" i="99" s="1"/>
  <c r="DX47" i="99" s="1"/>
  <c r="DY47" i="99"/>
  <c r="ET47" i="99"/>
  <c r="AQ34" i="99"/>
  <c r="AR34" i="99" s="1"/>
  <c r="AS33" i="99"/>
  <c r="DC43" i="99"/>
  <c r="DD42" i="99"/>
  <c r="DE42" i="99" s="1"/>
  <c r="FW30" i="99"/>
  <c r="FU31" i="99"/>
  <c r="FV30" i="99"/>
  <c r="DG41" i="99"/>
  <c r="ED37" i="99"/>
  <c r="EB38" i="99"/>
  <c r="CX38" i="99"/>
  <c r="FS29" i="99"/>
  <c r="FQ30" i="99"/>
  <c r="FR29" i="99"/>
  <c r="AE31" i="99"/>
  <c r="AF31" i="99" s="1"/>
  <c r="AG30" i="99"/>
  <c r="CC51" i="99"/>
  <c r="CA52" i="99"/>
  <c r="AO30" i="99"/>
  <c r="AM31" i="99"/>
  <c r="AN31" i="99" s="1"/>
  <c r="BZ37" i="99"/>
  <c r="CD37" i="99" s="1"/>
  <c r="BX38" i="99"/>
  <c r="BC31" i="99"/>
  <c r="BE30" i="99"/>
  <c r="EH36" i="99"/>
  <c r="EE36" i="99"/>
  <c r="EF36" i="99" s="1"/>
  <c r="EG36" i="99" s="1"/>
  <c r="ES36" i="99"/>
  <c r="CU39" i="99"/>
  <c r="CV39" i="99" s="1"/>
  <c r="CT40" i="99"/>
  <c r="BJ41" i="5"/>
  <c r="BL40" i="5"/>
  <c r="CQ39" i="5"/>
  <c r="CS38" i="5"/>
  <c r="CW38" i="5" s="1"/>
  <c r="CX38" i="5" s="1"/>
  <c r="CY38" i="5" s="1"/>
  <c r="DM41" i="5"/>
  <c r="DN40" i="5"/>
  <c r="DO40" i="5" s="1"/>
  <c r="DQ40" i="5" s="1"/>
  <c r="CT54" i="5"/>
  <c r="CV53" i="5"/>
  <c r="BO33" i="5"/>
  <c r="BQ32" i="5"/>
  <c r="EE51" i="5"/>
  <c r="EC52" i="5"/>
  <c r="EI50" i="5"/>
  <c r="FD50" i="5"/>
  <c r="EF50" i="5"/>
  <c r="EG50" i="5" s="1"/>
  <c r="EH50" i="5" s="1"/>
  <c r="CR43" i="5"/>
  <c r="CU57" i="5"/>
  <c r="EW36" i="5"/>
  <c r="EU37" i="5"/>
  <c r="AU32" i="5"/>
  <c r="AV32" i="5" s="1"/>
  <c r="AW31" i="5"/>
  <c r="FA35" i="5"/>
  <c r="FE35" i="5"/>
  <c r="EX35" i="5"/>
  <c r="EY35" i="5" s="1"/>
  <c r="EZ35" i="5" s="1"/>
  <c r="AO30" i="5"/>
  <c r="AM31" i="5"/>
  <c r="CJ38" i="5"/>
  <c r="CN38" i="5" s="1"/>
  <c r="CH39" i="5"/>
  <c r="ER36" i="5"/>
  <c r="FC36" i="5"/>
  <c r="EO36" i="5"/>
  <c r="EP36" i="5" s="1"/>
  <c r="EQ36" i="5" s="1"/>
  <c r="BB41" i="5"/>
  <c r="BD40" i="5"/>
  <c r="CO37" i="5"/>
  <c r="CP37" i="5" s="1"/>
  <c r="DT51" i="5"/>
  <c r="DV50" i="5"/>
  <c r="DE41" i="5"/>
  <c r="DF41" i="5" s="1"/>
  <c r="DD42" i="5"/>
  <c r="CM53" i="5"/>
  <c r="CK54" i="5"/>
  <c r="AI31" i="5"/>
  <c r="AJ31" i="5" s="1"/>
  <c r="AK30" i="5"/>
  <c r="FB49" i="5"/>
  <c r="DW49" i="5"/>
  <c r="DX49" i="5" s="1"/>
  <c r="DY49" i="5" s="1"/>
  <c r="DZ49" i="5"/>
  <c r="DH40" i="5"/>
  <c r="BI32" i="5"/>
  <c r="BG33" i="5"/>
  <c r="EN37" i="5"/>
  <c r="EL38" i="5"/>
  <c r="AI32" i="99" l="1"/>
  <c r="AJ32" i="99" s="1"/>
  <c r="AK31" i="99"/>
  <c r="AN31" i="5"/>
  <c r="AQ31" i="5"/>
  <c r="AR31" i="5" s="1"/>
  <c r="AS30" i="5"/>
  <c r="AZ42" i="99"/>
  <c r="AX43" i="99"/>
  <c r="DL51" i="99"/>
  <c r="DJ52" i="99"/>
  <c r="DM50" i="99"/>
  <c r="DN50" i="99" s="1"/>
  <c r="DO50" i="99" s="1"/>
  <c r="ER50" i="99"/>
  <c r="DP50" i="99"/>
  <c r="CN39" i="99"/>
  <c r="CO39" i="99" s="1"/>
  <c r="BM33" i="99"/>
  <c r="BK34" i="99"/>
  <c r="CG41" i="99"/>
  <c r="CI40" i="99"/>
  <c r="CM40" i="99" s="1"/>
  <c r="EM38" i="99"/>
  <c r="EK39" i="99"/>
  <c r="EQ37" i="99"/>
  <c r="EN37" i="99"/>
  <c r="EO37" i="99" s="1"/>
  <c r="EP37" i="99" s="1"/>
  <c r="EU37" i="99"/>
  <c r="CL57" i="99"/>
  <c r="CJ58" i="99"/>
  <c r="DV48" i="99"/>
  <c r="DW48" i="99" s="1"/>
  <c r="DX48" i="99" s="1"/>
  <c r="ET48" i="99"/>
  <c r="DY48" i="99"/>
  <c r="DS50" i="99"/>
  <c r="DU49" i="99"/>
  <c r="BH43" i="99"/>
  <c r="BF44" i="99"/>
  <c r="FV31" i="99"/>
  <c r="FU32" i="99"/>
  <c r="FW31" i="99"/>
  <c r="DG42" i="99"/>
  <c r="DC44" i="99"/>
  <c r="DD43" i="99"/>
  <c r="DE43" i="99" s="1"/>
  <c r="AQ35" i="99"/>
  <c r="AR35" i="99" s="1"/>
  <c r="AS34" i="99"/>
  <c r="BE31" i="99"/>
  <c r="BC32" i="99"/>
  <c r="CC52" i="99"/>
  <c r="CA53" i="99"/>
  <c r="ED38" i="99"/>
  <c r="EB39" i="99"/>
  <c r="BX39" i="99"/>
  <c r="BZ38" i="99"/>
  <c r="CD38" i="99" s="1"/>
  <c r="AE32" i="99"/>
  <c r="AF32" i="99" s="1"/>
  <c r="AG31" i="99"/>
  <c r="ES37" i="99"/>
  <c r="EE37" i="99"/>
  <c r="EF37" i="99" s="1"/>
  <c r="EG37" i="99" s="1"/>
  <c r="EH37" i="99"/>
  <c r="CU40" i="99"/>
  <c r="CV40" i="99" s="1"/>
  <c r="CT41" i="99"/>
  <c r="CE37" i="99"/>
  <c r="CF37" i="99" s="1"/>
  <c r="FQ31" i="99"/>
  <c r="FS30" i="99"/>
  <c r="FR30" i="99"/>
  <c r="CX39" i="99"/>
  <c r="AM32" i="99"/>
  <c r="AN32" i="99" s="1"/>
  <c r="AO31" i="99"/>
  <c r="CQ40" i="5"/>
  <c r="CS39" i="5"/>
  <c r="CW39" i="5" s="1"/>
  <c r="CT55" i="5"/>
  <c r="CV54" i="5"/>
  <c r="BO34" i="5"/>
  <c r="BQ33" i="5"/>
  <c r="DM42" i="5"/>
  <c r="DN41" i="5"/>
  <c r="DO41" i="5" s="1"/>
  <c r="BJ42" i="5"/>
  <c r="BL41" i="5"/>
  <c r="EW37" i="5"/>
  <c r="EU38" i="5"/>
  <c r="CU58" i="5"/>
  <c r="CR44" i="5"/>
  <c r="EE52" i="5"/>
  <c r="EC53" i="5"/>
  <c r="AW32" i="5"/>
  <c r="AU33" i="5"/>
  <c r="AV33" i="5" s="1"/>
  <c r="FE36" i="5"/>
  <c r="FA36" i="5"/>
  <c r="EX36" i="5"/>
  <c r="EY36" i="5" s="1"/>
  <c r="EZ36" i="5" s="1"/>
  <c r="EI51" i="5"/>
  <c r="FD51" i="5"/>
  <c r="EF51" i="5"/>
  <c r="EG51" i="5" s="1"/>
  <c r="EH51" i="5" s="1"/>
  <c r="AM32" i="5"/>
  <c r="AO31" i="5"/>
  <c r="EO37" i="5"/>
  <c r="EP37" i="5" s="1"/>
  <c r="EQ37" i="5" s="1"/>
  <c r="ER37" i="5"/>
  <c r="FC37" i="5"/>
  <c r="BI33" i="5"/>
  <c r="BG34" i="5"/>
  <c r="AK31" i="5"/>
  <c r="AI32" i="5"/>
  <c r="AJ32" i="5" s="1"/>
  <c r="DH41" i="5"/>
  <c r="CJ39" i="5"/>
  <c r="CN39" i="5" s="1"/>
  <c r="CH40" i="5"/>
  <c r="BB42" i="5"/>
  <c r="BD41" i="5"/>
  <c r="CM54" i="5"/>
  <c r="CK55" i="5"/>
  <c r="DW50" i="5"/>
  <c r="DX50" i="5" s="1"/>
  <c r="DY50" i="5" s="1"/>
  <c r="FB50" i="5"/>
  <c r="DZ50" i="5"/>
  <c r="CO38" i="5"/>
  <c r="CP38" i="5" s="1"/>
  <c r="EN38" i="5"/>
  <c r="EL39" i="5"/>
  <c r="DT52" i="5"/>
  <c r="DV51" i="5"/>
  <c r="DE42" i="5"/>
  <c r="DF42" i="5" s="1"/>
  <c r="DD43" i="5"/>
  <c r="CN40" i="99" l="1"/>
  <c r="CO40" i="99" s="1"/>
  <c r="AK32" i="99"/>
  <c r="AI33" i="99"/>
  <c r="AJ33" i="99" s="1"/>
  <c r="AN32" i="5"/>
  <c r="AS31" i="5"/>
  <c r="AQ32" i="5"/>
  <c r="AR32" i="5" s="1"/>
  <c r="DJ53" i="99"/>
  <c r="DL52" i="99"/>
  <c r="BM34" i="99"/>
  <c r="BK35" i="99"/>
  <c r="DM51" i="99"/>
  <c r="DN51" i="99" s="1"/>
  <c r="DO51" i="99" s="1"/>
  <c r="DP51" i="99"/>
  <c r="ER51" i="99"/>
  <c r="CI41" i="99"/>
  <c r="CM41" i="99" s="1"/>
  <c r="CN41" i="99" s="1"/>
  <c r="CO41" i="99" s="1"/>
  <c r="CG42" i="99"/>
  <c r="AZ43" i="99"/>
  <c r="AX44" i="99"/>
  <c r="CL58" i="99"/>
  <c r="CJ59" i="99"/>
  <c r="EK40" i="99"/>
  <c r="EM39" i="99"/>
  <c r="EN38" i="99"/>
  <c r="EO38" i="99" s="1"/>
  <c r="EP38" i="99" s="1"/>
  <c r="EU38" i="99"/>
  <c r="EQ38" i="99"/>
  <c r="DS51" i="99"/>
  <c r="DU50" i="99"/>
  <c r="BH44" i="99"/>
  <c r="BF45" i="99"/>
  <c r="DV49" i="99"/>
  <c r="DW49" i="99" s="1"/>
  <c r="DX49" i="99" s="1"/>
  <c r="DY49" i="99"/>
  <c r="ET49" i="99"/>
  <c r="DG43" i="99"/>
  <c r="AS35" i="99"/>
  <c r="AQ36" i="99"/>
  <c r="AR36" i="99" s="1"/>
  <c r="DC45" i="99"/>
  <c r="DD44" i="99"/>
  <c r="DE44" i="99" s="1"/>
  <c r="FU33" i="99"/>
  <c r="FV32" i="99"/>
  <c r="FW32" i="99"/>
  <c r="AG32" i="99"/>
  <c r="AE33" i="99"/>
  <c r="AF33" i="99" s="1"/>
  <c r="BZ39" i="99"/>
  <c r="CD39" i="99" s="1"/>
  <c r="BX40" i="99"/>
  <c r="FQ32" i="99"/>
  <c r="FS31" i="99"/>
  <c r="FR31" i="99"/>
  <c r="ED39" i="99"/>
  <c r="EB40" i="99"/>
  <c r="CC53" i="99"/>
  <c r="CA54" i="99"/>
  <c r="BE32" i="99"/>
  <c r="BC33" i="99"/>
  <c r="CU41" i="99"/>
  <c r="CV41" i="99" s="1"/>
  <c r="CT42" i="99"/>
  <c r="ES38" i="99"/>
  <c r="EE38" i="99"/>
  <c r="EF38" i="99" s="1"/>
  <c r="EG38" i="99" s="1"/>
  <c r="EH38" i="99"/>
  <c r="AM33" i="99"/>
  <c r="AN33" i="99" s="1"/>
  <c r="AO32" i="99"/>
  <c r="CX40" i="99"/>
  <c r="CE38" i="99"/>
  <c r="CF38" i="99" s="1"/>
  <c r="DM43" i="5"/>
  <c r="DN42" i="5"/>
  <c r="DO42" i="5" s="1"/>
  <c r="CT56" i="5"/>
  <c r="CV55" i="5"/>
  <c r="CX39" i="5"/>
  <c r="CY39" i="5" s="1"/>
  <c r="BL42" i="5"/>
  <c r="BJ43" i="5"/>
  <c r="BQ34" i="5"/>
  <c r="BO35" i="5"/>
  <c r="DQ41" i="5"/>
  <c r="CQ41" i="5"/>
  <c r="CS40" i="5"/>
  <c r="CW40" i="5" s="1"/>
  <c r="CR45" i="5"/>
  <c r="FA37" i="5"/>
  <c r="FE37" i="5"/>
  <c r="EX37" i="5"/>
  <c r="EY37" i="5" s="1"/>
  <c r="EZ37" i="5" s="1"/>
  <c r="EC54" i="5"/>
  <c r="EE53" i="5"/>
  <c r="AO32" i="5"/>
  <c r="AM33" i="5"/>
  <c r="EF52" i="5"/>
  <c r="EG52" i="5" s="1"/>
  <c r="EH52" i="5" s="1"/>
  <c r="FD52" i="5"/>
  <c r="EI52" i="5"/>
  <c r="CU59" i="5"/>
  <c r="AW33" i="5"/>
  <c r="AU34" i="5"/>
  <c r="AV34" i="5" s="1"/>
  <c r="EW38" i="5"/>
  <c r="EU39" i="5"/>
  <c r="DH42" i="5"/>
  <c r="FC38" i="5"/>
  <c r="ER38" i="5"/>
  <c r="EO38" i="5"/>
  <c r="EP38" i="5" s="1"/>
  <c r="EQ38" i="5" s="1"/>
  <c r="CK56" i="5"/>
  <c r="CM55" i="5"/>
  <c r="CJ40" i="5"/>
  <c r="CN40" i="5" s="1"/>
  <c r="CH41" i="5"/>
  <c r="DE43" i="5"/>
  <c r="DF43" i="5" s="1"/>
  <c r="DD44" i="5"/>
  <c r="DZ51" i="5"/>
  <c r="DW51" i="5"/>
  <c r="DX51" i="5" s="1"/>
  <c r="DY51" i="5" s="1"/>
  <c r="FB51" i="5"/>
  <c r="CO39" i="5"/>
  <c r="CP39" i="5" s="1"/>
  <c r="AK32" i="5"/>
  <c r="AI33" i="5"/>
  <c r="AJ33" i="5" s="1"/>
  <c r="DV52" i="5"/>
  <c r="DT53" i="5"/>
  <c r="EN39" i="5"/>
  <c r="EL40" i="5"/>
  <c r="BB43" i="5"/>
  <c r="BD42" i="5"/>
  <c r="BI34" i="5"/>
  <c r="BG35" i="5"/>
  <c r="AK33" i="99" l="1"/>
  <c r="AI34" i="99"/>
  <c r="AJ34" i="99" s="1"/>
  <c r="AN33" i="5"/>
  <c r="AS32" i="5"/>
  <c r="AQ33" i="5"/>
  <c r="AR33" i="5" s="1"/>
  <c r="BM35" i="99"/>
  <c r="BK36" i="99"/>
  <c r="AX45" i="99"/>
  <c r="AZ44" i="99"/>
  <c r="ER52" i="99"/>
  <c r="DM52" i="99"/>
  <c r="DN52" i="99" s="1"/>
  <c r="DO52" i="99" s="1"/>
  <c r="DP52" i="99"/>
  <c r="CI42" i="99"/>
  <c r="CM42" i="99" s="1"/>
  <c r="CN42" i="99" s="1"/>
  <c r="CO42" i="99" s="1"/>
  <c r="CG43" i="99"/>
  <c r="DL53" i="99"/>
  <c r="DJ54" i="99"/>
  <c r="EN39" i="99"/>
  <c r="EO39" i="99" s="1"/>
  <c r="EP39" i="99" s="1"/>
  <c r="EQ39" i="99"/>
  <c r="EU39" i="99"/>
  <c r="EK41" i="99"/>
  <c r="EM40" i="99"/>
  <c r="CL59" i="99"/>
  <c r="CJ60" i="99"/>
  <c r="ET50" i="99"/>
  <c r="DY50" i="99"/>
  <c r="DV50" i="99"/>
  <c r="DW50" i="99" s="1"/>
  <c r="DX50" i="99" s="1"/>
  <c r="BF46" i="99"/>
  <c r="BH45" i="99"/>
  <c r="DU51" i="99"/>
  <c r="DS52" i="99"/>
  <c r="DG44" i="99"/>
  <c r="DC46" i="99"/>
  <c r="DD45" i="99"/>
  <c r="DE45" i="99" s="1"/>
  <c r="AS36" i="99"/>
  <c r="AQ37" i="99"/>
  <c r="AR37" i="99" s="1"/>
  <c r="FV33" i="99"/>
  <c r="FU34" i="99"/>
  <c r="FW33" i="99"/>
  <c r="AM34" i="99"/>
  <c r="AN34" i="99" s="1"/>
  <c r="AO33" i="99"/>
  <c r="BE33" i="99"/>
  <c r="BC34" i="99"/>
  <c r="BZ40" i="99"/>
  <c r="CD40" i="99" s="1"/>
  <c r="BX41" i="99"/>
  <c r="CU42" i="99"/>
  <c r="CV42" i="99" s="1"/>
  <c r="CT43" i="99"/>
  <c r="CA55" i="99"/>
  <c r="CC54" i="99"/>
  <c r="ED40" i="99"/>
  <c r="EB41" i="99"/>
  <c r="FR32" i="99"/>
  <c r="FQ33" i="99"/>
  <c r="FS32" i="99"/>
  <c r="CE39" i="99"/>
  <c r="CF39" i="99" s="1"/>
  <c r="CX41" i="99"/>
  <c r="EE39" i="99"/>
  <c r="EF39" i="99" s="1"/>
  <c r="EG39" i="99" s="1"/>
  <c r="ES39" i="99"/>
  <c r="EH39" i="99"/>
  <c r="AE34" i="99"/>
  <c r="AF34" i="99" s="1"/>
  <c r="AG33" i="99"/>
  <c r="CQ42" i="5"/>
  <c r="CS41" i="5"/>
  <c r="CW41" i="5" s="1"/>
  <c r="BJ44" i="5"/>
  <c r="BL43" i="5"/>
  <c r="CT57" i="5"/>
  <c r="CV56" i="5"/>
  <c r="BO36" i="5"/>
  <c r="BQ35" i="5"/>
  <c r="DN43" i="5"/>
  <c r="DO43" i="5" s="1"/>
  <c r="DQ43" i="5" s="1"/>
  <c r="DM44" i="5"/>
  <c r="CX40" i="5"/>
  <c r="CY40" i="5" s="1"/>
  <c r="DQ42" i="5"/>
  <c r="AW34" i="5"/>
  <c r="AU35" i="5"/>
  <c r="AV35" i="5" s="1"/>
  <c r="CU60" i="5"/>
  <c r="EW39" i="5"/>
  <c r="EU40" i="5"/>
  <c r="FA38" i="5"/>
  <c r="FE38" i="5"/>
  <c r="EX38" i="5"/>
  <c r="EY38" i="5" s="1"/>
  <c r="EZ38" i="5" s="1"/>
  <c r="AM34" i="5"/>
  <c r="AO33" i="5"/>
  <c r="FD53" i="5"/>
  <c r="EI53" i="5"/>
  <c r="EF53" i="5"/>
  <c r="EG53" i="5" s="1"/>
  <c r="EH53" i="5" s="1"/>
  <c r="EE54" i="5"/>
  <c r="EC55" i="5"/>
  <c r="CR46" i="5"/>
  <c r="FC39" i="5"/>
  <c r="ER39" i="5"/>
  <c r="EO39" i="5"/>
  <c r="EP39" i="5" s="1"/>
  <c r="EQ39" i="5" s="1"/>
  <c r="CH42" i="5"/>
  <c r="CJ41" i="5"/>
  <c r="CN41" i="5" s="1"/>
  <c r="BB44" i="5"/>
  <c r="BD43" i="5"/>
  <c r="DE44" i="5"/>
  <c r="DF44" i="5" s="1"/>
  <c r="DD45" i="5"/>
  <c r="CO40" i="5"/>
  <c r="CP40" i="5" s="1"/>
  <c r="AK33" i="5"/>
  <c r="AI34" i="5"/>
  <c r="AJ34" i="5" s="1"/>
  <c r="DH43" i="5"/>
  <c r="FB52" i="5"/>
  <c r="DZ52" i="5"/>
  <c r="DW52" i="5"/>
  <c r="DX52" i="5" s="1"/>
  <c r="DY52" i="5" s="1"/>
  <c r="BI35" i="5"/>
  <c r="BG36" i="5"/>
  <c r="EN40" i="5"/>
  <c r="EL41" i="5"/>
  <c r="DV53" i="5"/>
  <c r="DT54" i="5"/>
  <c r="CK57" i="5"/>
  <c r="CM56" i="5"/>
  <c r="AI35" i="99" l="1"/>
  <c r="AJ35" i="99" s="1"/>
  <c r="AK34" i="99"/>
  <c r="AN34" i="5"/>
  <c r="AS33" i="5"/>
  <c r="AQ34" i="5"/>
  <c r="AR34" i="5" s="1"/>
  <c r="DL54" i="99"/>
  <c r="DJ55" i="99"/>
  <c r="AX46" i="99"/>
  <c r="AZ45" i="99"/>
  <c r="DP53" i="99"/>
  <c r="ER53" i="99"/>
  <c r="DM53" i="99"/>
  <c r="DN53" i="99" s="1"/>
  <c r="DO53" i="99" s="1"/>
  <c r="BK37" i="99"/>
  <c r="BM36" i="99"/>
  <c r="CI43" i="99"/>
  <c r="CM43" i="99" s="1"/>
  <c r="CN43" i="99" s="1"/>
  <c r="CO43" i="99" s="1"/>
  <c r="CG44" i="99"/>
  <c r="EM41" i="99"/>
  <c r="EK42" i="99"/>
  <c r="CL60" i="99"/>
  <c r="CJ61" i="99"/>
  <c r="EQ40" i="99"/>
  <c r="EN40" i="99"/>
  <c r="EO40" i="99" s="1"/>
  <c r="EP40" i="99" s="1"/>
  <c r="EU40" i="99"/>
  <c r="DS53" i="99"/>
  <c r="DU52" i="99"/>
  <c r="ET51" i="99"/>
  <c r="DV51" i="99"/>
  <c r="DW51" i="99" s="1"/>
  <c r="DX51" i="99" s="1"/>
  <c r="DY51" i="99"/>
  <c r="BH46" i="99"/>
  <c r="BF47" i="99"/>
  <c r="AS37" i="99"/>
  <c r="AQ38" i="99"/>
  <c r="AR38" i="99" s="1"/>
  <c r="FU35" i="99"/>
  <c r="FV34" i="99"/>
  <c r="FW34" i="99"/>
  <c r="DG45" i="99"/>
  <c r="DD46" i="99"/>
  <c r="DE46" i="99" s="1"/>
  <c r="DC47" i="99"/>
  <c r="EH40" i="99"/>
  <c r="ES40" i="99"/>
  <c r="EE40" i="99"/>
  <c r="EF40" i="99" s="1"/>
  <c r="EG40" i="99" s="1"/>
  <c r="CX42" i="99"/>
  <c r="BE34" i="99"/>
  <c r="BC35" i="99"/>
  <c r="BZ41" i="99"/>
  <c r="CD41" i="99" s="1"/>
  <c r="BX42" i="99"/>
  <c r="AE35" i="99"/>
  <c r="AF35" i="99" s="1"/>
  <c r="AG34" i="99"/>
  <c r="CC55" i="99"/>
  <c r="CA56" i="99"/>
  <c r="CE40" i="99"/>
  <c r="CF40" i="99" s="1"/>
  <c r="FS33" i="99"/>
  <c r="FR33" i="99"/>
  <c r="FQ34" i="99"/>
  <c r="ED41" i="99"/>
  <c r="EB42" i="99"/>
  <c r="CU43" i="99"/>
  <c r="CV43" i="99" s="1"/>
  <c r="CT44" i="99"/>
  <c r="AO34" i="99"/>
  <c r="AM35" i="99"/>
  <c r="AN35" i="99" s="1"/>
  <c r="CT58" i="5"/>
  <c r="CV57" i="5"/>
  <c r="BQ36" i="5"/>
  <c r="BO37" i="5"/>
  <c r="BL44" i="5"/>
  <c r="BJ45" i="5"/>
  <c r="DM45" i="5"/>
  <c r="DN44" i="5"/>
  <c r="DO44" i="5" s="1"/>
  <c r="DQ44" i="5" s="1"/>
  <c r="CX41" i="5"/>
  <c r="CY41" i="5" s="1"/>
  <c r="CQ43" i="5"/>
  <c r="CS42" i="5"/>
  <c r="CW42" i="5" s="1"/>
  <c r="AO34" i="5"/>
  <c r="AM35" i="5"/>
  <c r="EW40" i="5"/>
  <c r="EU41" i="5"/>
  <c r="CU61" i="5"/>
  <c r="CR47" i="5"/>
  <c r="FA39" i="5"/>
  <c r="FE39" i="5"/>
  <c r="EX39" i="5"/>
  <c r="EY39" i="5" s="1"/>
  <c r="EZ39" i="5" s="1"/>
  <c r="EC56" i="5"/>
  <c r="EE55" i="5"/>
  <c r="AW35" i="5"/>
  <c r="AU36" i="5"/>
  <c r="AV36" i="5" s="1"/>
  <c r="FD54" i="5"/>
  <c r="EI54" i="5"/>
  <c r="EF54" i="5"/>
  <c r="EG54" i="5" s="1"/>
  <c r="EH54" i="5" s="1"/>
  <c r="DV54" i="5"/>
  <c r="DT55" i="5"/>
  <c r="BI36" i="5"/>
  <c r="BG37" i="5"/>
  <c r="AK34" i="5"/>
  <c r="AI35" i="5"/>
  <c r="AJ35" i="5" s="1"/>
  <c r="DE45" i="5"/>
  <c r="DF45" i="5" s="1"/>
  <c r="DD46" i="5"/>
  <c r="BB45" i="5"/>
  <c r="BD44" i="5"/>
  <c r="DW53" i="5"/>
  <c r="DX53" i="5" s="1"/>
  <c r="DY53" i="5" s="1"/>
  <c r="FB53" i="5"/>
  <c r="DZ53" i="5"/>
  <c r="DH44" i="5"/>
  <c r="CO41" i="5"/>
  <c r="CP41" i="5" s="1"/>
  <c r="CJ42" i="5"/>
  <c r="CN42" i="5" s="1"/>
  <c r="CH43" i="5"/>
  <c r="CM57" i="5"/>
  <c r="CK58" i="5"/>
  <c r="EN41" i="5"/>
  <c r="EL42" i="5"/>
  <c r="FC40" i="5"/>
  <c r="ER40" i="5"/>
  <c r="EO40" i="5"/>
  <c r="EP40" i="5" s="1"/>
  <c r="EQ40" i="5" s="1"/>
  <c r="AK35" i="99" l="1"/>
  <c r="AI36" i="99"/>
  <c r="AJ36" i="99" s="1"/>
  <c r="AN35" i="5"/>
  <c r="CX42" i="5"/>
  <c r="CY42" i="5" s="1"/>
  <c r="AS34" i="5"/>
  <c r="AQ35" i="5"/>
  <c r="AR35" i="5" s="1"/>
  <c r="BK38" i="99"/>
  <c r="BM37" i="99"/>
  <c r="CI44" i="99"/>
  <c r="CM44" i="99" s="1"/>
  <c r="CN44" i="99" s="1"/>
  <c r="CO44" i="99" s="1"/>
  <c r="CG45" i="99"/>
  <c r="AZ46" i="99"/>
  <c r="AX47" i="99"/>
  <c r="DJ56" i="99"/>
  <c r="DL55" i="99"/>
  <c r="DP54" i="99"/>
  <c r="DM54" i="99"/>
  <c r="DN54" i="99" s="1"/>
  <c r="DO54" i="99" s="1"/>
  <c r="ER54" i="99"/>
  <c r="EM42" i="99"/>
  <c r="EK43" i="99"/>
  <c r="EN41" i="99"/>
  <c r="EO41" i="99" s="1"/>
  <c r="EP41" i="99" s="1"/>
  <c r="EQ41" i="99"/>
  <c r="EU41" i="99"/>
  <c r="CJ62" i="99"/>
  <c r="CL61" i="99"/>
  <c r="DS54" i="99"/>
  <c r="DU53" i="99"/>
  <c r="BH47" i="99"/>
  <c r="BF48" i="99"/>
  <c r="DV52" i="99"/>
  <c r="DW52" i="99" s="1"/>
  <c r="DX52" i="99" s="1"/>
  <c r="DY52" i="99"/>
  <c r="ET52" i="99"/>
  <c r="DC48" i="99"/>
  <c r="DD47" i="99"/>
  <c r="DE47" i="99" s="1"/>
  <c r="DG46" i="99"/>
  <c r="FU36" i="99"/>
  <c r="FV35" i="99"/>
  <c r="FW35" i="99"/>
  <c r="AQ39" i="99"/>
  <c r="AR39" i="99" s="1"/>
  <c r="AS38" i="99"/>
  <c r="EE41" i="99"/>
  <c r="EF41" i="99" s="1"/>
  <c r="EG41" i="99" s="1"/>
  <c r="ES41" i="99"/>
  <c r="EH41" i="99"/>
  <c r="CA57" i="99"/>
  <c r="CC56" i="99"/>
  <c r="CU44" i="99"/>
  <c r="CV44" i="99" s="1"/>
  <c r="CT45" i="99"/>
  <c r="FR34" i="99"/>
  <c r="FS34" i="99"/>
  <c r="FQ35" i="99"/>
  <c r="CX43" i="99"/>
  <c r="AG35" i="99"/>
  <c r="AE36" i="99"/>
  <c r="AF36" i="99" s="1"/>
  <c r="BZ42" i="99"/>
  <c r="CD42" i="99" s="1"/>
  <c r="BX43" i="99"/>
  <c r="BE35" i="99"/>
  <c r="BC36" i="99"/>
  <c r="AM36" i="99"/>
  <c r="AN36" i="99" s="1"/>
  <c r="AO35" i="99"/>
  <c r="ED42" i="99"/>
  <c r="EB43" i="99"/>
  <c r="CE41" i="99"/>
  <c r="CF41" i="99" s="1"/>
  <c r="BO38" i="5"/>
  <c r="BQ37" i="5"/>
  <c r="DM46" i="5"/>
  <c r="DN45" i="5"/>
  <c r="DO45" i="5" s="1"/>
  <c r="CQ44" i="5"/>
  <c r="CS43" i="5"/>
  <c r="CW43" i="5" s="1"/>
  <c r="CX43" i="5" s="1"/>
  <c r="CY43" i="5" s="1"/>
  <c r="BJ46" i="5"/>
  <c r="BL45" i="5"/>
  <c r="CT59" i="5"/>
  <c r="CV58" i="5"/>
  <c r="AW36" i="5"/>
  <c r="AU37" i="5"/>
  <c r="AV37" i="5" s="1"/>
  <c r="CR48" i="5"/>
  <c r="EW41" i="5"/>
  <c r="EU42" i="5"/>
  <c r="FE40" i="5"/>
  <c r="FA40" i="5"/>
  <c r="EX40" i="5"/>
  <c r="EY40" i="5" s="1"/>
  <c r="EZ40" i="5" s="1"/>
  <c r="EI55" i="5"/>
  <c r="FD55" i="5"/>
  <c r="EF55" i="5"/>
  <c r="EG55" i="5" s="1"/>
  <c r="EH55" i="5" s="1"/>
  <c r="CU62" i="5"/>
  <c r="EE56" i="5"/>
  <c r="EC57" i="5"/>
  <c r="AO35" i="5"/>
  <c r="AM36" i="5"/>
  <c r="CM58" i="5"/>
  <c r="CK59" i="5"/>
  <c r="CO42" i="5"/>
  <c r="CP42" i="5" s="1"/>
  <c r="DE46" i="5"/>
  <c r="DF46" i="5" s="1"/>
  <c r="DD47" i="5"/>
  <c r="BI37" i="5"/>
  <c r="BG38" i="5"/>
  <c r="DH45" i="5"/>
  <c r="EL43" i="5"/>
  <c r="EN42" i="5"/>
  <c r="AK35" i="5"/>
  <c r="AI36" i="5"/>
  <c r="AJ36" i="5" s="1"/>
  <c r="DT56" i="5"/>
  <c r="DV55" i="5"/>
  <c r="ER41" i="5"/>
  <c r="EO41" i="5"/>
  <c r="EP41" i="5" s="1"/>
  <c r="EQ41" i="5" s="1"/>
  <c r="FC41" i="5"/>
  <c r="CH44" i="5"/>
  <c r="CJ43" i="5"/>
  <c r="CN43" i="5" s="1"/>
  <c r="BB46" i="5"/>
  <c r="BD45" i="5"/>
  <c r="FB54" i="5"/>
  <c r="DZ54" i="5"/>
  <c r="DW54" i="5"/>
  <c r="DX54" i="5" s="1"/>
  <c r="DY54" i="5" s="1"/>
  <c r="AI37" i="99" l="1"/>
  <c r="AJ37" i="99" s="1"/>
  <c r="AK36" i="99"/>
  <c r="AN36" i="5"/>
  <c r="AQ36" i="5"/>
  <c r="AR36" i="5" s="1"/>
  <c r="AS35" i="5"/>
  <c r="ER55" i="99"/>
  <c r="DM55" i="99"/>
  <c r="DN55" i="99" s="1"/>
  <c r="DO55" i="99" s="1"/>
  <c r="DP55" i="99"/>
  <c r="CI45" i="99"/>
  <c r="CM45" i="99" s="1"/>
  <c r="CN45" i="99" s="1"/>
  <c r="CO45" i="99" s="1"/>
  <c r="CG46" i="99"/>
  <c r="DJ57" i="99"/>
  <c r="DL56" i="99"/>
  <c r="AZ47" i="99"/>
  <c r="AX48" i="99"/>
  <c r="BM38" i="99"/>
  <c r="BK39" i="99"/>
  <c r="CL62" i="99"/>
  <c r="CJ63" i="99"/>
  <c r="EK44" i="99"/>
  <c r="EM43" i="99"/>
  <c r="EN42" i="99"/>
  <c r="EO42" i="99" s="1"/>
  <c r="EP42" i="99" s="1"/>
  <c r="EU42" i="99"/>
  <c r="EQ42" i="99"/>
  <c r="BH48" i="99"/>
  <c r="BF49" i="99"/>
  <c r="DY53" i="99"/>
  <c r="ET53" i="99"/>
  <c r="DV53" i="99"/>
  <c r="DW53" i="99" s="1"/>
  <c r="DX53" i="99" s="1"/>
  <c r="DU54" i="99"/>
  <c r="DS55" i="99"/>
  <c r="DG47" i="99"/>
  <c r="FU37" i="99"/>
  <c r="FW36" i="99"/>
  <c r="FV36" i="99"/>
  <c r="DC49" i="99"/>
  <c r="DD48" i="99"/>
  <c r="DE48" i="99" s="1"/>
  <c r="AQ40" i="99"/>
  <c r="AR40" i="99" s="1"/>
  <c r="AS39" i="99"/>
  <c r="ED43" i="99"/>
  <c r="EB44" i="99"/>
  <c r="CC57" i="99"/>
  <c r="CA58" i="99"/>
  <c r="EE42" i="99"/>
  <c r="EF42" i="99" s="1"/>
  <c r="EG42" i="99" s="1"/>
  <c r="EH42" i="99"/>
  <c r="ES42" i="99"/>
  <c r="BZ43" i="99"/>
  <c r="CD43" i="99" s="1"/>
  <c r="BX44" i="99"/>
  <c r="CU45" i="99"/>
  <c r="CV45" i="99" s="1"/>
  <c r="CT46" i="99"/>
  <c r="CE42" i="99"/>
  <c r="CF42" i="99" s="1"/>
  <c r="FR35" i="99"/>
  <c r="FS35" i="99"/>
  <c r="FQ36" i="99"/>
  <c r="CX44" i="99"/>
  <c r="AO36" i="99"/>
  <c r="AM37" i="99"/>
  <c r="AN37" i="99" s="1"/>
  <c r="BE36" i="99"/>
  <c r="BC37" i="99"/>
  <c r="AE37" i="99"/>
  <c r="AF37" i="99" s="1"/>
  <c r="AG36" i="99"/>
  <c r="DQ45" i="5"/>
  <c r="BJ47" i="5"/>
  <c r="BL46" i="5"/>
  <c r="DM47" i="5"/>
  <c r="DN46" i="5"/>
  <c r="DO46" i="5" s="1"/>
  <c r="CT60" i="5"/>
  <c r="CV59" i="5"/>
  <c r="CQ45" i="5"/>
  <c r="CS44" i="5"/>
  <c r="CW44" i="5" s="1"/>
  <c r="CX44" i="5" s="1"/>
  <c r="CY44" i="5" s="1"/>
  <c r="BO39" i="5"/>
  <c r="BQ38" i="5"/>
  <c r="EW42" i="5"/>
  <c r="EU43" i="5"/>
  <c r="AO36" i="5"/>
  <c r="AM37" i="5"/>
  <c r="FA41" i="5"/>
  <c r="FE41" i="5"/>
  <c r="EX41" i="5"/>
  <c r="EY41" i="5" s="1"/>
  <c r="EZ41" i="5" s="1"/>
  <c r="EC58" i="5"/>
  <c r="EE57" i="5"/>
  <c r="CU63" i="5"/>
  <c r="AW37" i="5"/>
  <c r="AU38" i="5"/>
  <c r="AV38" i="5" s="1"/>
  <c r="FD56" i="5"/>
  <c r="EI56" i="5"/>
  <c r="EF56" i="5"/>
  <c r="EG56" i="5" s="1"/>
  <c r="EH56" i="5" s="1"/>
  <c r="CR49" i="5"/>
  <c r="BB47" i="5"/>
  <c r="BD46" i="5"/>
  <c r="CO43" i="5"/>
  <c r="CP43" i="5" s="1"/>
  <c r="BI38" i="5"/>
  <c r="BG39" i="5"/>
  <c r="CJ44" i="5"/>
  <c r="CN44" i="5" s="1"/>
  <c r="CH45" i="5"/>
  <c r="FB55" i="5"/>
  <c r="DZ55" i="5"/>
  <c r="DW55" i="5"/>
  <c r="DX55" i="5" s="1"/>
  <c r="DY55" i="5" s="1"/>
  <c r="FC42" i="5"/>
  <c r="EO42" i="5"/>
  <c r="EP42" i="5" s="1"/>
  <c r="EQ42" i="5" s="1"/>
  <c r="ER42" i="5"/>
  <c r="DV56" i="5"/>
  <c r="DT57" i="5"/>
  <c r="EN43" i="5"/>
  <c r="EL44" i="5"/>
  <c r="DE47" i="5"/>
  <c r="DF47" i="5" s="1"/>
  <c r="DD48" i="5"/>
  <c r="CM59" i="5"/>
  <c r="CK60" i="5"/>
  <c r="AI37" i="5"/>
  <c r="AJ37" i="5" s="1"/>
  <c r="AK36" i="5"/>
  <c r="DH46" i="5"/>
  <c r="AK37" i="99" l="1"/>
  <c r="AI38" i="99"/>
  <c r="AJ38" i="99" s="1"/>
  <c r="AN37" i="5"/>
  <c r="AS36" i="5"/>
  <c r="AQ37" i="5"/>
  <c r="AR37" i="5" s="1"/>
  <c r="BM39" i="99"/>
  <c r="BK40" i="99"/>
  <c r="DM56" i="99"/>
  <c r="DN56" i="99" s="1"/>
  <c r="DO56" i="99" s="1"/>
  <c r="DP56" i="99"/>
  <c r="ER56" i="99"/>
  <c r="DJ58" i="99"/>
  <c r="DL57" i="99"/>
  <c r="AX49" i="99"/>
  <c r="AZ48" i="99"/>
  <c r="CG47" i="99"/>
  <c r="CI46" i="99"/>
  <c r="CM46" i="99" s="1"/>
  <c r="CN46" i="99" s="1"/>
  <c r="CO46" i="99" s="1"/>
  <c r="CL63" i="99"/>
  <c r="CJ64" i="99"/>
  <c r="EN43" i="99"/>
  <c r="EO43" i="99" s="1"/>
  <c r="EP43" i="99" s="1"/>
  <c r="EQ43" i="99"/>
  <c r="EU43" i="99"/>
  <c r="EM44" i="99"/>
  <c r="EK45" i="99"/>
  <c r="DU55" i="99"/>
  <c r="DS56" i="99"/>
  <c r="DV54" i="99"/>
  <c r="DW54" i="99" s="1"/>
  <c r="DX54" i="99" s="1"/>
  <c r="ET54" i="99"/>
  <c r="DY54" i="99"/>
  <c r="BF50" i="99"/>
  <c r="BH49" i="99"/>
  <c r="AS40" i="99"/>
  <c r="AQ41" i="99"/>
  <c r="AR41" i="99" s="1"/>
  <c r="DG48" i="99"/>
  <c r="DC50" i="99"/>
  <c r="DD49" i="99"/>
  <c r="DE49" i="99" s="1"/>
  <c r="DG49" i="99" s="1"/>
  <c r="FV37" i="99"/>
  <c r="FU38" i="99"/>
  <c r="FW37" i="99"/>
  <c r="AO37" i="99"/>
  <c r="AM38" i="99"/>
  <c r="AN38" i="99" s="1"/>
  <c r="FS36" i="99"/>
  <c r="FR36" i="99"/>
  <c r="FQ37" i="99"/>
  <c r="CT47" i="99"/>
  <c r="CU46" i="99"/>
  <c r="CV46" i="99" s="1"/>
  <c r="BX45" i="99"/>
  <c r="BZ44" i="99"/>
  <c r="CD44" i="99" s="1"/>
  <c r="AG37" i="99"/>
  <c r="AE38" i="99"/>
  <c r="AF38" i="99" s="1"/>
  <c r="CX45" i="99"/>
  <c r="CE43" i="99"/>
  <c r="CF43" i="99" s="1"/>
  <c r="CC58" i="99"/>
  <c r="CA59" i="99"/>
  <c r="ED44" i="99"/>
  <c r="EB45" i="99"/>
  <c r="BE37" i="99"/>
  <c r="BC38" i="99"/>
  <c r="EH43" i="99"/>
  <c r="EE43" i="99"/>
  <c r="EF43" i="99" s="1"/>
  <c r="EG43" i="99" s="1"/>
  <c r="ES43" i="99"/>
  <c r="CQ46" i="5"/>
  <c r="CS45" i="5"/>
  <c r="CW45" i="5" s="1"/>
  <c r="CX45" i="5" s="1"/>
  <c r="CY45" i="5" s="1"/>
  <c r="BJ48" i="5"/>
  <c r="BL47" i="5"/>
  <c r="BQ39" i="5"/>
  <c r="BO40" i="5"/>
  <c r="CT61" i="5"/>
  <c r="CV60" i="5"/>
  <c r="DM48" i="5"/>
  <c r="DN47" i="5"/>
  <c r="DO47" i="5" s="1"/>
  <c r="DQ47" i="5" s="1"/>
  <c r="DQ46" i="5"/>
  <c r="AM38" i="5"/>
  <c r="AO37" i="5"/>
  <c r="EW43" i="5"/>
  <c r="EU44" i="5"/>
  <c r="AW38" i="5"/>
  <c r="AU39" i="5"/>
  <c r="AV39" i="5" s="1"/>
  <c r="EF57" i="5"/>
  <c r="EG57" i="5" s="1"/>
  <c r="EH57" i="5" s="1"/>
  <c r="EI57" i="5"/>
  <c r="FD57" i="5"/>
  <c r="FE42" i="5"/>
  <c r="FA42" i="5"/>
  <c r="EX42" i="5"/>
  <c r="EY42" i="5" s="1"/>
  <c r="EZ42" i="5" s="1"/>
  <c r="CR50" i="5"/>
  <c r="CU64" i="5"/>
  <c r="EE58" i="5"/>
  <c r="EC59" i="5"/>
  <c r="ER43" i="5"/>
  <c r="FC43" i="5"/>
  <c r="EO43" i="5"/>
  <c r="EP43" i="5" s="1"/>
  <c r="EQ43" i="5" s="1"/>
  <c r="CJ45" i="5"/>
  <c r="CN45" i="5" s="1"/>
  <c r="CH46" i="5"/>
  <c r="DE48" i="5"/>
  <c r="DF48" i="5" s="1"/>
  <c r="DD49" i="5"/>
  <c r="DV57" i="5"/>
  <c r="DT58" i="5"/>
  <c r="CO44" i="5"/>
  <c r="CP44" i="5" s="1"/>
  <c r="AI38" i="5"/>
  <c r="AJ38" i="5" s="1"/>
  <c r="AK37" i="5"/>
  <c r="DH47" i="5"/>
  <c r="FB56" i="5"/>
  <c r="DZ56" i="5"/>
  <c r="DW56" i="5"/>
  <c r="DX56" i="5" s="1"/>
  <c r="DY56" i="5" s="1"/>
  <c r="BG40" i="5"/>
  <c r="BI39" i="5"/>
  <c r="CK61" i="5"/>
  <c r="CM60" i="5"/>
  <c r="EN44" i="5"/>
  <c r="EL45" i="5"/>
  <c r="BB48" i="5"/>
  <c r="BD47" i="5"/>
  <c r="AK38" i="99" l="1"/>
  <c r="AI39" i="99"/>
  <c r="AJ39" i="99" s="1"/>
  <c r="AN38" i="5"/>
  <c r="AQ38" i="5"/>
  <c r="AR38" i="5" s="1"/>
  <c r="AS37" i="5"/>
  <c r="AZ49" i="99"/>
  <c r="AX50" i="99"/>
  <c r="ER57" i="99"/>
  <c r="DP57" i="99"/>
  <c r="DM57" i="99"/>
  <c r="DN57" i="99" s="1"/>
  <c r="DO57" i="99" s="1"/>
  <c r="CG48" i="99"/>
  <c r="CI47" i="99"/>
  <c r="CM47" i="99" s="1"/>
  <c r="CN47" i="99" s="1"/>
  <c r="CO47" i="99" s="1"/>
  <c r="DL58" i="99"/>
  <c r="DJ59" i="99"/>
  <c r="BK41" i="99"/>
  <c r="BM40" i="99"/>
  <c r="EQ44" i="99"/>
  <c r="EN44" i="99"/>
  <c r="EO44" i="99" s="1"/>
  <c r="EP44" i="99" s="1"/>
  <c r="EU44" i="99"/>
  <c r="CL64" i="99"/>
  <c r="CJ65" i="99"/>
  <c r="EM45" i="99"/>
  <c r="EK46" i="99"/>
  <c r="BH50" i="99"/>
  <c r="BF51" i="99"/>
  <c r="DU56" i="99"/>
  <c r="DS57" i="99"/>
  <c r="DV55" i="99"/>
  <c r="DW55" i="99" s="1"/>
  <c r="DX55" i="99" s="1"/>
  <c r="DY55" i="99"/>
  <c r="ET55" i="99"/>
  <c r="FU39" i="99"/>
  <c r="FW38" i="99"/>
  <c r="FV38" i="99"/>
  <c r="DD50" i="99"/>
  <c r="DE50" i="99" s="1"/>
  <c r="DC51" i="99"/>
  <c r="AS41" i="99"/>
  <c r="AQ42" i="99"/>
  <c r="AR42" i="99" s="1"/>
  <c r="CT48" i="99"/>
  <c r="CU47" i="99"/>
  <c r="CV47" i="99" s="1"/>
  <c r="AM39" i="99"/>
  <c r="AN39" i="99" s="1"/>
  <c r="AO38" i="99"/>
  <c r="ED45" i="99"/>
  <c r="EB46" i="99"/>
  <c r="AG38" i="99"/>
  <c r="AE39" i="99"/>
  <c r="AF39" i="99" s="1"/>
  <c r="CE44" i="99"/>
  <c r="CF44" i="99" s="1"/>
  <c r="EH44" i="99"/>
  <c r="ES44" i="99"/>
  <c r="EE44" i="99"/>
  <c r="EF44" i="99" s="1"/>
  <c r="EG44" i="99" s="1"/>
  <c r="BX46" i="99"/>
  <c r="BZ45" i="99"/>
  <c r="CD45" i="99" s="1"/>
  <c r="FR37" i="99"/>
  <c r="FS37" i="99"/>
  <c r="FQ38" i="99"/>
  <c r="BC39" i="99"/>
  <c r="BE38" i="99"/>
  <c r="CC59" i="99"/>
  <c r="CA60" i="99"/>
  <c r="CX46" i="99"/>
  <c r="CT62" i="5"/>
  <c r="CV61" i="5"/>
  <c r="BL48" i="5"/>
  <c r="BJ49" i="5"/>
  <c r="DN48" i="5"/>
  <c r="DO48" i="5" s="1"/>
  <c r="DQ48" i="5" s="1"/>
  <c r="DM49" i="5"/>
  <c r="BQ40" i="5"/>
  <c r="BO41" i="5"/>
  <c r="CQ47" i="5"/>
  <c r="CS46" i="5"/>
  <c r="CW46" i="5" s="1"/>
  <c r="CX46" i="5" s="1"/>
  <c r="CY46" i="5" s="1"/>
  <c r="AU40" i="5"/>
  <c r="AV40" i="5" s="1"/>
  <c r="AW39" i="5"/>
  <c r="EW44" i="5"/>
  <c r="EU45" i="5"/>
  <c r="CU65" i="5"/>
  <c r="FA43" i="5"/>
  <c r="FE43" i="5"/>
  <c r="EX43" i="5"/>
  <c r="EY43" i="5" s="1"/>
  <c r="EZ43" i="5" s="1"/>
  <c r="EE59" i="5"/>
  <c r="EC60" i="5"/>
  <c r="EI58" i="5"/>
  <c r="FD58" i="5"/>
  <c r="EF58" i="5"/>
  <c r="EG58" i="5" s="1"/>
  <c r="EH58" i="5" s="1"/>
  <c r="CR51" i="5"/>
  <c r="AM39" i="5"/>
  <c r="AO38" i="5"/>
  <c r="CM61" i="5"/>
  <c r="CK62" i="5"/>
  <c r="DH48" i="5"/>
  <c r="EN45" i="5"/>
  <c r="EL46" i="5"/>
  <c r="FC44" i="5"/>
  <c r="EO44" i="5"/>
  <c r="EP44" i="5" s="1"/>
  <c r="EQ44" i="5" s="1"/>
  <c r="ER44" i="5"/>
  <c r="BI40" i="5"/>
  <c r="BG41" i="5"/>
  <c r="DV58" i="5"/>
  <c r="DT59" i="5"/>
  <c r="CJ46" i="5"/>
  <c r="CN46" i="5" s="1"/>
  <c r="CH47" i="5"/>
  <c r="FB57" i="5"/>
  <c r="DW57" i="5"/>
  <c r="DX57" i="5" s="1"/>
  <c r="DY57" i="5" s="1"/>
  <c r="DZ57" i="5"/>
  <c r="CO45" i="5"/>
  <c r="CP45" i="5" s="1"/>
  <c r="BB49" i="5"/>
  <c r="BD48" i="5"/>
  <c r="AK38" i="5"/>
  <c r="AI39" i="5"/>
  <c r="AJ39" i="5" s="1"/>
  <c r="DE49" i="5"/>
  <c r="DF49" i="5" s="1"/>
  <c r="DD50" i="5"/>
  <c r="AI40" i="99" l="1"/>
  <c r="AJ40" i="99" s="1"/>
  <c r="AK39" i="99"/>
  <c r="AN39" i="5"/>
  <c r="AQ39" i="5"/>
  <c r="AR39" i="5" s="1"/>
  <c r="AS38" i="5"/>
  <c r="ER58" i="99"/>
  <c r="DM58" i="99"/>
  <c r="DN58" i="99" s="1"/>
  <c r="DO58" i="99" s="1"/>
  <c r="DP58" i="99"/>
  <c r="BM41" i="99"/>
  <c r="BK42" i="99"/>
  <c r="CI48" i="99"/>
  <c r="CM48" i="99" s="1"/>
  <c r="CN48" i="99" s="1"/>
  <c r="CO48" i="99" s="1"/>
  <c r="CG49" i="99"/>
  <c r="AZ50" i="99"/>
  <c r="AX51" i="99"/>
  <c r="DL59" i="99"/>
  <c r="DJ60" i="99"/>
  <c r="EQ45" i="99"/>
  <c r="EU45" i="99"/>
  <c r="EN45" i="99"/>
  <c r="EO45" i="99" s="1"/>
  <c r="EP45" i="99" s="1"/>
  <c r="CL65" i="99"/>
  <c r="CJ66" i="99"/>
  <c r="EK47" i="99"/>
  <c r="EM46" i="99"/>
  <c r="DU57" i="99"/>
  <c r="DS58" i="99"/>
  <c r="BF52" i="99"/>
  <c r="BH51" i="99"/>
  <c r="ET56" i="99"/>
  <c r="DV56" i="99"/>
  <c r="DW56" i="99" s="1"/>
  <c r="DX56" i="99" s="1"/>
  <c r="DY56" i="99"/>
  <c r="AQ43" i="99"/>
  <c r="AR43" i="99" s="1"/>
  <c r="AS42" i="99"/>
  <c r="DG50" i="99"/>
  <c r="DD51" i="99"/>
  <c r="DE51" i="99" s="1"/>
  <c r="DC52" i="99"/>
  <c r="FU40" i="99"/>
  <c r="FW39" i="99"/>
  <c r="FV39" i="99"/>
  <c r="FQ39" i="99"/>
  <c r="FR38" i="99"/>
  <c r="FS38" i="99"/>
  <c r="AG39" i="99"/>
  <c r="AE40" i="99"/>
  <c r="AF40" i="99" s="1"/>
  <c r="AM40" i="99"/>
  <c r="AN40" i="99" s="1"/>
  <c r="AO39" i="99"/>
  <c r="BE39" i="99"/>
  <c r="BC40" i="99"/>
  <c r="CE45" i="99"/>
  <c r="CF45" i="99" s="1"/>
  <c r="CX47" i="99"/>
  <c r="CC60" i="99"/>
  <c r="CA61" i="99"/>
  <c r="BX47" i="99"/>
  <c r="BZ46" i="99"/>
  <c r="CD46" i="99" s="1"/>
  <c r="ED46" i="99"/>
  <c r="EB47" i="99"/>
  <c r="CT49" i="99"/>
  <c r="CU48" i="99"/>
  <c r="CV48" i="99" s="1"/>
  <c r="EH45" i="99"/>
  <c r="EE45" i="99"/>
  <c r="EF45" i="99" s="1"/>
  <c r="EG45" i="99" s="1"/>
  <c r="ES45" i="99"/>
  <c r="BO42" i="5"/>
  <c r="BQ41" i="5"/>
  <c r="BJ50" i="5"/>
  <c r="BL49" i="5"/>
  <c r="DN49" i="5"/>
  <c r="DO49" i="5" s="1"/>
  <c r="DM50" i="5"/>
  <c r="CQ48" i="5"/>
  <c r="CS47" i="5"/>
  <c r="CW47" i="5" s="1"/>
  <c r="DQ49" i="5"/>
  <c r="CT63" i="5"/>
  <c r="CV62" i="5"/>
  <c r="CR52" i="5"/>
  <c r="EE60" i="5"/>
  <c r="EC61" i="5"/>
  <c r="AU41" i="5"/>
  <c r="AV41" i="5" s="1"/>
  <c r="AW40" i="5"/>
  <c r="AO39" i="5"/>
  <c r="AM40" i="5"/>
  <c r="FD59" i="5"/>
  <c r="EI59" i="5"/>
  <c r="EF59" i="5"/>
  <c r="EG59" i="5" s="1"/>
  <c r="EH59" i="5" s="1"/>
  <c r="EW45" i="5"/>
  <c r="EU46" i="5"/>
  <c r="CU66" i="5"/>
  <c r="FE44" i="5"/>
  <c r="FA44" i="5"/>
  <c r="EX44" i="5"/>
  <c r="EY44" i="5" s="1"/>
  <c r="EZ44" i="5" s="1"/>
  <c r="BD49" i="5"/>
  <c r="BB50" i="5"/>
  <c r="DV59" i="5"/>
  <c r="DT60" i="5"/>
  <c r="ER45" i="5"/>
  <c r="EO45" i="5"/>
  <c r="EP45" i="5" s="1"/>
  <c r="EQ45" i="5" s="1"/>
  <c r="FC45" i="5"/>
  <c r="AK39" i="5"/>
  <c r="AI40" i="5"/>
  <c r="AJ40" i="5" s="1"/>
  <c r="DW58" i="5"/>
  <c r="DX58" i="5" s="1"/>
  <c r="DY58" i="5" s="1"/>
  <c r="FB58" i="5"/>
  <c r="DZ58" i="5"/>
  <c r="DE50" i="5"/>
  <c r="DF50" i="5" s="1"/>
  <c r="DH50" i="5" s="1"/>
  <c r="DD51" i="5"/>
  <c r="CJ47" i="5"/>
  <c r="CN47" i="5" s="1"/>
  <c r="CH48" i="5"/>
  <c r="BI41" i="5"/>
  <c r="BG42" i="5"/>
  <c r="CM62" i="5"/>
  <c r="CK63" i="5"/>
  <c r="DH49" i="5"/>
  <c r="CO46" i="5"/>
  <c r="CP46" i="5" s="1"/>
  <c r="EN46" i="5"/>
  <c r="EL47" i="5"/>
  <c r="AI41" i="99" l="1"/>
  <c r="AJ41" i="99" s="1"/>
  <c r="AK40" i="99"/>
  <c r="AN40" i="5"/>
  <c r="AQ40" i="5"/>
  <c r="AR40" i="5" s="1"/>
  <c r="AS39" i="5"/>
  <c r="DJ61" i="99"/>
  <c r="DL60" i="99"/>
  <c r="CI49" i="99"/>
  <c r="CM49" i="99" s="1"/>
  <c r="CN49" i="99" s="1"/>
  <c r="CO49" i="99" s="1"/>
  <c r="CG50" i="99"/>
  <c r="DM59" i="99"/>
  <c r="DN59" i="99" s="1"/>
  <c r="DO59" i="99" s="1"/>
  <c r="ER59" i="99"/>
  <c r="DP59" i="99"/>
  <c r="AZ51" i="99"/>
  <c r="AX52" i="99"/>
  <c r="BM42" i="99"/>
  <c r="BK43" i="99"/>
  <c r="EQ46" i="99"/>
  <c r="EN46" i="99"/>
  <c r="EO46" i="99" s="1"/>
  <c r="EP46" i="99" s="1"/>
  <c r="EU46" i="99"/>
  <c r="EK48" i="99"/>
  <c r="EM47" i="99"/>
  <c r="CJ67" i="99"/>
  <c r="CL67" i="99" s="1"/>
  <c r="CL66" i="99"/>
  <c r="DS59" i="99"/>
  <c r="DU58" i="99"/>
  <c r="DY57" i="99"/>
  <c r="DV57" i="99"/>
  <c r="DW57" i="99" s="1"/>
  <c r="DX57" i="99" s="1"/>
  <c r="ET57" i="99"/>
  <c r="BH52" i="99"/>
  <c r="BF53" i="99"/>
  <c r="DD52" i="99"/>
  <c r="DE52" i="99" s="1"/>
  <c r="DC53" i="99"/>
  <c r="DF51" i="99"/>
  <c r="DG51" i="99"/>
  <c r="FW40" i="99"/>
  <c r="FU41" i="99"/>
  <c r="FV40" i="99"/>
  <c r="AS43" i="99"/>
  <c r="AQ44" i="99"/>
  <c r="AR44" i="99" s="1"/>
  <c r="CX48" i="99"/>
  <c r="CE46" i="99"/>
  <c r="CF46" i="99" s="1"/>
  <c r="CC61" i="99"/>
  <c r="CA62" i="99"/>
  <c r="AO40" i="99"/>
  <c r="AM41" i="99"/>
  <c r="AN41" i="99" s="1"/>
  <c r="FQ40" i="99"/>
  <c r="FS39" i="99"/>
  <c r="FR39" i="99"/>
  <c r="CU49" i="99"/>
  <c r="CV49" i="99" s="1"/>
  <c r="CX49" i="99" s="1"/>
  <c r="CT50" i="99"/>
  <c r="BZ47" i="99"/>
  <c r="CD47" i="99" s="1"/>
  <c r="BX48" i="99"/>
  <c r="AE41" i="99"/>
  <c r="AF41" i="99" s="1"/>
  <c r="AG40" i="99"/>
  <c r="ED47" i="99"/>
  <c r="EB48" i="99"/>
  <c r="EH46" i="99"/>
  <c r="ES46" i="99"/>
  <c r="EE46" i="99"/>
  <c r="EF46" i="99" s="1"/>
  <c r="EG46" i="99" s="1"/>
  <c r="BC41" i="99"/>
  <c r="BE40" i="99"/>
  <c r="CX47" i="5"/>
  <c r="CY47" i="5" s="1"/>
  <c r="CQ49" i="5"/>
  <c r="CS48" i="5"/>
  <c r="CW48" i="5" s="1"/>
  <c r="BJ51" i="5"/>
  <c r="BL50" i="5"/>
  <c r="CT64" i="5"/>
  <c r="CV63" i="5"/>
  <c r="DN50" i="5"/>
  <c r="DO50" i="5" s="1"/>
  <c r="DM51" i="5"/>
  <c r="BQ42" i="5"/>
  <c r="BO43" i="5"/>
  <c r="EC62" i="5"/>
  <c r="EE61" i="5"/>
  <c r="CU67" i="5"/>
  <c r="EW46" i="5"/>
  <c r="EU47" i="5"/>
  <c r="AW41" i="5"/>
  <c r="AU42" i="5"/>
  <c r="AV42" i="5" s="1"/>
  <c r="FD60" i="5"/>
  <c r="EI60" i="5"/>
  <c r="EF60" i="5"/>
  <c r="EG60" i="5" s="1"/>
  <c r="EH60" i="5" s="1"/>
  <c r="CR53" i="5"/>
  <c r="FE45" i="5"/>
  <c r="FA45" i="5"/>
  <c r="EX45" i="5"/>
  <c r="EY45" i="5" s="1"/>
  <c r="EZ45" i="5" s="1"/>
  <c r="AO40" i="5"/>
  <c r="AM41" i="5"/>
  <c r="EN47" i="5"/>
  <c r="EL48" i="5"/>
  <c r="DW59" i="5"/>
  <c r="DX59" i="5" s="1"/>
  <c r="DY59" i="5" s="1"/>
  <c r="FB59" i="5"/>
  <c r="DZ59" i="5"/>
  <c r="CM63" i="5"/>
  <c r="CK64" i="5"/>
  <c r="CJ48" i="5"/>
  <c r="CN48" i="5" s="1"/>
  <c r="CH49" i="5"/>
  <c r="BB51" i="5"/>
  <c r="BD50" i="5"/>
  <c r="ER46" i="5"/>
  <c r="EO46" i="5"/>
  <c r="EP46" i="5" s="1"/>
  <c r="EQ46" i="5" s="1"/>
  <c r="FC46" i="5"/>
  <c r="CO47" i="5"/>
  <c r="CP47" i="5" s="1"/>
  <c r="AK40" i="5"/>
  <c r="AI41" i="5"/>
  <c r="AJ41" i="5" s="1"/>
  <c r="BI42" i="5"/>
  <c r="BG43" i="5"/>
  <c r="DE51" i="5"/>
  <c r="DF51" i="5" s="1"/>
  <c r="DD52" i="5"/>
  <c r="DV60" i="5"/>
  <c r="DT61" i="5"/>
  <c r="AI42" i="99" l="1"/>
  <c r="AJ42" i="99" s="1"/>
  <c r="AK41" i="99"/>
  <c r="AN41" i="5"/>
  <c r="AS40" i="5"/>
  <c r="AQ41" i="5"/>
  <c r="AR41" i="5" s="1"/>
  <c r="CX48" i="5"/>
  <c r="CY48" i="5" s="1"/>
  <c r="CG51" i="99"/>
  <c r="CI50" i="99"/>
  <c r="CM50" i="99" s="1"/>
  <c r="CN50" i="99" s="1"/>
  <c r="CO50" i="99" s="1"/>
  <c r="BK44" i="99"/>
  <c r="BM43" i="99"/>
  <c r="DP60" i="99"/>
  <c r="DM60" i="99"/>
  <c r="DN60" i="99" s="1"/>
  <c r="DO60" i="99" s="1"/>
  <c r="ER60" i="99"/>
  <c r="AZ52" i="99"/>
  <c r="AX53" i="99"/>
  <c r="DL61" i="99"/>
  <c r="DJ62" i="99"/>
  <c r="EU47" i="99"/>
  <c r="EQ47" i="99"/>
  <c r="EN47" i="99"/>
  <c r="EO47" i="99" s="1"/>
  <c r="EP47" i="99" s="1"/>
  <c r="EM48" i="99"/>
  <c r="EK49" i="99"/>
  <c r="BF54" i="99"/>
  <c r="BH53" i="99"/>
  <c r="ET58" i="99"/>
  <c r="DV58" i="99"/>
  <c r="DW58" i="99" s="1"/>
  <c r="DX58" i="99" s="1"/>
  <c r="DY58" i="99"/>
  <c r="DU59" i="99"/>
  <c r="DS60" i="99"/>
  <c r="AQ45" i="99"/>
  <c r="AR45" i="99" s="1"/>
  <c r="AS44" i="99"/>
  <c r="FU42" i="99"/>
  <c r="FW41" i="99"/>
  <c r="FV41" i="99"/>
  <c r="DD53" i="99"/>
  <c r="DE53" i="99" s="1"/>
  <c r="DC54" i="99"/>
  <c r="DF52" i="99"/>
  <c r="DG52" i="99"/>
  <c r="EH47" i="99"/>
  <c r="ES47" i="99"/>
  <c r="EE47" i="99"/>
  <c r="EF47" i="99" s="1"/>
  <c r="EG47" i="99" s="1"/>
  <c r="AE42" i="99"/>
  <c r="AF42" i="99" s="1"/>
  <c r="AG41" i="99"/>
  <c r="CE47" i="99"/>
  <c r="CF47" i="99" s="1"/>
  <c r="AO41" i="99"/>
  <c r="AM42" i="99"/>
  <c r="AN42" i="99" s="1"/>
  <c r="BE41" i="99"/>
  <c r="BC42" i="99"/>
  <c r="CU50" i="99"/>
  <c r="CV50" i="99" s="1"/>
  <c r="CT51" i="99"/>
  <c r="ED48" i="99"/>
  <c r="EB49" i="99"/>
  <c r="BX49" i="99"/>
  <c r="BZ48" i="99"/>
  <c r="CD48" i="99" s="1"/>
  <c r="FR40" i="99"/>
  <c r="FS40" i="99"/>
  <c r="FQ41" i="99"/>
  <c r="CC62" i="99"/>
  <c r="CA63" i="99"/>
  <c r="BQ43" i="5"/>
  <c r="BO44" i="5"/>
  <c r="CQ50" i="5"/>
  <c r="CS49" i="5"/>
  <c r="CW49" i="5" s="1"/>
  <c r="DQ50" i="5"/>
  <c r="CT65" i="5"/>
  <c r="CV64" i="5"/>
  <c r="DM52" i="5"/>
  <c r="DN51" i="5"/>
  <c r="DO51" i="5" s="1"/>
  <c r="DQ51" i="5" s="1"/>
  <c r="BJ52" i="5"/>
  <c r="BL51" i="5"/>
  <c r="AO41" i="5"/>
  <c r="AM42" i="5"/>
  <c r="EW47" i="5"/>
  <c r="EU48" i="5"/>
  <c r="FE46" i="5"/>
  <c r="FA46" i="5"/>
  <c r="EX46" i="5"/>
  <c r="EY46" i="5" s="1"/>
  <c r="EZ46" i="5" s="1"/>
  <c r="CR54" i="5"/>
  <c r="AU43" i="5"/>
  <c r="AV43" i="5" s="1"/>
  <c r="AW42" i="5"/>
  <c r="EF61" i="5"/>
  <c r="EG61" i="5" s="1"/>
  <c r="EH61" i="5" s="1"/>
  <c r="FD61" i="5"/>
  <c r="EI61" i="5"/>
  <c r="EC63" i="5"/>
  <c r="EE62" i="5"/>
  <c r="AI42" i="5"/>
  <c r="AJ42" i="5" s="1"/>
  <c r="AK41" i="5"/>
  <c r="BD51" i="5"/>
  <c r="BB52" i="5"/>
  <c r="DE52" i="5"/>
  <c r="DF52" i="5" s="1"/>
  <c r="DD53" i="5"/>
  <c r="DG51" i="5"/>
  <c r="DH51" i="5"/>
  <c r="CJ49" i="5"/>
  <c r="CN49" i="5" s="1"/>
  <c r="CH50" i="5"/>
  <c r="DV61" i="5"/>
  <c r="DT62" i="5"/>
  <c r="CO48" i="5"/>
  <c r="CP48" i="5" s="1"/>
  <c r="EN48" i="5"/>
  <c r="EL49" i="5"/>
  <c r="BI43" i="5"/>
  <c r="BG44" i="5"/>
  <c r="FB60" i="5"/>
  <c r="DW60" i="5"/>
  <c r="DX60" i="5" s="1"/>
  <c r="DY60" i="5" s="1"/>
  <c r="DZ60" i="5"/>
  <c r="CM64" i="5"/>
  <c r="CK65" i="5"/>
  <c r="FC47" i="5"/>
  <c r="ER47" i="5"/>
  <c r="EO47" i="5"/>
  <c r="EP47" i="5" s="1"/>
  <c r="EQ47" i="5" s="1"/>
  <c r="AK42" i="99" l="1"/>
  <c r="AI43" i="99"/>
  <c r="AJ43" i="99" s="1"/>
  <c r="AN42" i="5"/>
  <c r="AS41" i="5"/>
  <c r="AQ42" i="5"/>
  <c r="AR42" i="5" s="1"/>
  <c r="DL62" i="99"/>
  <c r="DJ63" i="99"/>
  <c r="BM44" i="99"/>
  <c r="BK45" i="99"/>
  <c r="DM61" i="99"/>
  <c r="DN61" i="99" s="1"/>
  <c r="DO61" i="99" s="1"/>
  <c r="DP61" i="99"/>
  <c r="ER61" i="99"/>
  <c r="AX54" i="99"/>
  <c r="AZ53" i="99"/>
  <c r="CI51" i="99"/>
  <c r="CM51" i="99" s="1"/>
  <c r="CN51" i="99" s="1"/>
  <c r="CO51" i="99" s="1"/>
  <c r="CG52" i="99"/>
  <c r="EQ48" i="99"/>
  <c r="EU48" i="99"/>
  <c r="EN48" i="99"/>
  <c r="EO48" i="99" s="1"/>
  <c r="EP48" i="99" s="1"/>
  <c r="EM49" i="99"/>
  <c r="EK50" i="99"/>
  <c r="BF55" i="99"/>
  <c r="BH54" i="99"/>
  <c r="DU60" i="99"/>
  <c r="DS61" i="99"/>
  <c r="DY59" i="99"/>
  <c r="DV59" i="99"/>
  <c r="DW59" i="99" s="1"/>
  <c r="DX59" i="99" s="1"/>
  <c r="ET59" i="99"/>
  <c r="FU43" i="99"/>
  <c r="FV42" i="99"/>
  <c r="FW42" i="99"/>
  <c r="DC55" i="99"/>
  <c r="DD54" i="99"/>
  <c r="DE54" i="99" s="1"/>
  <c r="DF53" i="99"/>
  <c r="DG53" i="99"/>
  <c r="AS45" i="99"/>
  <c r="AQ46" i="99"/>
  <c r="AR46" i="99" s="1"/>
  <c r="ED49" i="99"/>
  <c r="EB50" i="99"/>
  <c r="CT52" i="99"/>
  <c r="CU51" i="99"/>
  <c r="CV51" i="99" s="1"/>
  <c r="BE42" i="99"/>
  <c r="BC43" i="99"/>
  <c r="AG42" i="99"/>
  <c r="AE43" i="99"/>
  <c r="AF43" i="99" s="1"/>
  <c r="CC63" i="99"/>
  <c r="CA64" i="99"/>
  <c r="EE48" i="99"/>
  <c r="EF48" i="99" s="1"/>
  <c r="EG48" i="99" s="1"/>
  <c r="ES48" i="99"/>
  <c r="EH48" i="99"/>
  <c r="CX50" i="99"/>
  <c r="CE48" i="99"/>
  <c r="CF48" i="99" s="1"/>
  <c r="FR41" i="99"/>
  <c r="FS41" i="99"/>
  <c r="FQ42" i="99"/>
  <c r="BX50" i="99"/>
  <c r="BZ49" i="99"/>
  <c r="CD49" i="99" s="1"/>
  <c r="AO42" i="99"/>
  <c r="AM43" i="99"/>
  <c r="AN43" i="99" s="1"/>
  <c r="CQ51" i="5"/>
  <c r="CS50" i="5"/>
  <c r="CW50" i="5" s="1"/>
  <c r="DP51" i="5"/>
  <c r="BJ53" i="5"/>
  <c r="BL52" i="5"/>
  <c r="CT66" i="5"/>
  <c r="CV65" i="5"/>
  <c r="BO45" i="5"/>
  <c r="BQ44" i="5"/>
  <c r="DN52" i="5"/>
  <c r="DO52" i="5" s="1"/>
  <c r="DM53" i="5"/>
  <c r="CX49" i="5"/>
  <c r="CY49" i="5" s="1"/>
  <c r="EC64" i="5"/>
  <c r="EE63" i="5"/>
  <c r="CR55" i="5"/>
  <c r="FA47" i="5"/>
  <c r="FE47" i="5"/>
  <c r="EX47" i="5"/>
  <c r="EY47" i="5" s="1"/>
  <c r="EZ47" i="5" s="1"/>
  <c r="EF62" i="5"/>
  <c r="EG62" i="5" s="1"/>
  <c r="EH62" i="5" s="1"/>
  <c r="EI62" i="5"/>
  <c r="FD62" i="5"/>
  <c r="AM43" i="5"/>
  <c r="AO42" i="5"/>
  <c r="AU44" i="5"/>
  <c r="AV44" i="5" s="1"/>
  <c r="AW43" i="5"/>
  <c r="EW48" i="5"/>
  <c r="EU49" i="5"/>
  <c r="CM65" i="5"/>
  <c r="CK66" i="5"/>
  <c r="ER48" i="5"/>
  <c r="FC48" i="5"/>
  <c r="EO48" i="5"/>
  <c r="EP48" i="5" s="1"/>
  <c r="EQ48" i="5" s="1"/>
  <c r="CJ50" i="5"/>
  <c r="CN50" i="5" s="1"/>
  <c r="CH51" i="5"/>
  <c r="DE53" i="5"/>
  <c r="DF53" i="5" s="1"/>
  <c r="DD54" i="5"/>
  <c r="BB53" i="5"/>
  <c r="BD52" i="5"/>
  <c r="BI44" i="5"/>
  <c r="BG45" i="5"/>
  <c r="CO49" i="5"/>
  <c r="CP49" i="5" s="1"/>
  <c r="DG52" i="5"/>
  <c r="DH52" i="5"/>
  <c r="DV62" i="5"/>
  <c r="DT63" i="5"/>
  <c r="EL50" i="5"/>
  <c r="EN49" i="5"/>
  <c r="FB61" i="5"/>
  <c r="DW61" i="5"/>
  <c r="DX61" i="5" s="1"/>
  <c r="DY61" i="5" s="1"/>
  <c r="DZ61" i="5"/>
  <c r="AK42" i="5"/>
  <c r="AI43" i="5"/>
  <c r="AJ43" i="5" s="1"/>
  <c r="AI44" i="99" l="1"/>
  <c r="AJ44" i="99" s="1"/>
  <c r="AK43" i="99"/>
  <c r="AN43" i="5"/>
  <c r="AS42" i="5"/>
  <c r="AQ43" i="5"/>
  <c r="AR43" i="5" s="1"/>
  <c r="AX55" i="99"/>
  <c r="AZ54" i="99"/>
  <c r="BM45" i="99"/>
  <c r="BK46" i="99"/>
  <c r="CI52" i="99"/>
  <c r="CM52" i="99" s="1"/>
  <c r="CN52" i="99" s="1"/>
  <c r="CO52" i="99" s="1"/>
  <c r="CG53" i="99"/>
  <c r="DL63" i="99"/>
  <c r="DJ64" i="99"/>
  <c r="DP62" i="99"/>
  <c r="DM62" i="99"/>
  <c r="DN62" i="99" s="1"/>
  <c r="DO62" i="99" s="1"/>
  <c r="ER62" i="99"/>
  <c r="EK51" i="99"/>
  <c r="EM50" i="99"/>
  <c r="EN49" i="99"/>
  <c r="EO49" i="99" s="1"/>
  <c r="EP49" i="99" s="1"/>
  <c r="EU49" i="99"/>
  <c r="EQ49" i="99"/>
  <c r="BF56" i="99"/>
  <c r="BH55" i="99"/>
  <c r="DS62" i="99"/>
  <c r="DU61" i="99"/>
  <c r="ET60" i="99"/>
  <c r="DY60" i="99"/>
  <c r="DV60" i="99"/>
  <c r="DW60" i="99" s="1"/>
  <c r="DX60" i="99" s="1"/>
  <c r="DF54" i="99"/>
  <c r="DG54" i="99"/>
  <c r="FW43" i="99"/>
  <c r="FV43" i="99"/>
  <c r="FU44" i="99"/>
  <c r="AS46" i="99"/>
  <c r="AQ47" i="99"/>
  <c r="AR47" i="99" s="1"/>
  <c r="DD55" i="99"/>
  <c r="DE55" i="99" s="1"/>
  <c r="DC56" i="99"/>
  <c r="AG43" i="99"/>
  <c r="AE44" i="99"/>
  <c r="AF44" i="99" s="1"/>
  <c r="CW51" i="99"/>
  <c r="CX51" i="99"/>
  <c r="CE49" i="99"/>
  <c r="CF49" i="99" s="1"/>
  <c r="CU52" i="99"/>
  <c r="CV52" i="99" s="1"/>
  <c r="CT53" i="99"/>
  <c r="AM44" i="99"/>
  <c r="AN44" i="99" s="1"/>
  <c r="AO43" i="99"/>
  <c r="BZ50" i="99"/>
  <c r="CD50" i="99" s="1"/>
  <c r="BX51" i="99"/>
  <c r="CA65" i="99"/>
  <c r="CC64" i="99"/>
  <c r="BE43" i="99"/>
  <c r="BC44" i="99"/>
  <c r="ED50" i="99"/>
  <c r="EB51" i="99"/>
  <c r="FQ43" i="99"/>
  <c r="FR42" i="99"/>
  <c r="FS42" i="99"/>
  <c r="EE49" i="99"/>
  <c r="EF49" i="99" s="1"/>
  <c r="EG49" i="99" s="1"/>
  <c r="EH49" i="99"/>
  <c r="ES49" i="99"/>
  <c r="DP52" i="5"/>
  <c r="CT67" i="5"/>
  <c r="CV66" i="5"/>
  <c r="CX50" i="5"/>
  <c r="CY50" i="5" s="1"/>
  <c r="BQ45" i="5"/>
  <c r="BO46" i="5"/>
  <c r="CQ52" i="5"/>
  <c r="CS51" i="5"/>
  <c r="CW51" i="5" s="1"/>
  <c r="DN53" i="5"/>
  <c r="DO53" i="5" s="1"/>
  <c r="DM54" i="5"/>
  <c r="DQ52" i="5"/>
  <c r="BJ54" i="5"/>
  <c r="BL53" i="5"/>
  <c r="AU45" i="5"/>
  <c r="AV45" i="5" s="1"/>
  <c r="AW44" i="5"/>
  <c r="EW49" i="5"/>
  <c r="EU50" i="5"/>
  <c r="EI63" i="5"/>
  <c r="FD63" i="5"/>
  <c r="EF63" i="5"/>
  <c r="EG63" i="5" s="1"/>
  <c r="EH63" i="5" s="1"/>
  <c r="FE48" i="5"/>
  <c r="FA48" i="5"/>
  <c r="EX48" i="5"/>
  <c r="EY48" i="5" s="1"/>
  <c r="EZ48" i="5" s="1"/>
  <c r="AM44" i="5"/>
  <c r="AO43" i="5"/>
  <c r="CR56" i="5"/>
  <c r="EC65" i="5"/>
  <c r="EE64" i="5"/>
  <c r="ER49" i="5"/>
  <c r="FC49" i="5"/>
  <c r="EO49" i="5"/>
  <c r="EP49" i="5" s="1"/>
  <c r="EQ49" i="5" s="1"/>
  <c r="DG53" i="5"/>
  <c r="DH53" i="5"/>
  <c r="AK43" i="5"/>
  <c r="AI44" i="5"/>
  <c r="AJ44" i="5" s="1"/>
  <c r="EL51" i="5"/>
  <c r="EN50" i="5"/>
  <c r="CH52" i="5"/>
  <c r="CJ51" i="5"/>
  <c r="CN51" i="5" s="1"/>
  <c r="DV63" i="5"/>
  <c r="DT64" i="5"/>
  <c r="BD53" i="5"/>
  <c r="BB54" i="5"/>
  <c r="CO50" i="5"/>
  <c r="CP50" i="5" s="1"/>
  <c r="CM66" i="5"/>
  <c r="CK67" i="5"/>
  <c r="DW62" i="5"/>
  <c r="DX62" i="5" s="1"/>
  <c r="DY62" i="5" s="1"/>
  <c r="FB62" i="5"/>
  <c r="DZ62" i="5"/>
  <c r="BI45" i="5"/>
  <c r="BG46" i="5"/>
  <c r="DD55" i="5"/>
  <c r="DE54" i="5"/>
  <c r="DF54" i="5" s="1"/>
  <c r="AK44" i="99" l="1"/>
  <c r="AI45" i="99"/>
  <c r="AJ45" i="99" s="1"/>
  <c r="AN44" i="5"/>
  <c r="AQ44" i="5"/>
  <c r="AR44" i="5" s="1"/>
  <c r="AS43" i="5"/>
  <c r="DL64" i="99"/>
  <c r="DJ65" i="99"/>
  <c r="BM46" i="99"/>
  <c r="BK47" i="99"/>
  <c r="DP63" i="99"/>
  <c r="ER63" i="99"/>
  <c r="DM63" i="99"/>
  <c r="DN63" i="99" s="1"/>
  <c r="DO63" i="99" s="1"/>
  <c r="CG54" i="99"/>
  <c r="CI53" i="99"/>
  <c r="CM53" i="99" s="1"/>
  <c r="CN53" i="99" s="1"/>
  <c r="CO53" i="99" s="1"/>
  <c r="AZ55" i="99"/>
  <c r="AX56" i="99"/>
  <c r="EQ50" i="99"/>
  <c r="EU50" i="99"/>
  <c r="EN50" i="99"/>
  <c r="EO50" i="99" s="1"/>
  <c r="EP50" i="99" s="1"/>
  <c r="EM51" i="99"/>
  <c r="EK52" i="99"/>
  <c r="DU62" i="99"/>
  <c r="DS63" i="99"/>
  <c r="BF57" i="99"/>
  <c r="BH56" i="99"/>
  <c r="DV61" i="99"/>
  <c r="DW61" i="99" s="1"/>
  <c r="DX61" i="99" s="1"/>
  <c r="DY61" i="99"/>
  <c r="ET61" i="99"/>
  <c r="DC57" i="99"/>
  <c r="DD56" i="99"/>
  <c r="DE56" i="99" s="1"/>
  <c r="DF55" i="99"/>
  <c r="DG55" i="99"/>
  <c r="AS47" i="99"/>
  <c r="AQ48" i="99"/>
  <c r="AR48" i="99" s="1"/>
  <c r="FU45" i="99"/>
  <c r="FV44" i="99"/>
  <c r="FW44" i="99"/>
  <c r="CE50" i="99"/>
  <c r="CF50" i="99" s="1"/>
  <c r="CW52" i="99"/>
  <c r="CX52" i="99"/>
  <c r="ED51" i="99"/>
  <c r="EB52" i="99"/>
  <c r="FQ44" i="99"/>
  <c r="FS43" i="99"/>
  <c r="FR43" i="99"/>
  <c r="ES50" i="99"/>
  <c r="EH50" i="99"/>
  <c r="EE50" i="99"/>
  <c r="EF50" i="99" s="1"/>
  <c r="EG50" i="99" s="1"/>
  <c r="CC65" i="99"/>
  <c r="CA66" i="99"/>
  <c r="AO44" i="99"/>
  <c r="AM45" i="99"/>
  <c r="AN45" i="99" s="1"/>
  <c r="BE44" i="99"/>
  <c r="BC45" i="99"/>
  <c r="BX52" i="99"/>
  <c r="BZ51" i="99"/>
  <c r="CD51" i="99" s="1"/>
  <c r="CU53" i="99"/>
  <c r="CV53" i="99" s="1"/>
  <c r="CT54" i="99"/>
  <c r="AG44" i="99"/>
  <c r="AE45" i="99"/>
  <c r="AF45" i="99" s="1"/>
  <c r="DN54" i="5"/>
  <c r="DO54" i="5" s="1"/>
  <c r="DP54" i="5" s="1"/>
  <c r="DM55" i="5"/>
  <c r="BO47" i="5"/>
  <c r="BQ46" i="5"/>
  <c r="CV67" i="5"/>
  <c r="BJ55" i="5"/>
  <c r="BL54" i="5"/>
  <c r="CX51" i="5"/>
  <c r="CY51" i="5" s="1"/>
  <c r="DQ53" i="5"/>
  <c r="CQ53" i="5"/>
  <c r="CS52" i="5"/>
  <c r="CW52" i="5" s="1"/>
  <c r="DP53" i="5"/>
  <c r="EW50" i="5"/>
  <c r="EU51" i="5"/>
  <c r="EE65" i="5"/>
  <c r="EC66" i="5"/>
  <c r="CR57" i="5"/>
  <c r="FA49" i="5"/>
  <c r="FE49" i="5"/>
  <c r="EX49" i="5"/>
  <c r="EY49" i="5" s="1"/>
  <c r="EZ49" i="5" s="1"/>
  <c r="EI64" i="5"/>
  <c r="EF64" i="5"/>
  <c r="EG64" i="5" s="1"/>
  <c r="EH64" i="5" s="1"/>
  <c r="FD64" i="5"/>
  <c r="AO44" i="5"/>
  <c r="AM45" i="5"/>
  <c r="AU46" i="5"/>
  <c r="AV46" i="5" s="1"/>
  <c r="AW45" i="5"/>
  <c r="CM67" i="5"/>
  <c r="BB55" i="5"/>
  <c r="BD54" i="5"/>
  <c r="CJ52" i="5"/>
  <c r="CN52" i="5" s="1"/>
  <c r="CH53" i="5"/>
  <c r="DG54" i="5"/>
  <c r="DH54" i="5"/>
  <c r="DV64" i="5"/>
  <c r="DT65" i="5"/>
  <c r="ER50" i="5"/>
  <c r="EO50" i="5"/>
  <c r="EP50" i="5" s="1"/>
  <c r="EQ50" i="5" s="1"/>
  <c r="FC50" i="5"/>
  <c r="DE55" i="5"/>
  <c r="DF55" i="5" s="1"/>
  <c r="DD56" i="5"/>
  <c r="DW63" i="5"/>
  <c r="DX63" i="5" s="1"/>
  <c r="DY63" i="5" s="1"/>
  <c r="DZ63" i="5"/>
  <c r="FB63" i="5"/>
  <c r="EN51" i="5"/>
  <c r="EL52" i="5"/>
  <c r="BG47" i="5"/>
  <c r="BI46" i="5"/>
  <c r="CO51" i="5"/>
  <c r="CP51" i="5" s="1"/>
  <c r="AI45" i="5"/>
  <c r="AJ45" i="5" s="1"/>
  <c r="AK44" i="5"/>
  <c r="AK45" i="99" l="1"/>
  <c r="AI46" i="99"/>
  <c r="AJ46" i="99" s="1"/>
  <c r="AN45" i="5"/>
  <c r="AS44" i="5"/>
  <c r="AQ45" i="5"/>
  <c r="AR45" i="5" s="1"/>
  <c r="CI54" i="99"/>
  <c r="CM54" i="99" s="1"/>
  <c r="CN54" i="99" s="1"/>
  <c r="CO54" i="99" s="1"/>
  <c r="CG55" i="99"/>
  <c r="BM47" i="99"/>
  <c r="BK48" i="99"/>
  <c r="AZ56" i="99"/>
  <c r="AX57" i="99"/>
  <c r="DL65" i="99"/>
  <c r="DJ66" i="99"/>
  <c r="ER64" i="99"/>
  <c r="DM64" i="99"/>
  <c r="DN64" i="99" s="1"/>
  <c r="DO64" i="99" s="1"/>
  <c r="DP64" i="99"/>
  <c r="EQ51" i="99"/>
  <c r="EN51" i="99"/>
  <c r="EO51" i="99" s="1"/>
  <c r="EP51" i="99" s="1"/>
  <c r="EU51" i="99"/>
  <c r="EK53" i="99"/>
  <c r="EM52" i="99"/>
  <c r="DQ54" i="5"/>
  <c r="CX52" i="5"/>
  <c r="CY52" i="5" s="1"/>
  <c r="DU63" i="99"/>
  <c r="DS64" i="99"/>
  <c r="ET62" i="99"/>
  <c r="DY62" i="99"/>
  <c r="DV62" i="99"/>
  <c r="DW62" i="99" s="1"/>
  <c r="DX62" i="99" s="1"/>
  <c r="BH57" i="99"/>
  <c r="BF58" i="99"/>
  <c r="DD57" i="99"/>
  <c r="DE57" i="99" s="1"/>
  <c r="DC58" i="99"/>
  <c r="FV45" i="99"/>
  <c r="FU46" i="99"/>
  <c r="FW45" i="99"/>
  <c r="AS48" i="99"/>
  <c r="AQ49" i="99"/>
  <c r="AR49" i="99" s="1"/>
  <c r="DF56" i="99"/>
  <c r="DG56" i="99"/>
  <c r="BZ52" i="99"/>
  <c r="CD52" i="99" s="1"/>
  <c r="BX53" i="99"/>
  <c r="BE45" i="99"/>
  <c r="BC46" i="99"/>
  <c r="ES51" i="99"/>
  <c r="EE51" i="99"/>
  <c r="EF51" i="99" s="1"/>
  <c r="EG51" i="99" s="1"/>
  <c r="EH51" i="99"/>
  <c r="CU54" i="99"/>
  <c r="CV54" i="99" s="1"/>
  <c r="CT55" i="99"/>
  <c r="CW53" i="99"/>
  <c r="CX53" i="99"/>
  <c r="FQ45" i="99"/>
  <c r="FR44" i="99"/>
  <c r="FS44" i="99"/>
  <c r="AE46" i="99"/>
  <c r="AF46" i="99" s="1"/>
  <c r="AG45" i="99"/>
  <c r="CE51" i="99"/>
  <c r="CF51" i="99" s="1"/>
  <c r="AO45" i="99"/>
  <c r="AM46" i="99"/>
  <c r="AN46" i="99" s="1"/>
  <c r="CA67" i="99"/>
  <c r="CC67" i="99" s="1"/>
  <c r="CC66" i="99"/>
  <c r="ED52" i="99"/>
  <c r="EB53" i="99"/>
  <c r="CQ54" i="5"/>
  <c r="CS53" i="5"/>
  <c r="CW53" i="5" s="1"/>
  <c r="BQ47" i="5"/>
  <c r="BO48" i="5"/>
  <c r="DM56" i="5"/>
  <c r="DN55" i="5"/>
  <c r="DO55" i="5" s="1"/>
  <c r="DQ55" i="5" s="1"/>
  <c r="BL55" i="5"/>
  <c r="BJ56" i="5"/>
  <c r="CR58" i="5"/>
  <c r="AO45" i="5"/>
  <c r="AM46" i="5"/>
  <c r="EC67" i="5"/>
  <c r="EE66" i="5"/>
  <c r="EW51" i="5"/>
  <c r="EU52" i="5"/>
  <c r="AW46" i="5"/>
  <c r="AU47" i="5"/>
  <c r="AV47" i="5" s="1"/>
  <c r="EF65" i="5"/>
  <c r="EG65" i="5" s="1"/>
  <c r="EH65" i="5" s="1"/>
  <c r="FD65" i="5"/>
  <c r="EI65" i="5"/>
  <c r="FE50" i="5"/>
  <c r="FA50" i="5"/>
  <c r="EX50" i="5"/>
  <c r="EY50" i="5" s="1"/>
  <c r="EZ50" i="5" s="1"/>
  <c r="BG48" i="5"/>
  <c r="BI47" i="5"/>
  <c r="ER51" i="5"/>
  <c r="FC51" i="5"/>
  <c r="EO51" i="5"/>
  <c r="EP51" i="5" s="1"/>
  <c r="EQ51" i="5" s="1"/>
  <c r="DE56" i="5"/>
  <c r="DF56" i="5" s="1"/>
  <c r="DD57" i="5"/>
  <c r="AK45" i="5"/>
  <c r="AI46" i="5"/>
  <c r="AJ46" i="5" s="1"/>
  <c r="DG55" i="5"/>
  <c r="DH55" i="5"/>
  <c r="BD55" i="5"/>
  <c r="BB56" i="5"/>
  <c r="DV65" i="5"/>
  <c r="DT66" i="5"/>
  <c r="CJ53" i="5"/>
  <c r="CN53" i="5" s="1"/>
  <c r="CH54" i="5"/>
  <c r="EN52" i="5"/>
  <c r="EL53" i="5"/>
  <c r="FB64" i="5"/>
  <c r="DZ64" i="5"/>
  <c r="DW64" i="5"/>
  <c r="DX64" i="5" s="1"/>
  <c r="DY64" i="5" s="1"/>
  <c r="CO52" i="5"/>
  <c r="CP52" i="5" s="1"/>
  <c r="AK46" i="99" l="1"/>
  <c r="AI47" i="99"/>
  <c r="AJ47" i="99" s="1"/>
  <c r="AN46" i="5"/>
  <c r="AS45" i="5"/>
  <c r="AQ46" i="5"/>
  <c r="AR46" i="5" s="1"/>
  <c r="DP55" i="5"/>
  <c r="DL66" i="99"/>
  <c r="DJ67" i="99"/>
  <c r="DL67" i="99" s="1"/>
  <c r="BK49" i="99"/>
  <c r="BM48" i="99"/>
  <c r="DM65" i="99"/>
  <c r="DN65" i="99" s="1"/>
  <c r="DO65" i="99" s="1"/>
  <c r="ER65" i="99"/>
  <c r="DP65" i="99"/>
  <c r="AZ57" i="99"/>
  <c r="AX58" i="99"/>
  <c r="CG56" i="99"/>
  <c r="CI55" i="99"/>
  <c r="CM55" i="99" s="1"/>
  <c r="CN55" i="99" s="1"/>
  <c r="CO55" i="99" s="1"/>
  <c r="EQ52" i="99"/>
  <c r="EN52" i="99"/>
  <c r="EO52" i="99" s="1"/>
  <c r="EP52" i="99" s="1"/>
  <c r="EU52" i="99"/>
  <c r="EK54" i="99"/>
  <c r="EM53" i="99"/>
  <c r="CX53" i="5"/>
  <c r="CY53" i="5" s="1"/>
  <c r="BH58" i="99"/>
  <c r="BF59" i="99"/>
  <c r="DU64" i="99"/>
  <c r="DS65" i="99"/>
  <c r="DV63" i="99"/>
  <c r="DW63" i="99" s="1"/>
  <c r="DX63" i="99" s="1"/>
  <c r="DY63" i="99"/>
  <c r="ET63" i="99"/>
  <c r="FU47" i="99"/>
  <c r="FV46" i="99"/>
  <c r="FW46" i="99"/>
  <c r="DD58" i="99"/>
  <c r="DE58" i="99" s="1"/>
  <c r="DC59" i="99"/>
  <c r="AS49" i="99"/>
  <c r="AQ50" i="99"/>
  <c r="AR50" i="99" s="1"/>
  <c r="DF57" i="99"/>
  <c r="DG57" i="99"/>
  <c r="FR45" i="99"/>
  <c r="FQ46" i="99"/>
  <c r="FS45" i="99"/>
  <c r="CW54" i="99"/>
  <c r="CX54" i="99"/>
  <c r="BE46" i="99"/>
  <c r="BC47" i="99"/>
  <c r="ED53" i="99"/>
  <c r="EB54" i="99"/>
  <c r="EE52" i="99"/>
  <c r="EF52" i="99" s="1"/>
  <c r="EG52" i="99" s="1"/>
  <c r="EH52" i="99"/>
  <c r="ES52" i="99"/>
  <c r="AM47" i="99"/>
  <c r="AN47" i="99" s="1"/>
  <c r="AO46" i="99"/>
  <c r="BX54" i="99"/>
  <c r="BZ53" i="99"/>
  <c r="CD53" i="99" s="1"/>
  <c r="AG46" i="99"/>
  <c r="AE47" i="99"/>
  <c r="AF47" i="99" s="1"/>
  <c r="CT56" i="99"/>
  <c r="CU55" i="99"/>
  <c r="CV55" i="99" s="1"/>
  <c r="CE52" i="99"/>
  <c r="CF52" i="99" s="1"/>
  <c r="DM57" i="5"/>
  <c r="DN56" i="5"/>
  <c r="DO56" i="5" s="1"/>
  <c r="DQ56" i="5" s="1"/>
  <c r="BJ57" i="5"/>
  <c r="BL56" i="5"/>
  <c r="BO49" i="5"/>
  <c r="BQ48" i="5"/>
  <c r="CQ55" i="5"/>
  <c r="CS54" i="5"/>
  <c r="CW54" i="5" s="1"/>
  <c r="EF66" i="5"/>
  <c r="EG66" i="5" s="1"/>
  <c r="EH66" i="5" s="1"/>
  <c r="FD66" i="5"/>
  <c r="EI66" i="5"/>
  <c r="AO46" i="5"/>
  <c r="AM47" i="5"/>
  <c r="EE67" i="5"/>
  <c r="AW47" i="5"/>
  <c r="AU48" i="5"/>
  <c r="AV48" i="5" s="1"/>
  <c r="EW52" i="5"/>
  <c r="EU53" i="5"/>
  <c r="FA51" i="5"/>
  <c r="FE51" i="5"/>
  <c r="EX51" i="5"/>
  <c r="EY51" i="5" s="1"/>
  <c r="EZ51" i="5" s="1"/>
  <c r="CR59" i="5"/>
  <c r="EN53" i="5"/>
  <c r="EL54" i="5"/>
  <c r="DT67" i="5"/>
  <c r="DV66" i="5"/>
  <c r="FC52" i="5"/>
  <c r="ER52" i="5"/>
  <c r="EO52" i="5"/>
  <c r="EP52" i="5" s="1"/>
  <c r="EQ52" i="5" s="1"/>
  <c r="FB65" i="5"/>
  <c r="DW65" i="5"/>
  <c r="DX65" i="5" s="1"/>
  <c r="DY65" i="5" s="1"/>
  <c r="DZ65" i="5"/>
  <c r="DE57" i="5"/>
  <c r="DF57" i="5" s="1"/>
  <c r="DD58" i="5"/>
  <c r="CJ54" i="5"/>
  <c r="CN54" i="5" s="1"/>
  <c r="CH55" i="5"/>
  <c r="BB57" i="5"/>
  <c r="BD56" i="5"/>
  <c r="DG56" i="5"/>
  <c r="DH56" i="5"/>
  <c r="CO53" i="5"/>
  <c r="CP53" i="5" s="1"/>
  <c r="AI47" i="5"/>
  <c r="AJ47" i="5" s="1"/>
  <c r="AK46" i="5"/>
  <c r="BI48" i="5"/>
  <c r="BG49" i="5"/>
  <c r="AI48" i="99" l="1"/>
  <c r="AJ48" i="99" s="1"/>
  <c r="AK47" i="99"/>
  <c r="AN47" i="5"/>
  <c r="AQ47" i="5"/>
  <c r="AR47" i="5" s="1"/>
  <c r="AS46" i="5"/>
  <c r="DP56" i="5"/>
  <c r="BM49" i="99"/>
  <c r="BK50" i="99"/>
  <c r="CG57" i="99"/>
  <c r="CI56" i="99"/>
  <c r="CM56" i="99" s="1"/>
  <c r="CN56" i="99" s="1"/>
  <c r="CO56" i="99" s="1"/>
  <c r="DM67" i="99"/>
  <c r="DN67" i="99" s="1"/>
  <c r="DO67" i="99" s="1"/>
  <c r="ER67" i="99"/>
  <c r="DP67" i="99"/>
  <c r="AZ58" i="99"/>
  <c r="AX59" i="99"/>
  <c r="ER66" i="99"/>
  <c r="DM66" i="99"/>
  <c r="DN66" i="99" s="1"/>
  <c r="DO66" i="99" s="1"/>
  <c r="DM71" i="99"/>
  <c r="DP66" i="99"/>
  <c r="DL71" i="99"/>
  <c r="EN53" i="99"/>
  <c r="EO53" i="99" s="1"/>
  <c r="EP53" i="99" s="1"/>
  <c r="EU53" i="99"/>
  <c r="EQ53" i="99"/>
  <c r="EM54" i="99"/>
  <c r="EK55" i="99"/>
  <c r="DS66" i="99"/>
  <c r="DU65" i="99"/>
  <c r="ET64" i="99"/>
  <c r="DV64" i="99"/>
  <c r="DW64" i="99" s="1"/>
  <c r="DX64" i="99" s="1"/>
  <c r="DY64" i="99"/>
  <c r="BH59" i="99"/>
  <c r="BF60" i="99"/>
  <c r="AS50" i="99"/>
  <c r="AQ51" i="99"/>
  <c r="AR51" i="99" s="1"/>
  <c r="DC60" i="99"/>
  <c r="DD59" i="99"/>
  <c r="DE59" i="99" s="1"/>
  <c r="FU48" i="99"/>
  <c r="FV47" i="99"/>
  <c r="FW47" i="99"/>
  <c r="DF58" i="99"/>
  <c r="DG58" i="99"/>
  <c r="AG47" i="99"/>
  <c r="AE48" i="99"/>
  <c r="AF48" i="99" s="1"/>
  <c r="CE53" i="99"/>
  <c r="CF53" i="99" s="1"/>
  <c r="EB55" i="99"/>
  <c r="ED54" i="99"/>
  <c r="CW55" i="99"/>
  <c r="CX55" i="99"/>
  <c r="BZ54" i="99"/>
  <c r="CD54" i="99" s="1"/>
  <c r="BX55" i="99"/>
  <c r="EE53" i="99"/>
  <c r="EF53" i="99" s="1"/>
  <c r="EG53" i="99" s="1"/>
  <c r="EH53" i="99"/>
  <c r="ES53" i="99"/>
  <c r="FQ47" i="99"/>
  <c r="FS46" i="99"/>
  <c r="FR46" i="99"/>
  <c r="CT57" i="99"/>
  <c r="CU56" i="99"/>
  <c r="CV56" i="99" s="1"/>
  <c r="AO47" i="99"/>
  <c r="AM48" i="99"/>
  <c r="AN48" i="99" s="1"/>
  <c r="BE47" i="99"/>
  <c r="BC48" i="99"/>
  <c r="CQ56" i="5"/>
  <c r="CS55" i="5"/>
  <c r="CW55" i="5" s="1"/>
  <c r="BQ49" i="5"/>
  <c r="BO50" i="5"/>
  <c r="BJ58" i="5"/>
  <c r="BL57" i="5"/>
  <c r="CX54" i="5"/>
  <c r="CY54" i="5" s="1"/>
  <c r="DM58" i="5"/>
  <c r="DN57" i="5"/>
  <c r="DO57" i="5" s="1"/>
  <c r="FA52" i="5"/>
  <c r="FE52" i="5"/>
  <c r="EX52" i="5"/>
  <c r="EY52" i="5" s="1"/>
  <c r="EZ52" i="5" s="1"/>
  <c r="FD67" i="5"/>
  <c r="EF67" i="5"/>
  <c r="EG67" i="5" s="1"/>
  <c r="EH67" i="5" s="1"/>
  <c r="EI67" i="5"/>
  <c r="EF71" i="5"/>
  <c r="EE71" i="5"/>
  <c r="CR60" i="5"/>
  <c r="AU49" i="5"/>
  <c r="AV49" i="5" s="1"/>
  <c r="AW48" i="5"/>
  <c r="EW53" i="5"/>
  <c r="EU54" i="5"/>
  <c r="AM48" i="5"/>
  <c r="AO47" i="5"/>
  <c r="CO54" i="5"/>
  <c r="CP54" i="5" s="1"/>
  <c r="FB66" i="5"/>
  <c r="DZ66" i="5"/>
  <c r="DW66" i="5"/>
  <c r="DX66" i="5" s="1"/>
  <c r="DY66" i="5" s="1"/>
  <c r="DE58" i="5"/>
  <c r="DF58" i="5" s="1"/>
  <c r="DD59" i="5"/>
  <c r="DV67" i="5"/>
  <c r="AK47" i="5"/>
  <c r="AI48" i="5"/>
  <c r="AJ48" i="5" s="1"/>
  <c r="BB58" i="5"/>
  <c r="BD57" i="5"/>
  <c r="DG57" i="5"/>
  <c r="DH57" i="5"/>
  <c r="EL55" i="5"/>
  <c r="EN54" i="5"/>
  <c r="BI49" i="5"/>
  <c r="BG50" i="5"/>
  <c r="CJ55" i="5"/>
  <c r="CN55" i="5" s="1"/>
  <c r="CH56" i="5"/>
  <c r="ER53" i="5"/>
  <c r="EO53" i="5"/>
  <c r="EP53" i="5" s="1"/>
  <c r="EQ53" i="5" s="1"/>
  <c r="FC53" i="5"/>
  <c r="AI49" i="99" l="1"/>
  <c r="AJ49" i="99" s="1"/>
  <c r="AK48" i="99"/>
  <c r="AN48" i="5"/>
  <c r="AS47" i="5"/>
  <c r="AQ48" i="5"/>
  <c r="AR48" i="5" s="1"/>
  <c r="CI57" i="99"/>
  <c r="CM57" i="99" s="1"/>
  <c r="CN57" i="99" s="1"/>
  <c r="CO57" i="99" s="1"/>
  <c r="CG58" i="99"/>
  <c r="BM50" i="99"/>
  <c r="BK51" i="99"/>
  <c r="DO71" i="99"/>
  <c r="DP71" i="99"/>
  <c r="DN71" i="99"/>
  <c r="AX60" i="99"/>
  <c r="AZ59" i="99"/>
  <c r="EN54" i="99"/>
  <c r="EO54" i="99" s="1"/>
  <c r="EP54" i="99" s="1"/>
  <c r="EQ54" i="99"/>
  <c r="EU54" i="99"/>
  <c r="EM55" i="99"/>
  <c r="EK56" i="99"/>
  <c r="DS67" i="99"/>
  <c r="DU67" i="99" s="1"/>
  <c r="DU66" i="99"/>
  <c r="BH60" i="99"/>
  <c r="BF61" i="99"/>
  <c r="DY65" i="99"/>
  <c r="DV65" i="99"/>
  <c r="DW65" i="99" s="1"/>
  <c r="DX65" i="99" s="1"/>
  <c r="ET65" i="99"/>
  <c r="DC61" i="99"/>
  <c r="DD60" i="99"/>
  <c r="DE60" i="99" s="1"/>
  <c r="FU49" i="99"/>
  <c r="FV48" i="99"/>
  <c r="FW48" i="99"/>
  <c r="DF59" i="99"/>
  <c r="DG59" i="99"/>
  <c r="AS51" i="99"/>
  <c r="AQ52" i="99"/>
  <c r="AR52" i="99" s="1"/>
  <c r="BE48" i="99"/>
  <c r="BC49" i="99"/>
  <c r="AM49" i="99"/>
  <c r="AN49" i="99" s="1"/>
  <c r="AO48" i="99"/>
  <c r="CE54" i="99"/>
  <c r="CF54" i="99" s="1"/>
  <c r="ED55" i="99"/>
  <c r="EB56" i="99"/>
  <c r="CW56" i="99"/>
  <c r="CX56" i="99"/>
  <c r="FQ48" i="99"/>
  <c r="FS47" i="99"/>
  <c r="FR47" i="99"/>
  <c r="AG48" i="99"/>
  <c r="AE49" i="99"/>
  <c r="AF49" i="99" s="1"/>
  <c r="CU57" i="99"/>
  <c r="CV57" i="99" s="1"/>
  <c r="CT58" i="99"/>
  <c r="BZ55" i="99"/>
  <c r="CD55" i="99" s="1"/>
  <c r="BX56" i="99"/>
  <c r="EE54" i="99"/>
  <c r="EF54" i="99" s="1"/>
  <c r="EG54" i="99" s="1"/>
  <c r="ES54" i="99"/>
  <c r="EH54" i="99"/>
  <c r="BJ59" i="5"/>
  <c r="BL58" i="5"/>
  <c r="BO51" i="5"/>
  <c r="BQ50" i="5"/>
  <c r="DQ57" i="5"/>
  <c r="DN58" i="5"/>
  <c r="DO58" i="5" s="1"/>
  <c r="DP58" i="5" s="1"/>
  <c r="DM59" i="5"/>
  <c r="DP57" i="5"/>
  <c r="CX55" i="5"/>
  <c r="CY55" i="5" s="1"/>
  <c r="CQ57" i="5"/>
  <c r="CS56" i="5"/>
  <c r="CW56" i="5" s="1"/>
  <c r="FA53" i="5"/>
  <c r="FE53" i="5"/>
  <c r="EX53" i="5"/>
  <c r="EY53" i="5" s="1"/>
  <c r="EZ53" i="5" s="1"/>
  <c r="AU50" i="5"/>
  <c r="AV50" i="5" s="1"/>
  <c r="AW49" i="5"/>
  <c r="EH71" i="5"/>
  <c r="EI71" i="5"/>
  <c r="EG71" i="5"/>
  <c r="AO48" i="5"/>
  <c r="AM49" i="5"/>
  <c r="EW54" i="5"/>
  <c r="EU55" i="5"/>
  <c r="CR61" i="5"/>
  <c r="ER54" i="5"/>
  <c r="EO54" i="5"/>
  <c r="EP54" i="5" s="1"/>
  <c r="EQ54" i="5" s="1"/>
  <c r="FC54" i="5"/>
  <c r="BB59" i="5"/>
  <c r="BD58" i="5"/>
  <c r="FB67" i="5"/>
  <c r="DZ67" i="5"/>
  <c r="DW67" i="5"/>
  <c r="DX67" i="5" s="1"/>
  <c r="DY67" i="5" s="1"/>
  <c r="DV71" i="5"/>
  <c r="DW71" i="5"/>
  <c r="BI50" i="5"/>
  <c r="BG51" i="5"/>
  <c r="EN55" i="5"/>
  <c r="EL56" i="5"/>
  <c r="AI49" i="5"/>
  <c r="AJ49" i="5" s="1"/>
  <c r="AK48" i="5"/>
  <c r="DE59" i="5"/>
  <c r="DF59" i="5" s="1"/>
  <c r="DD60" i="5"/>
  <c r="CJ56" i="5"/>
  <c r="CN56" i="5" s="1"/>
  <c r="CH57" i="5"/>
  <c r="CO55" i="5"/>
  <c r="CP55" i="5" s="1"/>
  <c r="DG58" i="5"/>
  <c r="DH58" i="5"/>
  <c r="AK49" i="99" l="1"/>
  <c r="AI50" i="99"/>
  <c r="AJ50" i="99" s="1"/>
  <c r="AN49" i="5"/>
  <c r="AS48" i="5"/>
  <c r="AQ49" i="5"/>
  <c r="AR49" i="5" s="1"/>
  <c r="AZ60" i="99"/>
  <c r="AX61" i="99"/>
  <c r="BM51" i="99"/>
  <c r="BK52" i="99"/>
  <c r="CI58" i="99"/>
  <c r="CM58" i="99" s="1"/>
  <c r="CG59" i="99"/>
  <c r="EQ55" i="99"/>
  <c r="EU55" i="99"/>
  <c r="EN55" i="99"/>
  <c r="EO55" i="99" s="1"/>
  <c r="EP55" i="99" s="1"/>
  <c r="EM56" i="99"/>
  <c r="EK57" i="99"/>
  <c r="BH61" i="99"/>
  <c r="BF62" i="99"/>
  <c r="DV66" i="99"/>
  <c r="DW66" i="99" s="1"/>
  <c r="DX66" i="99" s="1"/>
  <c r="DV71" i="99"/>
  <c r="DY66" i="99"/>
  <c r="DU71" i="99"/>
  <c r="ET66" i="99"/>
  <c r="DY67" i="99"/>
  <c r="DV67" i="99"/>
  <c r="DW67" i="99" s="1"/>
  <c r="DX67" i="99" s="1"/>
  <c r="ET67" i="99"/>
  <c r="AQ53" i="99"/>
  <c r="AR53" i="99" s="1"/>
  <c r="AS52" i="99"/>
  <c r="DF60" i="99"/>
  <c r="DG60" i="99"/>
  <c r="FV49" i="99"/>
  <c r="FU50" i="99"/>
  <c r="FW49" i="99"/>
  <c r="DD61" i="99"/>
  <c r="DE61" i="99" s="1"/>
  <c r="DC62" i="99"/>
  <c r="BX57" i="99"/>
  <c r="BZ56" i="99"/>
  <c r="CD56" i="99" s="1"/>
  <c r="CT59" i="99"/>
  <c r="CU58" i="99"/>
  <c r="CV58" i="99" s="1"/>
  <c r="ED56" i="99"/>
  <c r="EB57" i="99"/>
  <c r="CE55" i="99"/>
  <c r="CF55" i="99" s="1"/>
  <c r="CW57" i="99"/>
  <c r="CX57" i="99"/>
  <c r="AG49" i="99"/>
  <c r="AE50" i="99"/>
  <c r="AF50" i="99" s="1"/>
  <c r="FQ49" i="99"/>
  <c r="FS48" i="99"/>
  <c r="FR48" i="99"/>
  <c r="EH55" i="99"/>
  <c r="EE55" i="99"/>
  <c r="EF55" i="99" s="1"/>
  <c r="EG55" i="99" s="1"/>
  <c r="ES55" i="99"/>
  <c r="AO49" i="99"/>
  <c r="AM50" i="99"/>
  <c r="AN50" i="99" s="1"/>
  <c r="BC50" i="99"/>
  <c r="BE49" i="99"/>
  <c r="DQ58" i="5"/>
  <c r="CX56" i="5"/>
  <c r="CY56" i="5" s="1"/>
  <c r="CQ58" i="5"/>
  <c r="CS57" i="5"/>
  <c r="CW57" i="5" s="1"/>
  <c r="BO52" i="5"/>
  <c r="BQ51" i="5"/>
  <c r="DN59" i="5"/>
  <c r="DO59" i="5" s="1"/>
  <c r="DQ59" i="5" s="1"/>
  <c r="DM60" i="5"/>
  <c r="BJ60" i="5"/>
  <c r="BL59" i="5"/>
  <c r="FE54" i="5"/>
  <c r="FA54" i="5"/>
  <c r="EX54" i="5"/>
  <c r="EY54" i="5" s="1"/>
  <c r="EZ54" i="5" s="1"/>
  <c r="CR62" i="5"/>
  <c r="EW55" i="5"/>
  <c r="EU56" i="5"/>
  <c r="AO49" i="5"/>
  <c r="AM50" i="5"/>
  <c r="AW50" i="5"/>
  <c r="AU51" i="5"/>
  <c r="AV51" i="5" s="1"/>
  <c r="DE60" i="5"/>
  <c r="DF60" i="5" s="1"/>
  <c r="DD61" i="5"/>
  <c r="EN56" i="5"/>
  <c r="EL57" i="5"/>
  <c r="DG59" i="5"/>
  <c r="DH59" i="5"/>
  <c r="ER55" i="5"/>
  <c r="FC55" i="5"/>
  <c r="EO55" i="5"/>
  <c r="EP55" i="5" s="1"/>
  <c r="EQ55" i="5" s="1"/>
  <c r="CJ57" i="5"/>
  <c r="CN57" i="5" s="1"/>
  <c r="CH58" i="5"/>
  <c r="BG52" i="5"/>
  <c r="BI51" i="5"/>
  <c r="BB60" i="5"/>
  <c r="BD59" i="5"/>
  <c r="CO56" i="5"/>
  <c r="CP56" i="5" s="1"/>
  <c r="AK49" i="5"/>
  <c r="AI50" i="5"/>
  <c r="AJ50" i="5" s="1"/>
  <c r="DY71" i="5"/>
  <c r="DZ71" i="5"/>
  <c r="DX71" i="5"/>
  <c r="AI51" i="99" l="1"/>
  <c r="AJ51" i="99" s="1"/>
  <c r="AK50" i="99"/>
  <c r="AN50" i="5"/>
  <c r="AQ50" i="5"/>
  <c r="AR50" i="5" s="1"/>
  <c r="AS49" i="5"/>
  <c r="CX57" i="5"/>
  <c r="CY57" i="5" s="1"/>
  <c r="BK53" i="99"/>
  <c r="BM52" i="99"/>
  <c r="CG60" i="99"/>
  <c r="CI59" i="99"/>
  <c r="CM59" i="99" s="1"/>
  <c r="AZ61" i="99"/>
  <c r="AX62" i="99"/>
  <c r="CN58" i="99"/>
  <c r="CO58" i="99" s="1"/>
  <c r="EK58" i="99"/>
  <c r="EM57" i="99"/>
  <c r="EN56" i="99"/>
  <c r="EO56" i="99" s="1"/>
  <c r="EP56" i="99" s="1"/>
  <c r="EU56" i="99"/>
  <c r="EQ56" i="99"/>
  <c r="DX71" i="99"/>
  <c r="DY71" i="99"/>
  <c r="DW71" i="99"/>
  <c r="BF63" i="99"/>
  <c r="BH62" i="99"/>
  <c r="FW50" i="99"/>
  <c r="FV50" i="99"/>
  <c r="FU51" i="99"/>
  <c r="DC63" i="99"/>
  <c r="DD62" i="99"/>
  <c r="DE62" i="99" s="1"/>
  <c r="AQ54" i="99"/>
  <c r="AR54" i="99" s="1"/>
  <c r="AS53" i="99"/>
  <c r="DF61" i="99"/>
  <c r="DG61" i="99"/>
  <c r="CW58" i="99"/>
  <c r="CX58" i="99"/>
  <c r="ED57" i="99"/>
  <c r="EB58" i="99"/>
  <c r="CU59" i="99"/>
  <c r="CV59" i="99" s="1"/>
  <c r="CT60" i="99"/>
  <c r="BE50" i="99"/>
  <c r="BC51" i="99"/>
  <c r="FQ50" i="99"/>
  <c r="FS49" i="99"/>
  <c r="FR49" i="99"/>
  <c r="EE56" i="99"/>
  <c r="EF56" i="99" s="1"/>
  <c r="EG56" i="99" s="1"/>
  <c r="EH56" i="99"/>
  <c r="ES56" i="99"/>
  <c r="CE56" i="99"/>
  <c r="CF56" i="99" s="1"/>
  <c r="AM51" i="99"/>
  <c r="AN51" i="99" s="1"/>
  <c r="AO50" i="99"/>
  <c r="AE51" i="99"/>
  <c r="AF51" i="99" s="1"/>
  <c r="AG50" i="99"/>
  <c r="BX58" i="99"/>
  <c r="BZ57" i="99"/>
  <c r="CD57" i="99" s="1"/>
  <c r="DP59" i="5"/>
  <c r="BL60" i="5"/>
  <c r="BJ61" i="5"/>
  <c r="DM61" i="5"/>
  <c r="DN60" i="5"/>
  <c r="DO60" i="5" s="1"/>
  <c r="DQ60" i="5" s="1"/>
  <c r="BO53" i="5"/>
  <c r="BQ52" i="5"/>
  <c r="CQ59" i="5"/>
  <c r="CS58" i="5"/>
  <c r="CW58" i="5" s="1"/>
  <c r="CX58" i="5" s="1"/>
  <c r="CY58" i="5" s="1"/>
  <c r="AU52" i="5"/>
  <c r="AV52" i="5" s="1"/>
  <c r="AW51" i="5"/>
  <c r="FA55" i="5"/>
  <c r="FE55" i="5"/>
  <c r="EX55" i="5"/>
  <c r="EY55" i="5" s="1"/>
  <c r="EZ55" i="5" s="1"/>
  <c r="CR63" i="5"/>
  <c r="AO50" i="5"/>
  <c r="AM51" i="5"/>
  <c r="EW56" i="5"/>
  <c r="EU57" i="5"/>
  <c r="BB61" i="5"/>
  <c r="BD60" i="5"/>
  <c r="AI51" i="5"/>
  <c r="AJ51" i="5" s="1"/>
  <c r="AK50" i="5"/>
  <c r="BI52" i="5"/>
  <c r="BG53" i="5"/>
  <c r="ER56" i="5"/>
  <c r="EO56" i="5"/>
  <c r="EP56" i="5" s="1"/>
  <c r="EQ56" i="5" s="1"/>
  <c r="FC56" i="5"/>
  <c r="CJ58" i="5"/>
  <c r="CN58" i="5" s="1"/>
  <c r="CH59" i="5"/>
  <c r="DE61" i="5"/>
  <c r="DF61" i="5" s="1"/>
  <c r="DD62" i="5"/>
  <c r="CO57" i="5"/>
  <c r="CP57" i="5" s="1"/>
  <c r="DG60" i="5"/>
  <c r="DH60" i="5"/>
  <c r="EL58" i="5"/>
  <c r="EN57" i="5"/>
  <c r="AI52" i="99" l="1"/>
  <c r="AJ52" i="99" s="1"/>
  <c r="AK51" i="99"/>
  <c r="AN51" i="5"/>
  <c r="AQ51" i="5"/>
  <c r="AR51" i="5" s="1"/>
  <c r="AS50" i="5"/>
  <c r="CN59" i="99"/>
  <c r="CO59" i="99" s="1"/>
  <c r="CI60" i="99"/>
  <c r="CM60" i="99" s="1"/>
  <c r="CG61" i="99"/>
  <c r="AX63" i="99"/>
  <c r="AZ62" i="99"/>
  <c r="BK54" i="99"/>
  <c r="BM53" i="99"/>
  <c r="EU57" i="99"/>
  <c r="EN57" i="99"/>
  <c r="EO57" i="99" s="1"/>
  <c r="EP57" i="99" s="1"/>
  <c r="EQ57" i="99"/>
  <c r="EK59" i="99"/>
  <c r="EM58" i="99"/>
  <c r="DP60" i="5"/>
  <c r="BH63" i="99"/>
  <c r="BF64" i="99"/>
  <c r="AS54" i="99"/>
  <c r="AQ55" i="99"/>
  <c r="AR55" i="99" s="1"/>
  <c r="DF62" i="99"/>
  <c r="DG62" i="99"/>
  <c r="DD63" i="99"/>
  <c r="DE63" i="99" s="1"/>
  <c r="DC64" i="99"/>
  <c r="FV51" i="99"/>
  <c r="FU52" i="99"/>
  <c r="FW51" i="99"/>
  <c r="AG51" i="99"/>
  <c r="AE52" i="99"/>
  <c r="AF52" i="99" s="1"/>
  <c r="BE51" i="99"/>
  <c r="BC52" i="99"/>
  <c r="EB59" i="99"/>
  <c r="ED58" i="99"/>
  <c r="CE57" i="99"/>
  <c r="CF57" i="99" s="1"/>
  <c r="EE57" i="99"/>
  <c r="EF57" i="99" s="1"/>
  <c r="EG57" i="99" s="1"/>
  <c r="ES57" i="99"/>
  <c r="EH57" i="99"/>
  <c r="BZ58" i="99"/>
  <c r="CD58" i="99" s="1"/>
  <c r="BX59" i="99"/>
  <c r="AO51" i="99"/>
  <c r="AM52" i="99"/>
  <c r="AN52" i="99" s="1"/>
  <c r="FQ51" i="99"/>
  <c r="FS50" i="99"/>
  <c r="FR50" i="99"/>
  <c r="CU60" i="99"/>
  <c r="CV60" i="99" s="1"/>
  <c r="CT61" i="99"/>
  <c r="CW59" i="99"/>
  <c r="CX59" i="99"/>
  <c r="CQ60" i="5"/>
  <c r="CS59" i="5"/>
  <c r="CW59" i="5" s="1"/>
  <c r="CX59" i="5" s="1"/>
  <c r="CY59" i="5" s="1"/>
  <c r="DN61" i="5"/>
  <c r="DO61" i="5" s="1"/>
  <c r="DQ61" i="5" s="1"/>
  <c r="DM62" i="5"/>
  <c r="BO54" i="5"/>
  <c r="BQ53" i="5"/>
  <c r="BJ62" i="5"/>
  <c r="BL61" i="5"/>
  <c r="EW57" i="5"/>
  <c r="EU58" i="5"/>
  <c r="AM52" i="5"/>
  <c r="AO51" i="5"/>
  <c r="FA56" i="5"/>
  <c r="FE56" i="5"/>
  <c r="EX56" i="5"/>
  <c r="EY56" i="5" s="1"/>
  <c r="EZ56" i="5" s="1"/>
  <c r="AU53" i="5"/>
  <c r="AV53" i="5" s="1"/>
  <c r="AW52" i="5"/>
  <c r="CR64" i="5"/>
  <c r="ER57" i="5"/>
  <c r="EO57" i="5"/>
  <c r="EP57" i="5" s="1"/>
  <c r="EQ57" i="5" s="1"/>
  <c r="FC57" i="5"/>
  <c r="DE62" i="5"/>
  <c r="DF62" i="5" s="1"/>
  <c r="DD63" i="5"/>
  <c r="EL59" i="5"/>
  <c r="EN58" i="5"/>
  <c r="DG61" i="5"/>
  <c r="DH61" i="5"/>
  <c r="AK51" i="5"/>
  <c r="AI52" i="5"/>
  <c r="AJ52" i="5" s="1"/>
  <c r="CJ59" i="5"/>
  <c r="CN59" i="5" s="1"/>
  <c r="CH60" i="5"/>
  <c r="CO58" i="5"/>
  <c r="CP58" i="5" s="1"/>
  <c r="BI53" i="5"/>
  <c r="BG54" i="5"/>
  <c r="BB62" i="5"/>
  <c r="BD61" i="5"/>
  <c r="AI53" i="99" l="1"/>
  <c r="AJ53" i="99" s="1"/>
  <c r="AK52" i="99"/>
  <c r="AN52" i="5"/>
  <c r="AS51" i="5"/>
  <c r="AQ52" i="5"/>
  <c r="AR52" i="5" s="1"/>
  <c r="CN60" i="99"/>
  <c r="CO60" i="99" s="1"/>
  <c r="AZ63" i="99"/>
  <c r="AX64" i="99"/>
  <c r="CG62" i="99"/>
  <c r="CI61" i="99"/>
  <c r="CM61" i="99" s="1"/>
  <c r="CN61" i="99" s="1"/>
  <c r="CO61" i="99" s="1"/>
  <c r="BM54" i="99"/>
  <c r="BK55" i="99"/>
  <c r="EU58" i="99"/>
  <c r="EQ58" i="99"/>
  <c r="EN58" i="99"/>
  <c r="EO58" i="99" s="1"/>
  <c r="EP58" i="99" s="1"/>
  <c r="EM59" i="99"/>
  <c r="EK60" i="99"/>
  <c r="DP61" i="5"/>
  <c r="BH64" i="99"/>
  <c r="BF65" i="99"/>
  <c r="DD64" i="99"/>
  <c r="DE64" i="99" s="1"/>
  <c r="DC65" i="99"/>
  <c r="AQ56" i="99"/>
  <c r="AR56" i="99" s="1"/>
  <c r="AS55" i="99"/>
  <c r="DF63" i="99"/>
  <c r="DG63" i="99"/>
  <c r="FU53" i="99"/>
  <c r="FW52" i="99"/>
  <c r="FV52" i="99"/>
  <c r="CT62" i="99"/>
  <c r="CU61" i="99"/>
  <c r="CV61" i="99" s="1"/>
  <c r="FR51" i="99"/>
  <c r="FQ52" i="99"/>
  <c r="FS51" i="99"/>
  <c r="CE58" i="99"/>
  <c r="CF58" i="99" s="1"/>
  <c r="EE58" i="99"/>
  <c r="EF58" i="99" s="1"/>
  <c r="EG58" i="99" s="1"/>
  <c r="EH58" i="99"/>
  <c r="ES58" i="99"/>
  <c r="AE53" i="99"/>
  <c r="AF53" i="99" s="1"/>
  <c r="AG52" i="99"/>
  <c r="CW60" i="99"/>
  <c r="CX60" i="99"/>
  <c r="AO52" i="99"/>
  <c r="AM53" i="99"/>
  <c r="AN53" i="99" s="1"/>
  <c r="ED59" i="99"/>
  <c r="EB60" i="99"/>
  <c r="BE52" i="99"/>
  <c r="BC53" i="99"/>
  <c r="BZ59" i="99"/>
  <c r="CD59" i="99" s="1"/>
  <c r="BX60" i="99"/>
  <c r="BQ54" i="5"/>
  <c r="BO55" i="5"/>
  <c r="DM63" i="5"/>
  <c r="DN62" i="5"/>
  <c r="DO62" i="5" s="1"/>
  <c r="DP62" i="5" s="1"/>
  <c r="BL62" i="5"/>
  <c r="BJ63" i="5"/>
  <c r="CQ61" i="5"/>
  <c r="CS60" i="5"/>
  <c r="CW60" i="5" s="1"/>
  <c r="CX60" i="5" s="1"/>
  <c r="CY60" i="5" s="1"/>
  <c r="FA57" i="5"/>
  <c r="FE57" i="5"/>
  <c r="EX57" i="5"/>
  <c r="EY57" i="5" s="1"/>
  <c r="EZ57" i="5" s="1"/>
  <c r="EW58" i="5"/>
  <c r="EU59" i="5"/>
  <c r="AW53" i="5"/>
  <c r="AU54" i="5"/>
  <c r="AV54" i="5" s="1"/>
  <c r="CR65" i="5"/>
  <c r="AO52" i="5"/>
  <c r="AM53" i="5"/>
  <c r="CJ60" i="5"/>
  <c r="CN60" i="5" s="1"/>
  <c r="CH61" i="5"/>
  <c r="ER58" i="5"/>
  <c r="FC58" i="5"/>
  <c r="EO58" i="5"/>
  <c r="EP58" i="5" s="1"/>
  <c r="EQ58" i="5" s="1"/>
  <c r="BI54" i="5"/>
  <c r="BG55" i="5"/>
  <c r="CO59" i="5"/>
  <c r="CP59" i="5" s="1"/>
  <c r="EN59" i="5"/>
  <c r="EL60" i="5"/>
  <c r="DE63" i="5"/>
  <c r="DF63" i="5" s="1"/>
  <c r="DD64" i="5"/>
  <c r="BB63" i="5"/>
  <c r="BD62" i="5"/>
  <c r="AI53" i="5"/>
  <c r="AJ53" i="5" s="1"/>
  <c r="AK52" i="5"/>
  <c r="DG62" i="5"/>
  <c r="DH62" i="5"/>
  <c r="AK53" i="99" l="1"/>
  <c r="AI54" i="99"/>
  <c r="AJ54" i="99" s="1"/>
  <c r="AN53" i="5"/>
  <c r="AQ53" i="5"/>
  <c r="AR53" i="5" s="1"/>
  <c r="AS52" i="5"/>
  <c r="CI62" i="99"/>
  <c r="CM62" i="99" s="1"/>
  <c r="CN62" i="99" s="1"/>
  <c r="CO62" i="99" s="1"/>
  <c r="CG63" i="99"/>
  <c r="BK56" i="99"/>
  <c r="BM55" i="99"/>
  <c r="AX65" i="99"/>
  <c r="AZ64" i="99"/>
  <c r="EQ59" i="99"/>
  <c r="EU59" i="99"/>
  <c r="EN59" i="99"/>
  <c r="EO59" i="99" s="1"/>
  <c r="EP59" i="99" s="1"/>
  <c r="EM60" i="99"/>
  <c r="EK61" i="99"/>
  <c r="BF66" i="99"/>
  <c r="BH65" i="99"/>
  <c r="FW53" i="99"/>
  <c r="FV53" i="99"/>
  <c r="FU54" i="99"/>
  <c r="AQ57" i="99"/>
  <c r="AR57" i="99" s="1"/>
  <c r="AS56" i="99"/>
  <c r="DC66" i="99"/>
  <c r="DD65" i="99"/>
  <c r="DE65" i="99" s="1"/>
  <c r="DF64" i="99"/>
  <c r="DG64" i="99"/>
  <c r="CE59" i="99"/>
  <c r="CF59" i="99" s="1"/>
  <c r="BC54" i="99"/>
  <c r="BE53" i="99"/>
  <c r="ED60" i="99"/>
  <c r="EB61" i="99"/>
  <c r="CW61" i="99"/>
  <c r="CX61" i="99"/>
  <c r="EE59" i="99"/>
  <c r="EF59" i="99" s="1"/>
  <c r="EG59" i="99" s="1"/>
  <c r="ES59" i="99"/>
  <c r="EH59" i="99"/>
  <c r="AG53" i="99"/>
  <c r="AE54" i="99"/>
  <c r="AF54" i="99" s="1"/>
  <c r="CU62" i="99"/>
  <c r="CV62" i="99" s="1"/>
  <c r="CT63" i="99"/>
  <c r="AM54" i="99"/>
  <c r="AN54" i="99" s="1"/>
  <c r="AO53" i="99"/>
  <c r="FR52" i="99"/>
  <c r="FQ53" i="99"/>
  <c r="FS52" i="99"/>
  <c r="BX61" i="99"/>
  <c r="BZ60" i="99"/>
  <c r="CD60" i="99" s="1"/>
  <c r="DQ62" i="5"/>
  <c r="CQ62" i="5"/>
  <c r="CS61" i="5"/>
  <c r="CW61" i="5" s="1"/>
  <c r="DM64" i="5"/>
  <c r="DN63" i="5"/>
  <c r="DO63" i="5" s="1"/>
  <c r="DP63" i="5" s="1"/>
  <c r="BO56" i="5"/>
  <c r="BQ55" i="5"/>
  <c r="BJ64" i="5"/>
  <c r="BL63" i="5"/>
  <c r="CR66" i="5"/>
  <c r="AO53" i="5"/>
  <c r="AM54" i="5"/>
  <c r="AU55" i="5"/>
  <c r="AV55" i="5" s="1"/>
  <c r="AW54" i="5"/>
  <c r="FE58" i="5"/>
  <c r="FA58" i="5"/>
  <c r="EX58" i="5"/>
  <c r="EY58" i="5" s="1"/>
  <c r="EZ58" i="5" s="1"/>
  <c r="EW59" i="5"/>
  <c r="EU60" i="5"/>
  <c r="EN60" i="5"/>
  <c r="EL61" i="5"/>
  <c r="CO60" i="5"/>
  <c r="CP60" i="5" s="1"/>
  <c r="BB64" i="5"/>
  <c r="BD63" i="5"/>
  <c r="ER59" i="5"/>
  <c r="FC59" i="5"/>
  <c r="EO59" i="5"/>
  <c r="EP59" i="5" s="1"/>
  <c r="EQ59" i="5" s="1"/>
  <c r="DE64" i="5"/>
  <c r="DF64" i="5" s="1"/>
  <c r="DD65" i="5"/>
  <c r="BI55" i="5"/>
  <c r="BG56" i="5"/>
  <c r="AK53" i="5"/>
  <c r="AI54" i="5"/>
  <c r="AJ54" i="5" s="1"/>
  <c r="DG63" i="5"/>
  <c r="DH63" i="5"/>
  <c r="CJ61" i="5"/>
  <c r="CN61" i="5" s="1"/>
  <c r="CH62" i="5"/>
  <c r="AK54" i="99" l="1"/>
  <c r="AI55" i="99"/>
  <c r="AJ55" i="99" s="1"/>
  <c r="AN54" i="5"/>
  <c r="AS53" i="5"/>
  <c r="AQ54" i="5"/>
  <c r="AR54" i="5" s="1"/>
  <c r="BM56" i="99"/>
  <c r="BK57" i="99"/>
  <c r="CG64" i="99"/>
  <c r="CI63" i="99"/>
  <c r="CM63" i="99" s="1"/>
  <c r="CN63" i="99" s="1"/>
  <c r="CO63" i="99" s="1"/>
  <c r="AX66" i="99"/>
  <c r="AZ65" i="99"/>
  <c r="EK62" i="99"/>
  <c r="EM61" i="99"/>
  <c r="EN60" i="99"/>
  <c r="EO60" i="99" s="1"/>
  <c r="EP60" i="99" s="1"/>
  <c r="EQ60" i="99"/>
  <c r="EU60" i="99"/>
  <c r="BF67" i="99"/>
  <c r="BH67" i="99" s="1"/>
  <c r="BW11" i="92" s="1"/>
  <c r="BH66" i="99"/>
  <c r="DF65" i="99"/>
  <c r="DG65" i="99"/>
  <c r="DD66" i="99"/>
  <c r="DE66" i="99" s="1"/>
  <c r="DC67" i="99"/>
  <c r="DD67" i="99" s="1"/>
  <c r="DE67" i="99" s="1"/>
  <c r="FU55" i="99"/>
  <c r="FW54" i="99"/>
  <c r="FV54" i="99"/>
  <c r="AQ58" i="99"/>
  <c r="AR58" i="99" s="1"/>
  <c r="AS57" i="99"/>
  <c r="CE60" i="99"/>
  <c r="CF60" i="99" s="1"/>
  <c r="BZ61" i="99"/>
  <c r="CD61" i="99" s="1"/>
  <c r="BX62" i="99"/>
  <c r="CT64" i="99"/>
  <c r="CU63" i="99"/>
  <c r="CV63" i="99" s="1"/>
  <c r="BE54" i="99"/>
  <c r="BC55" i="99"/>
  <c r="AM55" i="99"/>
  <c r="AN55" i="99" s="1"/>
  <c r="AO54" i="99"/>
  <c r="CW62" i="99"/>
  <c r="CX62" i="99"/>
  <c r="ED61" i="99"/>
  <c r="EB62" i="99"/>
  <c r="FR53" i="99"/>
  <c r="FQ54" i="99"/>
  <c r="FS53" i="99"/>
  <c r="AG54" i="99"/>
  <c r="AE55" i="99"/>
  <c r="AF55" i="99" s="1"/>
  <c r="ES60" i="99"/>
  <c r="EH60" i="99"/>
  <c r="EE60" i="99"/>
  <c r="EF60" i="99" s="1"/>
  <c r="EG60" i="99" s="1"/>
  <c r="DQ63" i="5"/>
  <c r="BJ65" i="5"/>
  <c r="BL64" i="5"/>
  <c r="DM65" i="5"/>
  <c r="DN64" i="5"/>
  <c r="DO64" i="5" s="1"/>
  <c r="DP64" i="5" s="1"/>
  <c r="BQ56" i="5"/>
  <c r="BO57" i="5"/>
  <c r="CX61" i="5"/>
  <c r="CY61" i="5" s="1"/>
  <c r="CQ63" i="5"/>
  <c r="CS62" i="5"/>
  <c r="CW62" i="5" s="1"/>
  <c r="AO54" i="5"/>
  <c r="AM55" i="5"/>
  <c r="EW60" i="5"/>
  <c r="EU61" i="5"/>
  <c r="FA59" i="5"/>
  <c r="FE59" i="5"/>
  <c r="EX59" i="5"/>
  <c r="EY59" i="5" s="1"/>
  <c r="EZ59" i="5" s="1"/>
  <c r="AW55" i="5"/>
  <c r="AU56" i="5"/>
  <c r="AV56" i="5" s="1"/>
  <c r="CR67" i="5"/>
  <c r="AI55" i="5"/>
  <c r="AJ55" i="5" s="1"/>
  <c r="AK54" i="5"/>
  <c r="CJ62" i="5"/>
  <c r="CN62" i="5" s="1"/>
  <c r="CH63" i="5"/>
  <c r="CO61" i="5"/>
  <c r="CP61" i="5" s="1"/>
  <c r="BI56" i="5"/>
  <c r="BG57" i="5"/>
  <c r="DE65" i="5"/>
  <c r="DF65" i="5" s="1"/>
  <c r="DD66" i="5"/>
  <c r="EL62" i="5"/>
  <c r="EN61" i="5"/>
  <c r="DG64" i="5"/>
  <c r="DH64" i="5"/>
  <c r="BB65" i="5"/>
  <c r="BD64" i="5"/>
  <c r="ER60" i="5"/>
  <c r="EO60" i="5"/>
  <c r="EP60" i="5" s="1"/>
  <c r="EQ60" i="5" s="1"/>
  <c r="FC60" i="5"/>
  <c r="AI56" i="99" l="1"/>
  <c r="AJ56" i="99" s="1"/>
  <c r="AK55" i="99"/>
  <c r="AN55" i="5"/>
  <c r="AQ55" i="5"/>
  <c r="AR55" i="5" s="1"/>
  <c r="AS54" i="5"/>
  <c r="CI64" i="99"/>
  <c r="CM64" i="99" s="1"/>
  <c r="CN64" i="99" s="1"/>
  <c r="CO64" i="99" s="1"/>
  <c r="CG65" i="99"/>
  <c r="BK58" i="99"/>
  <c r="BM57" i="99"/>
  <c r="AX67" i="99"/>
  <c r="AZ67" i="99" s="1"/>
  <c r="BW9" i="92" s="1"/>
  <c r="AZ66" i="99"/>
  <c r="EU61" i="99"/>
  <c r="EN61" i="99"/>
  <c r="EO61" i="99" s="1"/>
  <c r="EP61" i="99" s="1"/>
  <c r="EQ61" i="99"/>
  <c r="EK63" i="99"/>
  <c r="EM62" i="99"/>
  <c r="CX62" i="5"/>
  <c r="CY62" i="5" s="1"/>
  <c r="CF11" i="92"/>
  <c r="DE71" i="99"/>
  <c r="DF71" i="99" s="1"/>
  <c r="DD71" i="99"/>
  <c r="DC71" i="99" s="1"/>
  <c r="DF67" i="99"/>
  <c r="CK11" i="92" s="1"/>
  <c r="DG67" i="99"/>
  <c r="CN11" i="92" s="1"/>
  <c r="CG11" i="92"/>
  <c r="DF66" i="99"/>
  <c r="CL11" i="92" s="1"/>
  <c r="DG66" i="99"/>
  <c r="FU56" i="99"/>
  <c r="FW55" i="99"/>
  <c r="FV55" i="99"/>
  <c r="AS58" i="99"/>
  <c r="AQ59" i="99"/>
  <c r="AR59" i="99" s="1"/>
  <c r="FS54" i="99"/>
  <c r="FR54" i="99"/>
  <c r="FQ55" i="99"/>
  <c r="ED62" i="99"/>
  <c r="EB63" i="99"/>
  <c r="BE55" i="99"/>
  <c r="BC56" i="99"/>
  <c r="BX63" i="99"/>
  <c r="BZ62" i="99"/>
  <c r="CD62" i="99" s="1"/>
  <c r="AG55" i="99"/>
  <c r="AE56" i="99"/>
  <c r="AF56" i="99" s="1"/>
  <c r="EH61" i="99"/>
  <c r="ES61" i="99"/>
  <c r="EE61" i="99"/>
  <c r="EF61" i="99" s="1"/>
  <c r="EG61" i="99" s="1"/>
  <c r="AM56" i="99"/>
  <c r="AN56" i="99" s="1"/>
  <c r="AO55" i="99"/>
  <c r="CE61" i="99"/>
  <c r="CF61" i="99" s="1"/>
  <c r="CW63" i="99"/>
  <c r="CX63" i="99"/>
  <c r="CT65" i="99"/>
  <c r="CU64" i="99"/>
  <c r="CV64" i="99" s="1"/>
  <c r="DQ64" i="5"/>
  <c r="DM66" i="5"/>
  <c r="DN65" i="5"/>
  <c r="DO65" i="5" s="1"/>
  <c r="DP65" i="5" s="1"/>
  <c r="CQ64" i="5"/>
  <c r="CS63" i="5"/>
  <c r="CW63" i="5" s="1"/>
  <c r="BO58" i="5"/>
  <c r="BQ57" i="5"/>
  <c r="BJ66" i="5"/>
  <c r="BL65" i="5"/>
  <c r="FA60" i="5"/>
  <c r="FE60" i="5"/>
  <c r="EX60" i="5"/>
  <c r="EY60" i="5" s="1"/>
  <c r="EZ60" i="5" s="1"/>
  <c r="AM56" i="5"/>
  <c r="AO55" i="5"/>
  <c r="EW61" i="5"/>
  <c r="EU62" i="5"/>
  <c r="AU57" i="5"/>
  <c r="AV57" i="5" s="1"/>
  <c r="AW56" i="5"/>
  <c r="BB66" i="5"/>
  <c r="BD65" i="5"/>
  <c r="EN62" i="5"/>
  <c r="EL63" i="5"/>
  <c r="CO62" i="5"/>
  <c r="CP62" i="5" s="1"/>
  <c r="DE66" i="5"/>
  <c r="DF66" i="5" s="1"/>
  <c r="DD67" i="5"/>
  <c r="DG65" i="5"/>
  <c r="DH65" i="5"/>
  <c r="ER61" i="5"/>
  <c r="FC61" i="5"/>
  <c r="EO61" i="5"/>
  <c r="EP61" i="5" s="1"/>
  <c r="EQ61" i="5" s="1"/>
  <c r="BI57" i="5"/>
  <c r="BG58" i="5"/>
  <c r="CH64" i="5"/>
  <c r="CJ63" i="5"/>
  <c r="CN63" i="5" s="1"/>
  <c r="AK55" i="5"/>
  <c r="AI56" i="5"/>
  <c r="AJ56" i="5" s="1"/>
  <c r="AK56" i="99" l="1"/>
  <c r="AI57" i="99"/>
  <c r="AJ57" i="99" s="1"/>
  <c r="AN56" i="5"/>
  <c r="AQ56" i="5"/>
  <c r="AR56" i="5" s="1"/>
  <c r="AS55" i="5"/>
  <c r="CX63" i="5"/>
  <c r="CY63" i="5" s="1"/>
  <c r="BM58" i="99"/>
  <c r="BK59" i="99"/>
  <c r="CG66" i="99"/>
  <c r="CI65" i="99"/>
  <c r="CM65" i="99" s="1"/>
  <c r="CN65" i="99" s="1"/>
  <c r="CO65" i="99" s="1"/>
  <c r="EQ62" i="99"/>
  <c r="EU62" i="99"/>
  <c r="EN62" i="99"/>
  <c r="EO62" i="99" s="1"/>
  <c r="EP62" i="99" s="1"/>
  <c r="EM63" i="99"/>
  <c r="EK64" i="99"/>
  <c r="FW56" i="99"/>
  <c r="FV56" i="99"/>
  <c r="FU57" i="99"/>
  <c r="AQ60" i="99"/>
  <c r="AR60" i="99" s="1"/>
  <c r="AS59" i="99"/>
  <c r="BZ63" i="99"/>
  <c r="CD63" i="99" s="1"/>
  <c r="BX64" i="99"/>
  <c r="EH62" i="99"/>
  <c r="EE62" i="99"/>
  <c r="EF62" i="99" s="1"/>
  <c r="EG62" i="99" s="1"/>
  <c r="ES62" i="99"/>
  <c r="CW64" i="99"/>
  <c r="CX64" i="99"/>
  <c r="BC57" i="99"/>
  <c r="BE56" i="99"/>
  <c r="FS55" i="99"/>
  <c r="FQ56" i="99"/>
  <c r="FR55" i="99"/>
  <c r="CU65" i="99"/>
  <c r="CV65" i="99" s="1"/>
  <c r="CT66" i="99"/>
  <c r="AO56" i="99"/>
  <c r="AM57" i="99"/>
  <c r="AN57" i="99" s="1"/>
  <c r="AG56" i="99"/>
  <c r="AE57" i="99"/>
  <c r="AF57" i="99" s="1"/>
  <c r="CE62" i="99"/>
  <c r="CF62" i="99" s="1"/>
  <c r="EB64" i="99"/>
  <c r="ED63" i="99"/>
  <c r="BJ67" i="5"/>
  <c r="BL66" i="5"/>
  <c r="BQ58" i="5"/>
  <c r="BO59" i="5"/>
  <c r="DM67" i="5"/>
  <c r="DN66" i="5"/>
  <c r="DO66" i="5" s="1"/>
  <c r="DP66" i="5" s="1"/>
  <c r="DQ65" i="5"/>
  <c r="CQ65" i="5"/>
  <c r="CS64" i="5"/>
  <c r="CW64" i="5" s="1"/>
  <c r="CX64" i="5" s="1"/>
  <c r="CY64" i="5" s="1"/>
  <c r="FA61" i="5"/>
  <c r="FE61" i="5"/>
  <c r="EX61" i="5"/>
  <c r="EY61" i="5" s="1"/>
  <c r="EZ61" i="5" s="1"/>
  <c r="AO56" i="5"/>
  <c r="AM57" i="5"/>
  <c r="AW57" i="5"/>
  <c r="AU58" i="5"/>
  <c r="AV58" i="5" s="1"/>
  <c r="EW62" i="5"/>
  <c r="EU63" i="5"/>
  <c r="DE67" i="5"/>
  <c r="DF67" i="5" s="1"/>
  <c r="EN63" i="5"/>
  <c r="EL64" i="5"/>
  <c r="CO63" i="5"/>
  <c r="CP63" i="5" s="1"/>
  <c r="CJ64" i="5"/>
  <c r="CN64" i="5" s="1"/>
  <c r="CH65" i="5"/>
  <c r="CG5" i="92"/>
  <c r="DG66" i="5"/>
  <c r="DH66" i="5"/>
  <c r="ER62" i="5"/>
  <c r="FC62" i="5"/>
  <c r="EO62" i="5"/>
  <c r="EP62" i="5" s="1"/>
  <c r="EQ62" i="5" s="1"/>
  <c r="BI58" i="5"/>
  <c r="BG59" i="5"/>
  <c r="AI57" i="5"/>
  <c r="AJ57" i="5" s="1"/>
  <c r="AK56" i="5"/>
  <c r="BB67" i="5"/>
  <c r="BD66" i="5"/>
  <c r="AI58" i="99" l="1"/>
  <c r="AJ58" i="99" s="1"/>
  <c r="AK57" i="99"/>
  <c r="AN57" i="5"/>
  <c r="AS56" i="5"/>
  <c r="AQ57" i="5"/>
  <c r="AR57" i="5" s="1"/>
  <c r="CG67" i="99"/>
  <c r="CI67" i="99" s="1"/>
  <c r="CM67" i="99" s="1"/>
  <c r="CI66" i="99"/>
  <c r="CM66" i="99" s="1"/>
  <c r="CN66" i="99" s="1"/>
  <c r="CO66" i="99" s="1"/>
  <c r="CD11" i="92" s="1"/>
  <c r="BM59" i="99"/>
  <c r="BK60" i="99"/>
  <c r="EN63" i="99"/>
  <c r="EO63" i="99" s="1"/>
  <c r="EP63" i="99" s="1"/>
  <c r="EU63" i="99"/>
  <c r="EQ63" i="99"/>
  <c r="EM64" i="99"/>
  <c r="EK65" i="99"/>
  <c r="FU58" i="99"/>
  <c r="FW57" i="99"/>
  <c r="FV57" i="99"/>
  <c r="AQ61" i="99"/>
  <c r="AR61" i="99" s="1"/>
  <c r="AS60" i="99"/>
  <c r="ED64" i="99"/>
  <c r="EB65" i="99"/>
  <c r="CT67" i="99"/>
  <c r="CU67" i="99" s="1"/>
  <c r="CV67" i="99" s="1"/>
  <c r="CU66" i="99"/>
  <c r="CV66" i="99" s="1"/>
  <c r="AM58" i="99"/>
  <c r="AN58" i="99" s="1"/>
  <c r="AO57" i="99"/>
  <c r="CW65" i="99"/>
  <c r="CX65" i="99"/>
  <c r="BE57" i="99"/>
  <c r="BC58" i="99"/>
  <c r="BZ64" i="99"/>
  <c r="CD64" i="99" s="1"/>
  <c r="BX65" i="99"/>
  <c r="EH63" i="99"/>
  <c r="ES63" i="99"/>
  <c r="EE63" i="99"/>
  <c r="EF63" i="99" s="1"/>
  <c r="EG63" i="99" s="1"/>
  <c r="AG57" i="99"/>
  <c r="AE58" i="99"/>
  <c r="AF58" i="99" s="1"/>
  <c r="FQ57" i="99"/>
  <c r="FS56" i="99"/>
  <c r="FR56" i="99"/>
  <c r="CE63" i="99"/>
  <c r="CF63" i="99" s="1"/>
  <c r="DQ66" i="5"/>
  <c r="DN67" i="5"/>
  <c r="DO67" i="5" s="1"/>
  <c r="DN71" i="5" s="1"/>
  <c r="DM71" i="5" s="1"/>
  <c r="BO60" i="5"/>
  <c r="BQ59" i="5"/>
  <c r="CL7" i="92"/>
  <c r="CQ66" i="5"/>
  <c r="CS65" i="5"/>
  <c r="CW65" i="5" s="1"/>
  <c r="CX65" i="5" s="1"/>
  <c r="CY65" i="5" s="1"/>
  <c r="CG7" i="92"/>
  <c r="BL67" i="5"/>
  <c r="FE62" i="5"/>
  <c r="FA62" i="5"/>
  <c r="EX62" i="5"/>
  <c r="EY62" i="5" s="1"/>
  <c r="EZ62" i="5" s="1"/>
  <c r="EW63" i="5"/>
  <c r="EU64" i="5"/>
  <c r="AU59" i="5"/>
  <c r="AV59" i="5" s="1"/>
  <c r="AW58" i="5"/>
  <c r="AO57" i="5"/>
  <c r="AM58" i="5"/>
  <c r="BI59" i="5"/>
  <c r="BG60" i="5"/>
  <c r="CJ65" i="5"/>
  <c r="CN65" i="5" s="1"/>
  <c r="CH66" i="5"/>
  <c r="EN64" i="5"/>
  <c r="EL65" i="5"/>
  <c r="CL5" i="92"/>
  <c r="CO64" i="5"/>
  <c r="CP64" i="5" s="1"/>
  <c r="FC63" i="5"/>
  <c r="ER63" i="5"/>
  <c r="EO63" i="5"/>
  <c r="EP63" i="5" s="1"/>
  <c r="EQ63" i="5" s="1"/>
  <c r="BD67" i="5"/>
  <c r="AK57" i="5"/>
  <c r="AI58" i="5"/>
  <c r="AJ58" i="5" s="1"/>
  <c r="CF5" i="92"/>
  <c r="DF71" i="5"/>
  <c r="DG71" i="5" s="1"/>
  <c r="DE71" i="5"/>
  <c r="DD71" i="5" s="1"/>
  <c r="DG67" i="5"/>
  <c r="DH67" i="5"/>
  <c r="AK58" i="99" l="1"/>
  <c r="AI59" i="99"/>
  <c r="AJ59" i="99" s="1"/>
  <c r="AN58" i="5"/>
  <c r="DO71" i="5"/>
  <c r="DP71" i="5" s="1"/>
  <c r="AS57" i="5"/>
  <c r="AQ58" i="5"/>
  <c r="AR58" i="5" s="1"/>
  <c r="BK61" i="99"/>
  <c r="BM60" i="99"/>
  <c r="CN67" i="99"/>
  <c r="CO67" i="99" s="1"/>
  <c r="CC11" i="92" s="1"/>
  <c r="EN64" i="99"/>
  <c r="EO64" i="99" s="1"/>
  <c r="EP64" i="99" s="1"/>
  <c r="EU64" i="99"/>
  <c r="EQ64" i="99"/>
  <c r="EM65" i="99"/>
  <c r="EK66" i="99"/>
  <c r="DQ67" i="5"/>
  <c r="CN7" i="92" s="1"/>
  <c r="DP67" i="5"/>
  <c r="CK7" i="92" s="1"/>
  <c r="AS61" i="99"/>
  <c r="AQ62" i="99"/>
  <c r="AR62" i="99" s="1"/>
  <c r="FW58" i="99"/>
  <c r="FV58" i="99"/>
  <c r="FU59" i="99"/>
  <c r="CE64" i="99"/>
  <c r="CF64" i="99" s="1"/>
  <c r="FR57" i="99"/>
  <c r="FQ58" i="99"/>
  <c r="FS57" i="99"/>
  <c r="BC59" i="99"/>
  <c r="BE58" i="99"/>
  <c r="AO58" i="99"/>
  <c r="AM59" i="99"/>
  <c r="AN59" i="99" s="1"/>
  <c r="AG58" i="99"/>
  <c r="AE59" i="99"/>
  <c r="AF59" i="99" s="1"/>
  <c r="CG9" i="92"/>
  <c r="CW66" i="99"/>
  <c r="CL9" i="92" s="1"/>
  <c r="CX66" i="99"/>
  <c r="ED65" i="99"/>
  <c r="EB66" i="99"/>
  <c r="BX66" i="99"/>
  <c r="BZ65" i="99"/>
  <c r="CD65" i="99" s="1"/>
  <c r="CF9" i="92"/>
  <c r="CU71" i="99"/>
  <c r="CT71" i="99" s="1"/>
  <c r="CV71" i="99"/>
  <c r="CW71" i="99" s="1"/>
  <c r="CW67" i="99"/>
  <c r="CK9" i="92" s="1"/>
  <c r="CX67" i="99"/>
  <c r="CN9" i="92" s="1"/>
  <c r="EE64" i="99"/>
  <c r="EF64" i="99" s="1"/>
  <c r="EG64" i="99" s="1"/>
  <c r="EH64" i="99"/>
  <c r="ES64" i="99"/>
  <c r="BW7" i="92"/>
  <c r="CQ67" i="5"/>
  <c r="CS66" i="5"/>
  <c r="CW66" i="5" s="1"/>
  <c r="BQ60" i="5"/>
  <c r="BO61" i="5"/>
  <c r="CF7" i="92"/>
  <c r="AO58" i="5"/>
  <c r="AM59" i="5"/>
  <c r="EW64" i="5"/>
  <c r="EU65" i="5"/>
  <c r="AW59" i="5"/>
  <c r="AU60" i="5"/>
  <c r="AV60" i="5" s="1"/>
  <c r="FA63" i="5"/>
  <c r="FE63" i="5"/>
  <c r="EX63" i="5"/>
  <c r="EY63" i="5" s="1"/>
  <c r="EZ63" i="5" s="1"/>
  <c r="ER64" i="5"/>
  <c r="EO64" i="5"/>
  <c r="EP64" i="5" s="1"/>
  <c r="EQ64" i="5" s="1"/>
  <c r="FC64" i="5"/>
  <c r="CK5" i="92"/>
  <c r="CN5" i="92"/>
  <c r="BW5" i="92"/>
  <c r="CJ66" i="5"/>
  <c r="CN66" i="5" s="1"/>
  <c r="CH67" i="5"/>
  <c r="BG61" i="5"/>
  <c r="BI60" i="5"/>
  <c r="AI59" i="5"/>
  <c r="AJ59" i="5" s="1"/>
  <c r="AK58" i="5"/>
  <c r="CO65" i="5"/>
  <c r="CP65" i="5" s="1"/>
  <c r="EN65" i="5"/>
  <c r="EL66" i="5"/>
  <c r="AI60" i="99" l="1"/>
  <c r="AJ60" i="99" s="1"/>
  <c r="AK59" i="99"/>
  <c r="AN59" i="5"/>
  <c r="AS58" i="5"/>
  <c r="AQ59" i="5"/>
  <c r="AR59" i="5" s="1"/>
  <c r="BM61" i="99"/>
  <c r="BK62" i="99"/>
  <c r="EQ65" i="99"/>
  <c r="EU65" i="99"/>
  <c r="EN65" i="99"/>
  <c r="EO65" i="99" s="1"/>
  <c r="EP65" i="99" s="1"/>
  <c r="EM66" i="99"/>
  <c r="EK67" i="99"/>
  <c r="EM67" i="99" s="1"/>
  <c r="FU60" i="99"/>
  <c r="FW59" i="99"/>
  <c r="FV59" i="99"/>
  <c r="AQ63" i="99"/>
  <c r="AR63" i="99" s="1"/>
  <c r="AS62" i="99"/>
  <c r="CE65" i="99"/>
  <c r="CF65" i="99" s="1"/>
  <c r="FQ59" i="99"/>
  <c r="FR58" i="99"/>
  <c r="FS58" i="99"/>
  <c r="BX67" i="99"/>
  <c r="BZ67" i="99" s="1"/>
  <c r="CD67" i="99" s="1"/>
  <c r="BZ66" i="99"/>
  <c r="CD66" i="99" s="1"/>
  <c r="ED66" i="99"/>
  <c r="EB67" i="99"/>
  <c r="ED67" i="99" s="1"/>
  <c r="BE59" i="99"/>
  <c r="BC60" i="99"/>
  <c r="ES65" i="99"/>
  <c r="EH65" i="99"/>
  <c r="EE65" i="99"/>
  <c r="EF65" i="99" s="1"/>
  <c r="EG65" i="99" s="1"/>
  <c r="AE60" i="99"/>
  <c r="AF60" i="99" s="1"/>
  <c r="AG59" i="99"/>
  <c r="AO59" i="99"/>
  <c r="AM60" i="99"/>
  <c r="AN60" i="99" s="1"/>
  <c r="CX66" i="5"/>
  <c r="CY66" i="5" s="1"/>
  <c r="CS67" i="5"/>
  <c r="CW67" i="5" s="1"/>
  <c r="BQ61" i="5"/>
  <c r="BO62" i="5"/>
  <c r="AM60" i="5"/>
  <c r="AO59" i="5"/>
  <c r="EW65" i="5"/>
  <c r="EU66" i="5"/>
  <c r="FA64" i="5"/>
  <c r="FE64" i="5"/>
  <c r="EX64" i="5"/>
  <c r="EY64" i="5" s="1"/>
  <c r="EZ64" i="5" s="1"/>
  <c r="AW60" i="5"/>
  <c r="AU61" i="5"/>
  <c r="AV61" i="5" s="1"/>
  <c r="CJ67" i="5"/>
  <c r="CN67" i="5" s="1"/>
  <c r="AK59" i="5"/>
  <c r="AI60" i="5"/>
  <c r="AJ60" i="5" s="1"/>
  <c r="BI61" i="5"/>
  <c r="BG62" i="5"/>
  <c r="CO66" i="5"/>
  <c r="CP66" i="5" s="1"/>
  <c r="ER65" i="5"/>
  <c r="FC65" i="5"/>
  <c r="EO65" i="5"/>
  <c r="EP65" i="5" s="1"/>
  <c r="EQ65" i="5" s="1"/>
  <c r="EL67" i="5"/>
  <c r="EN66" i="5"/>
  <c r="AI61" i="99" l="1"/>
  <c r="AJ61" i="99" s="1"/>
  <c r="AK60" i="99"/>
  <c r="AN60" i="5"/>
  <c r="AQ60" i="5"/>
  <c r="AR60" i="5" s="1"/>
  <c r="AS59" i="5"/>
  <c r="EN71" i="99"/>
  <c r="BK63" i="99"/>
  <c r="BM62" i="99"/>
  <c r="EN67" i="99"/>
  <c r="EO67" i="99" s="1"/>
  <c r="EP67" i="99" s="1"/>
  <c r="EQ67" i="99"/>
  <c r="EU67" i="99"/>
  <c r="EQ66" i="99"/>
  <c r="EP71" i="99" s="1"/>
  <c r="EN66" i="99"/>
  <c r="EO66" i="99" s="1"/>
  <c r="EP66" i="99" s="1"/>
  <c r="EU66" i="99"/>
  <c r="EM71" i="99"/>
  <c r="CX67" i="5"/>
  <c r="CY67" i="5" s="1"/>
  <c r="CC7" i="92" s="1"/>
  <c r="AS63" i="99"/>
  <c r="AQ64" i="99"/>
  <c r="AR64" i="99" s="1"/>
  <c r="FV60" i="99"/>
  <c r="FU61" i="99"/>
  <c r="FW60" i="99"/>
  <c r="AE61" i="99"/>
  <c r="AF61" i="99" s="1"/>
  <c r="AG60" i="99"/>
  <c r="AO60" i="99"/>
  <c r="AM61" i="99"/>
  <c r="AN61" i="99" s="1"/>
  <c r="ES67" i="99"/>
  <c r="EH67" i="99"/>
  <c r="EE67" i="99"/>
  <c r="EF67" i="99" s="1"/>
  <c r="EG67" i="99" s="1"/>
  <c r="ED71" i="99"/>
  <c r="EE71" i="99"/>
  <c r="CE66" i="99"/>
  <c r="CF66" i="99" s="1"/>
  <c r="CD9" i="92" s="1"/>
  <c r="FR59" i="99"/>
  <c r="FQ60" i="99"/>
  <c r="FS59" i="99"/>
  <c r="ES66" i="99"/>
  <c r="EE66" i="99"/>
  <c r="EF66" i="99" s="1"/>
  <c r="EG66" i="99" s="1"/>
  <c r="EH66" i="99"/>
  <c r="BE60" i="99"/>
  <c r="BC61" i="99"/>
  <c r="CD7" i="92"/>
  <c r="BQ62" i="5"/>
  <c r="BO63" i="5"/>
  <c r="AU62" i="5"/>
  <c r="AV62" i="5" s="1"/>
  <c r="AW61" i="5"/>
  <c r="FA65" i="5"/>
  <c r="FE65" i="5"/>
  <c r="EX65" i="5"/>
  <c r="EY65" i="5" s="1"/>
  <c r="EZ65" i="5" s="1"/>
  <c r="AO60" i="5"/>
  <c r="AM61" i="5"/>
  <c r="EW66" i="5"/>
  <c r="EU67" i="5"/>
  <c r="CD5" i="92"/>
  <c r="FC66" i="5"/>
  <c r="ER66" i="5"/>
  <c r="EO66" i="5"/>
  <c r="EP66" i="5" s="1"/>
  <c r="EQ66" i="5" s="1"/>
  <c r="EN67" i="5"/>
  <c r="BI62" i="5"/>
  <c r="BG63" i="5"/>
  <c r="AI61" i="5"/>
  <c r="AJ61" i="5" s="1"/>
  <c r="AK60" i="5"/>
  <c r="CO67" i="5"/>
  <c r="CP67" i="5" s="1"/>
  <c r="AI62" i="99" l="1"/>
  <c r="AJ62" i="99" s="1"/>
  <c r="AK61" i="99"/>
  <c r="EO71" i="99"/>
  <c r="EQ71" i="99"/>
  <c r="AN61" i="5"/>
  <c r="AQ61" i="5"/>
  <c r="AR61" i="5" s="1"/>
  <c r="AS60" i="5"/>
  <c r="CE67" i="99"/>
  <c r="CF67" i="99" s="1"/>
  <c r="CC9" i="92" s="1"/>
  <c r="BK64" i="99"/>
  <c r="BM63" i="99"/>
  <c r="FW61" i="99"/>
  <c r="FU62" i="99"/>
  <c r="FV61" i="99"/>
  <c r="AS64" i="99"/>
  <c r="AQ65" i="99"/>
  <c r="AR65" i="99" s="1"/>
  <c r="EG71" i="99"/>
  <c r="EH71" i="99"/>
  <c r="EF71" i="99"/>
  <c r="AO61" i="99"/>
  <c r="AM62" i="99"/>
  <c r="AN62" i="99" s="1"/>
  <c r="BE61" i="99"/>
  <c r="BC62" i="99"/>
  <c r="FS60" i="99"/>
  <c r="FR60" i="99"/>
  <c r="FQ61" i="99"/>
  <c r="AG61" i="99"/>
  <c r="AE62" i="99"/>
  <c r="AF62" i="99" s="1"/>
  <c r="BQ63" i="5"/>
  <c r="BO64" i="5"/>
  <c r="EW67" i="5"/>
  <c r="FA66" i="5"/>
  <c r="FE66" i="5"/>
  <c r="EX66" i="5"/>
  <c r="EY66" i="5" s="1"/>
  <c r="EZ66" i="5" s="1"/>
  <c r="AO61" i="5"/>
  <c r="AM62" i="5"/>
  <c r="AW62" i="5"/>
  <c r="AU63" i="5"/>
  <c r="AV63" i="5" s="1"/>
  <c r="CC5" i="92"/>
  <c r="AK61" i="5"/>
  <c r="AI62" i="5"/>
  <c r="AJ62" i="5" s="1"/>
  <c r="BG64" i="5"/>
  <c r="BI63" i="5"/>
  <c r="EO67" i="5"/>
  <c r="EP67" i="5" s="1"/>
  <c r="EQ67" i="5" s="1"/>
  <c r="FC67" i="5"/>
  <c r="ER67" i="5"/>
  <c r="EO71" i="5"/>
  <c r="EN71" i="5"/>
  <c r="AI63" i="99" l="1"/>
  <c r="AJ63" i="99" s="1"/>
  <c r="AK62" i="99"/>
  <c r="AN62" i="5"/>
  <c r="AS61" i="5"/>
  <c r="AQ62" i="5"/>
  <c r="AR62" i="5" s="1"/>
  <c r="BK65" i="99"/>
  <c r="BM64" i="99"/>
  <c r="FW62" i="99"/>
  <c r="FU63" i="99"/>
  <c r="FV62" i="99"/>
  <c r="AQ66" i="99"/>
  <c r="AR66" i="99" s="1"/>
  <c r="AS65" i="99"/>
  <c r="AE63" i="99"/>
  <c r="AF63" i="99" s="1"/>
  <c r="AG62" i="99"/>
  <c r="BE62" i="99"/>
  <c r="BC63" i="99"/>
  <c r="FS61" i="99"/>
  <c r="FR61" i="99"/>
  <c r="FQ62" i="99"/>
  <c r="AO62" i="99"/>
  <c r="AM63" i="99"/>
  <c r="AN63" i="99" s="1"/>
  <c r="BO65" i="5"/>
  <c r="BQ64" i="5"/>
  <c r="AW63" i="5"/>
  <c r="AU64" i="5"/>
  <c r="AV64" i="5" s="1"/>
  <c r="AO62" i="5"/>
  <c r="AM63" i="5"/>
  <c r="FA67" i="5"/>
  <c r="FE67" i="5"/>
  <c r="EX67" i="5"/>
  <c r="EY67" i="5" s="1"/>
  <c r="EZ67" i="5" s="1"/>
  <c r="EW71" i="5"/>
  <c r="EX71" i="5"/>
  <c r="EQ71" i="5"/>
  <c r="ER71" i="5"/>
  <c r="EP71" i="5"/>
  <c r="AI63" i="5"/>
  <c r="AJ63" i="5" s="1"/>
  <c r="AK62" i="5"/>
  <c r="BI64" i="5"/>
  <c r="BG65" i="5"/>
  <c r="AI64" i="99" l="1"/>
  <c r="AJ64" i="99" s="1"/>
  <c r="AK63" i="99"/>
  <c r="AN63" i="5"/>
  <c r="AQ63" i="5"/>
  <c r="AR63" i="5" s="1"/>
  <c r="AS62" i="5"/>
  <c r="BK66" i="99"/>
  <c r="BM65" i="99"/>
  <c r="FV63" i="99"/>
  <c r="FW63" i="99"/>
  <c r="FU64" i="99"/>
  <c r="AQ67" i="99"/>
  <c r="AR67" i="99" s="1"/>
  <c r="AS66" i="99"/>
  <c r="BE63" i="99"/>
  <c r="BC64" i="99"/>
  <c r="AO63" i="99"/>
  <c r="AM64" i="99"/>
  <c r="AN64" i="99" s="1"/>
  <c r="FR62" i="99"/>
  <c r="FQ63" i="99"/>
  <c r="FS62" i="99"/>
  <c r="AG63" i="99"/>
  <c r="AE64" i="99"/>
  <c r="AF64" i="99" s="1"/>
  <c r="BQ65" i="5"/>
  <c r="BO66" i="5"/>
  <c r="AM64" i="5"/>
  <c r="AO63" i="5"/>
  <c r="EZ71" i="5"/>
  <c r="FA71" i="5"/>
  <c r="EY71" i="5"/>
  <c r="AW64" i="5"/>
  <c r="AU65" i="5"/>
  <c r="AV65" i="5" s="1"/>
  <c r="AK63" i="5"/>
  <c r="AI64" i="5"/>
  <c r="AJ64" i="5" s="1"/>
  <c r="BI65" i="5"/>
  <c r="BG66" i="5"/>
  <c r="AI65" i="99" l="1"/>
  <c r="AJ65" i="99" s="1"/>
  <c r="AK64" i="99"/>
  <c r="AN64" i="5"/>
  <c r="AQ64" i="5"/>
  <c r="AR64" i="5" s="1"/>
  <c r="AS63" i="5"/>
  <c r="BM66" i="99"/>
  <c r="BK67" i="99"/>
  <c r="BM67" i="99" s="1"/>
  <c r="BY11" i="92" s="1"/>
  <c r="CA11" i="92" s="1"/>
  <c r="AQ69" i="99"/>
  <c r="AS67" i="99"/>
  <c r="AS71" i="99" s="1"/>
  <c r="FU65" i="99"/>
  <c r="FW64" i="99"/>
  <c r="FV64" i="99"/>
  <c r="FQ64" i="99"/>
  <c r="FS63" i="99"/>
  <c r="FR63" i="99"/>
  <c r="BE64" i="99"/>
  <c r="BC65" i="99"/>
  <c r="AM65" i="99"/>
  <c r="AN65" i="99" s="1"/>
  <c r="AO64" i="99"/>
  <c r="AE65" i="99"/>
  <c r="AF65" i="99" s="1"/>
  <c r="AG64" i="99"/>
  <c r="BQ66" i="5"/>
  <c r="BO67" i="5"/>
  <c r="AU66" i="5"/>
  <c r="AV66" i="5" s="1"/>
  <c r="AW65" i="5"/>
  <c r="AO64" i="5"/>
  <c r="AM65" i="5"/>
  <c r="AI65" i="5"/>
  <c r="AJ65" i="5" s="1"/>
  <c r="AK64" i="5"/>
  <c r="BI66" i="5"/>
  <c r="BG67" i="5"/>
  <c r="AI66" i="99" l="1"/>
  <c r="AJ66" i="99" s="1"/>
  <c r="AK65" i="99"/>
  <c r="AN65" i="5"/>
  <c r="AS64" i="5"/>
  <c r="AQ65" i="5"/>
  <c r="AR65" i="5" s="1"/>
  <c r="FU66" i="99"/>
  <c r="FW65" i="99"/>
  <c r="FV65" i="99"/>
  <c r="AE66" i="99"/>
  <c r="AF66" i="99" s="1"/>
  <c r="AG65" i="99"/>
  <c r="AO65" i="99"/>
  <c r="AM66" i="99"/>
  <c r="AN66" i="99" s="1"/>
  <c r="BE65" i="99"/>
  <c r="BC66" i="99"/>
  <c r="FQ65" i="99"/>
  <c r="FS64" i="99"/>
  <c r="FR64" i="99"/>
  <c r="BQ67" i="5"/>
  <c r="AO65" i="5"/>
  <c r="AM66" i="5"/>
  <c r="AW66" i="5"/>
  <c r="AU67" i="5"/>
  <c r="AV67" i="5" s="1"/>
  <c r="BI67" i="5"/>
  <c r="AK65" i="5"/>
  <c r="AI66" i="5"/>
  <c r="AJ66" i="5" s="1"/>
  <c r="AK66" i="99" l="1"/>
  <c r="AI67" i="99"/>
  <c r="AJ67" i="99" s="1"/>
  <c r="AN66" i="5"/>
  <c r="AQ66" i="5"/>
  <c r="AR66" i="5" s="1"/>
  <c r="AS65" i="5"/>
  <c r="FV66" i="99"/>
  <c r="FW66" i="99"/>
  <c r="FU67" i="99"/>
  <c r="BE66" i="99"/>
  <c r="BC67" i="99"/>
  <c r="BE67" i="99" s="1"/>
  <c r="BY9" i="92" s="1"/>
  <c r="CA9" i="92" s="1"/>
  <c r="AM67" i="99"/>
  <c r="AN67" i="99" s="1"/>
  <c r="AO66" i="99"/>
  <c r="FS65" i="99"/>
  <c r="FR65" i="99"/>
  <c r="FQ66" i="99"/>
  <c r="AE67" i="99"/>
  <c r="AF67" i="99" s="1"/>
  <c r="AG66" i="99"/>
  <c r="BY7" i="92"/>
  <c r="AU69" i="5"/>
  <c r="AW71" i="5"/>
  <c r="AO66" i="5"/>
  <c r="AM67" i="5"/>
  <c r="BY5" i="92"/>
  <c r="AI67" i="5"/>
  <c r="AJ67" i="5" s="1"/>
  <c r="AK66" i="5"/>
  <c r="AI69" i="99" l="1"/>
  <c r="AK67" i="99"/>
  <c r="AK71" i="99" s="1"/>
  <c r="AN67" i="5"/>
  <c r="AK67" i="5"/>
  <c r="AK71" i="5" s="1"/>
  <c r="AQ67" i="5"/>
  <c r="AR67" i="5" s="1"/>
  <c r="AS66" i="5"/>
  <c r="FU69" i="99"/>
  <c r="FV67" i="99"/>
  <c r="FW67" i="99"/>
  <c r="AE69" i="99"/>
  <c r="AG67" i="99"/>
  <c r="AG71" i="99" s="1"/>
  <c r="FS66" i="99"/>
  <c r="FQ67" i="99"/>
  <c r="FR66" i="99"/>
  <c r="AO67" i="99"/>
  <c r="AO71" i="99" s="1"/>
  <c r="AM69" i="99"/>
  <c r="AM69" i="5"/>
  <c r="AO67" i="5"/>
  <c r="AO71" i="5" s="1"/>
  <c r="AI69" i="5"/>
  <c r="AQ69" i="5" l="1"/>
  <c r="AS67" i="5"/>
  <c r="AS71" i="5" s="1"/>
  <c r="FR67" i="99"/>
  <c r="FQ69" i="99"/>
  <c r="FS67" i="99"/>
  <c r="CA7" i="92" l="1"/>
  <c r="CA5" i="92"/>
  <c r="B1" i="92" l="1"/>
  <c r="C1" i="92"/>
  <c r="FX69" i="99" l="1"/>
  <c r="AV69" i="99"/>
  <c r="B33" i="99"/>
  <c r="AL69" i="99"/>
  <c r="AN69" i="99" s="1"/>
  <c r="AO69" i="99" s="1"/>
  <c r="E9" i="99"/>
  <c r="E4" i="99"/>
  <c r="F33" i="99"/>
  <c r="H35" i="99" s="1"/>
  <c r="AA69" i="99"/>
  <c r="AH69" i="99"/>
  <c r="AJ69" i="99" s="1"/>
  <c r="AK69" i="99" s="1"/>
  <c r="AK73" i="99" s="1"/>
  <c r="BS69" i="99"/>
  <c r="FJ69" i="99"/>
  <c r="FK69" i="99" s="1"/>
  <c r="X11" i="92" s="1"/>
  <c r="FN69" i="99"/>
  <c r="FO69" i="99" s="1"/>
  <c r="E33" i="99"/>
  <c r="AP69" i="99"/>
  <c r="AR69" i="99" s="1"/>
  <c r="AS69" i="99" s="1"/>
  <c r="FW69" i="99"/>
  <c r="FL69" i="99"/>
  <c r="FM69" i="99" s="1"/>
  <c r="D4" i="99"/>
  <c r="BN69" i="99"/>
  <c r="F9" i="99"/>
  <c r="H11" i="99" s="1"/>
  <c r="AD69" i="99"/>
  <c r="AF69" i="99" s="1"/>
  <c r="AG69" i="99" s="1"/>
  <c r="AG73" i="99" s="1"/>
  <c r="Z69" i="99"/>
  <c r="FH69" i="99"/>
  <c r="FI69" i="99" s="1"/>
  <c r="X9" i="92" s="1"/>
  <c r="FA69" i="99"/>
  <c r="FB69" i="99" s="1"/>
  <c r="D33" i="99"/>
  <c r="BI69" i="99"/>
  <c r="FV69" i="99"/>
  <c r="EI69" i="99"/>
  <c r="EJ69" i="99" s="1"/>
  <c r="EK69" i="99" s="1"/>
  <c r="DQ69" i="99"/>
  <c r="DR69" i="99" s="1"/>
  <c r="DS69" i="99" s="1"/>
  <c r="BA69" i="99"/>
  <c r="EV69" i="99"/>
  <c r="EW69" i="99" s="1"/>
  <c r="DH69" i="99"/>
  <c r="DI69" i="99" s="1"/>
  <c r="DJ69" i="99" s="1"/>
  <c r="D9" i="99"/>
  <c r="DZ69" i="99"/>
  <c r="EA69" i="99" s="1"/>
  <c r="EB69" i="99" s="1"/>
  <c r="B9" i="99"/>
  <c r="FT69" i="99"/>
  <c r="FR69" i="99" s="1"/>
  <c r="AT69" i="99"/>
  <c r="BY69" i="99"/>
  <c r="EC69" i="99"/>
  <c r="R73" i="99"/>
  <c r="BR9" i="92" s="1"/>
  <c r="AY69" i="99"/>
  <c r="CB69" i="99"/>
  <c r="BD69" i="99"/>
  <c r="DK69" i="99"/>
  <c r="BQ9" i="92"/>
  <c r="BG69" i="99"/>
  <c r="CK69" i="99"/>
  <c r="CH69" i="99"/>
  <c r="BL69" i="99"/>
  <c r="EL69" i="99"/>
  <c r="DT69" i="99"/>
  <c r="X73" i="99"/>
  <c r="BR11" i="92" s="1"/>
  <c r="BQ11" i="92"/>
  <c r="FS69" i="99" l="1"/>
  <c r="AG9" i="92"/>
  <c r="AG11" i="92"/>
  <c r="ED69" i="99"/>
  <c r="ES69" i="99" s="1"/>
  <c r="T9" i="92" s="1"/>
  <c r="EW73" i="99"/>
  <c r="EX9" i="92" s="1"/>
  <c r="EX69" i="99"/>
  <c r="EU9" i="92" s="1"/>
  <c r="EZ69" i="99"/>
  <c r="EW9" i="92" s="1"/>
  <c r="EY69" i="99"/>
  <c r="EV9" i="92" s="1"/>
  <c r="EM69" i="99"/>
  <c r="FD69" i="99"/>
  <c r="EV11" i="92" s="1"/>
  <c r="FE69" i="99"/>
  <c r="EW11" i="92" s="1"/>
  <c r="FC69" i="99"/>
  <c r="EU11" i="92" s="1"/>
  <c r="FB73" i="99"/>
  <c r="EX11" i="92" s="1"/>
  <c r="D35" i="99"/>
  <c r="F35" i="99" s="1"/>
  <c r="AO73" i="99"/>
  <c r="BT9" i="92" s="1"/>
  <c r="BS9" i="92"/>
  <c r="BW69" i="99"/>
  <c r="CS11" i="92" s="1"/>
  <c r="BU69" i="99"/>
  <c r="CY11" i="92" s="1"/>
  <c r="CP69" i="99"/>
  <c r="BB69" i="99"/>
  <c r="CY69" i="99"/>
  <c r="BJ69" i="99"/>
  <c r="D11" i="99"/>
  <c r="F11" i="99" s="1"/>
  <c r="BQ69" i="99"/>
  <c r="CQ9" i="92" s="1"/>
  <c r="AX69" i="99"/>
  <c r="AZ69" i="99" s="1"/>
  <c r="BV9" i="92" s="1"/>
  <c r="BO69" i="99"/>
  <c r="CW9" i="92" s="1"/>
  <c r="AU69" i="99"/>
  <c r="BU9" i="92" s="1"/>
  <c r="DL69" i="99"/>
  <c r="DU69" i="99"/>
  <c r="BR69" i="99"/>
  <c r="CS9" i="92" s="1"/>
  <c r="BP69" i="99"/>
  <c r="CY9" i="92" s="1"/>
  <c r="BS11" i="92"/>
  <c r="AS73" i="99"/>
  <c r="BT11" i="92" s="1"/>
  <c r="BT69" i="99"/>
  <c r="CW11" i="92" s="1"/>
  <c r="AW69" i="99"/>
  <c r="BU11" i="92" s="1"/>
  <c r="BF69" i="99"/>
  <c r="BH69" i="99" s="1"/>
  <c r="BV11" i="92" s="1"/>
  <c r="BV69" i="99"/>
  <c r="CQ11" i="92" s="1"/>
  <c r="R11" i="92" l="1"/>
  <c r="R9" i="92"/>
  <c r="ET9" i="92"/>
  <c r="ET11" i="92"/>
  <c r="DR9" i="92"/>
  <c r="ED73" i="99"/>
  <c r="EE69" i="99"/>
  <c r="EF69" i="99" s="1"/>
  <c r="EG69" i="99" s="1"/>
  <c r="DS9" i="92" s="1"/>
  <c r="S9" i="92" s="1"/>
  <c r="U9" i="92" s="1"/>
  <c r="EH69" i="99"/>
  <c r="AA9" i="92" s="1"/>
  <c r="EE73" i="99"/>
  <c r="BX69" i="99"/>
  <c r="BZ69" i="99" s="1"/>
  <c r="CA69" i="99"/>
  <c r="CC69" i="99" s="1"/>
  <c r="BC69" i="99"/>
  <c r="BE69" i="99" s="1"/>
  <c r="BX9" i="92" s="1"/>
  <c r="H44" i="99"/>
  <c r="F44" i="99" s="1"/>
  <c r="E53" i="99" s="1"/>
  <c r="C43" i="99"/>
  <c r="E43" i="99" s="1"/>
  <c r="F52" i="99" s="1"/>
  <c r="H43" i="99"/>
  <c r="F43" i="99" s="1"/>
  <c r="F53" i="99" s="1"/>
  <c r="H41" i="99"/>
  <c r="F41" i="99" s="1"/>
  <c r="H53" i="99" s="1"/>
  <c r="C46" i="99"/>
  <c r="E46" i="99" s="1"/>
  <c r="H48" i="99"/>
  <c r="F48" i="99" s="1"/>
  <c r="H47" i="99"/>
  <c r="F47" i="99" s="1"/>
  <c r="C39" i="99"/>
  <c r="E39" i="99" s="1"/>
  <c r="J52" i="99" s="1"/>
  <c r="C41" i="99"/>
  <c r="E41" i="99" s="1"/>
  <c r="H52" i="99" s="1"/>
  <c r="H42" i="99"/>
  <c r="F42" i="99" s="1"/>
  <c r="G53" i="99" s="1"/>
  <c r="C40" i="99"/>
  <c r="E40" i="99" s="1"/>
  <c r="I52" i="99" s="1"/>
  <c r="C45" i="99"/>
  <c r="E45" i="99" s="1"/>
  <c r="D52" i="99" s="1"/>
  <c r="C42" i="99"/>
  <c r="E42" i="99" s="1"/>
  <c r="G52" i="99" s="1"/>
  <c r="C47" i="99"/>
  <c r="E47" i="99" s="1"/>
  <c r="H49" i="99"/>
  <c r="F49" i="99" s="1"/>
  <c r="C48" i="99"/>
  <c r="E48" i="99" s="1"/>
  <c r="H46" i="99"/>
  <c r="F46" i="99" s="1"/>
  <c r="H45" i="99"/>
  <c r="F45" i="99" s="1"/>
  <c r="D53" i="99" s="1"/>
  <c r="H39" i="99"/>
  <c r="F39" i="99" s="1"/>
  <c r="J53" i="99" s="1"/>
  <c r="C49" i="99"/>
  <c r="E49" i="99" s="1"/>
  <c r="H40" i="99"/>
  <c r="F40" i="99" s="1"/>
  <c r="I53" i="99" s="1"/>
  <c r="C44" i="99"/>
  <c r="E44" i="99" s="1"/>
  <c r="E52" i="99" s="1"/>
  <c r="EM73" i="99"/>
  <c r="EN69" i="99"/>
  <c r="EO69" i="99" s="1"/>
  <c r="EP69" i="99" s="1"/>
  <c r="DS11" i="92" s="1"/>
  <c r="S11" i="92" s="1"/>
  <c r="DR11" i="92"/>
  <c r="EQ69" i="99"/>
  <c r="EN73" i="99"/>
  <c r="EU69" i="99"/>
  <c r="T11" i="92" s="1"/>
  <c r="BK69" i="99"/>
  <c r="BM69" i="99" s="1"/>
  <c r="BX11" i="92" s="1"/>
  <c r="CJ69" i="99"/>
  <c r="CL69" i="99" s="1"/>
  <c r="CG69" i="99"/>
  <c r="CI69" i="99" s="1"/>
  <c r="CQ69" i="99"/>
  <c r="CS69" i="99" s="1"/>
  <c r="CR69" i="99"/>
  <c r="CT69" i="99" s="1"/>
  <c r="DG9" i="92"/>
  <c r="DM69" i="99"/>
  <c r="DN69" i="99" s="1"/>
  <c r="DO69" i="99" s="1"/>
  <c r="DH9" i="92" s="1"/>
  <c r="AH9" i="92" s="1"/>
  <c r="DP69" i="99"/>
  <c r="DL73" i="99"/>
  <c r="DM73" i="99"/>
  <c r="ER69" i="99"/>
  <c r="AB9" i="92" s="1"/>
  <c r="CZ69" i="99"/>
  <c r="DB69" i="99" s="1"/>
  <c r="DA69" i="99"/>
  <c r="DC69" i="99" s="1"/>
  <c r="DD69" i="99" s="1"/>
  <c r="DE69" i="99" s="1"/>
  <c r="DU73" i="99"/>
  <c r="DY69" i="99"/>
  <c r="DV69" i="99"/>
  <c r="DW69" i="99" s="1"/>
  <c r="DX69" i="99" s="1"/>
  <c r="DH11" i="92" s="1"/>
  <c r="AH11" i="92" s="1"/>
  <c r="DG11" i="92"/>
  <c r="DV73" i="99"/>
  <c r="ET69" i="99"/>
  <c r="AB11" i="92" s="1"/>
  <c r="H16" i="99"/>
  <c r="F16" i="99" s="1"/>
  <c r="I29" i="99" s="1"/>
  <c r="H25" i="99"/>
  <c r="F25" i="99" s="1"/>
  <c r="C16" i="99"/>
  <c r="E16" i="99" s="1"/>
  <c r="I28" i="99" s="1"/>
  <c r="H19" i="99"/>
  <c r="F19" i="99" s="1"/>
  <c r="C22" i="99"/>
  <c r="E22" i="99" s="1"/>
  <c r="H15" i="99"/>
  <c r="F15" i="99" s="1"/>
  <c r="J29" i="99" s="1"/>
  <c r="H23" i="99"/>
  <c r="F23" i="99" s="1"/>
  <c r="C19" i="99"/>
  <c r="E19" i="99" s="1"/>
  <c r="H17" i="99"/>
  <c r="F17" i="99" s="1"/>
  <c r="H24" i="99"/>
  <c r="F24" i="99" s="1"/>
  <c r="C17" i="99"/>
  <c r="E17" i="99" s="1"/>
  <c r="H22" i="99"/>
  <c r="F22" i="99" s="1"/>
  <c r="C24" i="99"/>
  <c r="E24" i="99" s="1"/>
  <c r="H20" i="99"/>
  <c r="F20" i="99" s="1"/>
  <c r="C15" i="99"/>
  <c r="E15" i="99" s="1"/>
  <c r="J28" i="99" s="1"/>
  <c r="C25" i="99"/>
  <c r="E25" i="99" s="1"/>
  <c r="C23" i="99"/>
  <c r="E23" i="99" s="1"/>
  <c r="H21" i="99"/>
  <c r="F21" i="99" s="1"/>
  <c r="H18" i="99"/>
  <c r="F18" i="99" s="1"/>
  <c r="C21" i="99"/>
  <c r="E21" i="99" s="1"/>
  <c r="C18" i="99"/>
  <c r="E18" i="99" s="1"/>
  <c r="C20" i="99"/>
  <c r="E20" i="99" s="1"/>
  <c r="U11" i="92" l="1"/>
  <c r="B52" i="99"/>
  <c r="C53" i="99"/>
  <c r="C52" i="99"/>
  <c r="B53" i="99"/>
  <c r="D28" i="99"/>
  <c r="F28" i="99"/>
  <c r="H28" i="99"/>
  <c r="F29" i="99"/>
  <c r="H29" i="99"/>
  <c r="C29" i="99"/>
  <c r="B28" i="99"/>
  <c r="CU69" i="99"/>
  <c r="CV69" i="99" s="1"/>
  <c r="E28" i="99"/>
  <c r="G28" i="99"/>
  <c r="D29" i="99"/>
  <c r="E29" i="99"/>
  <c r="G29" i="99"/>
  <c r="C28" i="99"/>
  <c r="B29" i="99"/>
  <c r="W9" i="92"/>
  <c r="V9" i="92"/>
  <c r="EF73" i="99"/>
  <c r="EG73" i="99"/>
  <c r="EH73" i="99"/>
  <c r="CD69" i="99"/>
  <c r="CE69" i="99" s="1"/>
  <c r="CF69" i="99" s="1"/>
  <c r="CB9" i="92" s="1"/>
  <c r="O9" i="92" s="1"/>
  <c r="CM69" i="99"/>
  <c r="CN69" i="99" s="1"/>
  <c r="CO69" i="99" s="1"/>
  <c r="CB11" i="92" s="1"/>
  <c r="O11" i="92" s="1"/>
  <c r="DX73" i="99"/>
  <c r="DW73" i="99"/>
  <c r="DY73" i="99"/>
  <c r="Z11" i="92"/>
  <c r="DN73" i="99"/>
  <c r="Z9" i="92"/>
  <c r="DO73" i="99"/>
  <c r="DP73" i="99"/>
  <c r="EQ73" i="99"/>
  <c r="AA11" i="92"/>
  <c r="EO73" i="99"/>
  <c r="EP73" i="99"/>
  <c r="CX69" i="99"/>
  <c r="CM9" i="92" s="1"/>
  <c r="CU73" i="99"/>
  <c r="CT73" i="99" s="1"/>
  <c r="CH9" i="92" s="1"/>
  <c r="CW69" i="99"/>
  <c r="CJ9" i="92" s="1"/>
  <c r="CV73" i="99"/>
  <c r="CW73" i="99" s="1"/>
  <c r="CI9" i="92" s="1"/>
  <c r="CE9" i="92"/>
  <c r="DG69" i="99"/>
  <c r="CM11" i="92" s="1"/>
  <c r="DD73" i="99"/>
  <c r="DC73" i="99" s="1"/>
  <c r="CH11" i="92" s="1"/>
  <c r="DE73" i="99"/>
  <c r="DF73" i="99" s="1"/>
  <c r="CI11" i="92" s="1"/>
  <c r="CE11" i="92"/>
  <c r="DF69" i="99"/>
  <c r="CJ11" i="92" s="1"/>
  <c r="EP9" i="92" l="1"/>
  <c r="BG7" i="92"/>
  <c r="EO9" i="92"/>
  <c r="BH5" i="92"/>
  <c r="EO5" i="92" s="1"/>
  <c r="EO11" i="92"/>
  <c r="BH7" i="92"/>
  <c r="EO7" i="92" s="1"/>
  <c r="BI5" i="92"/>
  <c r="EP5" i="92" s="1"/>
  <c r="BG5" i="92"/>
  <c r="BD7" i="92"/>
  <c r="R69" i="5"/>
  <c r="BC5" i="92"/>
  <c r="Q69" i="5"/>
  <c r="AH69" i="5" s="1"/>
  <c r="C11" i="92"/>
  <c r="P69" i="5"/>
  <c r="O69" i="5"/>
  <c r="BZ11" i="92"/>
  <c r="EP11" i="92"/>
  <c r="BB7" i="92"/>
  <c r="N69" i="5"/>
  <c r="X69" i="5"/>
  <c r="BI7" i="92"/>
  <c r="EP7" i="92" s="1"/>
  <c r="BC7" i="92"/>
  <c r="BZ9" i="92"/>
  <c r="W69" i="5"/>
  <c r="AL69" i="5" s="1"/>
  <c r="U69" i="5"/>
  <c r="BD5" i="92"/>
  <c r="BB5" i="92"/>
  <c r="V69" i="5"/>
  <c r="T69" i="5"/>
  <c r="AF9" i="92" l="1"/>
  <c r="AF11" i="92"/>
  <c r="Z69" i="5"/>
  <c r="AD67" i="5" s="1"/>
  <c r="AE67" i="5" s="1"/>
  <c r="AA69" i="5"/>
  <c r="AN69" i="5"/>
  <c r="AO69" i="5" s="1"/>
  <c r="AO73" i="5" s="1"/>
  <c r="CO9" i="92"/>
  <c r="DC9" i="92"/>
  <c r="DE9" i="92"/>
  <c r="CO11" i="92"/>
  <c r="DE11" i="92"/>
  <c r="DC11" i="92"/>
  <c r="BZ69" i="5"/>
  <c r="BR69" i="5"/>
  <c r="BX69" i="5" s="1"/>
  <c r="CS5" i="92" s="1"/>
  <c r="CA69" i="5"/>
  <c r="CG69" i="5" s="1"/>
  <c r="CU7" i="92" s="1"/>
  <c r="BS69" i="5"/>
  <c r="BV69" i="5" s="1"/>
  <c r="DA5" i="92" s="1"/>
  <c r="ER9" i="92"/>
  <c r="E9" i="92"/>
  <c r="P9" i="92"/>
  <c r="D9" i="92"/>
  <c r="AE9" i="92"/>
  <c r="ER11" i="92"/>
  <c r="E11" i="92"/>
  <c r="P11" i="92"/>
  <c r="D11" i="92"/>
  <c r="AE11" i="92"/>
  <c r="BO9" i="92"/>
  <c r="BN9" i="92"/>
  <c r="M9" i="92"/>
  <c r="J9" i="92"/>
  <c r="L9" i="92"/>
  <c r="N9" i="92"/>
  <c r="K9" i="92"/>
  <c r="EN11" i="92"/>
  <c r="EM11" i="92" s="1"/>
  <c r="ES11" i="92"/>
  <c r="EN9" i="92"/>
  <c r="ES9" i="92"/>
  <c r="BO11" i="92"/>
  <c r="BN11" i="92"/>
  <c r="M11" i="92"/>
  <c r="L11" i="92"/>
  <c r="N11" i="92"/>
  <c r="K11" i="92"/>
  <c r="J11" i="92"/>
  <c r="Q11" i="92"/>
  <c r="AP11" i="92"/>
  <c r="FT69" i="5"/>
  <c r="FU69" i="5" s="1"/>
  <c r="X7" i="92" s="1"/>
  <c r="AF67" i="5"/>
  <c r="AG67" i="5" s="1"/>
  <c r="F33" i="5"/>
  <c r="E4" i="5"/>
  <c r="FX69" i="5"/>
  <c r="FY69" i="5" s="1"/>
  <c r="CU69" i="5"/>
  <c r="BP69" i="5"/>
  <c r="ED69" i="5"/>
  <c r="BQ7" i="92"/>
  <c r="CR69" i="5"/>
  <c r="EV69" i="5"/>
  <c r="BK69" i="5"/>
  <c r="X73" i="5"/>
  <c r="BR7" i="92" s="1"/>
  <c r="C7" i="92"/>
  <c r="Q7" i="92" s="1"/>
  <c r="ES5" i="92"/>
  <c r="EN5" i="92"/>
  <c r="ER7" i="92"/>
  <c r="D7" i="92"/>
  <c r="P7" i="92"/>
  <c r="E7" i="92"/>
  <c r="AP69" i="5"/>
  <c r="AR69" i="5" s="1"/>
  <c r="AS69" i="5" s="1"/>
  <c r="E9" i="5"/>
  <c r="DU69" i="5"/>
  <c r="CI69" i="5"/>
  <c r="EM69" i="5"/>
  <c r="BC69" i="5"/>
  <c r="CL69" i="5"/>
  <c r="BH69" i="5"/>
  <c r="BQ5" i="92"/>
  <c r="R73" i="5"/>
  <c r="BR5" i="92" s="1"/>
  <c r="AZ69" i="5"/>
  <c r="AX69" i="5"/>
  <c r="B9" i="5"/>
  <c r="E5" i="92"/>
  <c r="ER5" i="92"/>
  <c r="D5" i="92"/>
  <c r="P5" i="92"/>
  <c r="BN7" i="92"/>
  <c r="L7" i="92"/>
  <c r="BO7" i="92"/>
  <c r="M7" i="92"/>
  <c r="K7" i="92"/>
  <c r="J7" i="92"/>
  <c r="N7" i="92" s="1"/>
  <c r="AT69" i="5"/>
  <c r="AV69" i="5" s="1"/>
  <c r="AW69" i="5" s="1"/>
  <c r="ES69" i="5"/>
  <c r="ET69" i="5" s="1"/>
  <c r="EU69" i="5" s="1"/>
  <c r="EA69" i="5"/>
  <c r="EB69" i="5" s="1"/>
  <c r="EC69" i="5" s="1"/>
  <c r="FK69" i="5"/>
  <c r="FL69" i="5" s="1"/>
  <c r="BM69" i="5"/>
  <c r="DR69" i="5"/>
  <c r="DS69" i="5" s="1"/>
  <c r="DT69" i="5" s="1"/>
  <c r="EJ69" i="5"/>
  <c r="EK69" i="5" s="1"/>
  <c r="EL69" i="5" s="1"/>
  <c r="D9" i="5"/>
  <c r="BE69" i="5"/>
  <c r="FF69" i="5"/>
  <c r="FG69" i="5" s="1"/>
  <c r="F9" i="5"/>
  <c r="AJ69" i="5"/>
  <c r="AK69" i="5" s="1"/>
  <c r="AK73" i="5" s="1"/>
  <c r="D4" i="5"/>
  <c r="FR69" i="5"/>
  <c r="FS69" i="5" s="1"/>
  <c r="X5" i="92" s="1"/>
  <c r="FV69" i="5"/>
  <c r="FW69" i="5" s="1"/>
  <c r="K5" i="92"/>
  <c r="J5" i="92"/>
  <c r="N5" i="92" s="1"/>
  <c r="L5" i="92"/>
  <c r="BO5" i="92"/>
  <c r="BN5" i="92"/>
  <c r="M5" i="92"/>
  <c r="EN7" i="92"/>
  <c r="ES7" i="92"/>
  <c r="EM9" i="92" l="1"/>
  <c r="CD69" i="5"/>
  <c r="DA7" i="92" s="1"/>
  <c r="BY69" i="5"/>
  <c r="CU5" i="92" s="1"/>
  <c r="BU69" i="5"/>
  <c r="CY5" i="92" s="1"/>
  <c r="EY9" i="92"/>
  <c r="EY11" i="92"/>
  <c r="I9" i="92"/>
  <c r="C9" i="92" s="1"/>
  <c r="EW69" i="5"/>
  <c r="EX73" i="5" s="1"/>
  <c r="EE69" i="5"/>
  <c r="EF69" i="5" s="1"/>
  <c r="EG69" i="5" s="1"/>
  <c r="EH69" i="5" s="1"/>
  <c r="DH7" i="92" s="1"/>
  <c r="AH7" i="92" s="1"/>
  <c r="AP7" i="92" s="1"/>
  <c r="AB69" i="5"/>
  <c r="DV69" i="5"/>
  <c r="EN69" i="5"/>
  <c r="DR5" i="92" s="1"/>
  <c r="CB69" i="5"/>
  <c r="CW7" i="92" s="1"/>
  <c r="BA69" i="5"/>
  <c r="BU7" i="92" s="1"/>
  <c r="CE69" i="5"/>
  <c r="CQ7" i="92" s="1"/>
  <c r="BJ69" i="5"/>
  <c r="BL69" i="5" s="1"/>
  <c r="BV7" i="92" s="1"/>
  <c r="AS73" i="5"/>
  <c r="BT5" i="92" s="1"/>
  <c r="BS5" i="92"/>
  <c r="D35" i="5"/>
  <c r="DI69" i="5"/>
  <c r="BN69" i="5"/>
  <c r="FI69" i="5"/>
  <c r="EV5" i="92" s="1"/>
  <c r="FH69" i="5"/>
  <c r="EU5" i="92" s="1"/>
  <c r="FJ69" i="5"/>
  <c r="EW5" i="92" s="1"/>
  <c r="FG73" i="5"/>
  <c r="EX5" i="92" s="1"/>
  <c r="FO69" i="5"/>
  <c r="EW7" i="92" s="1"/>
  <c r="FN69" i="5"/>
  <c r="EV7" i="92" s="1"/>
  <c r="FL73" i="5"/>
  <c r="EX7" i="92" s="1"/>
  <c r="FM69" i="5"/>
  <c r="EU7" i="92" s="1"/>
  <c r="AW73" i="5"/>
  <c r="BT7" i="92" s="1"/>
  <c r="BS7" i="92"/>
  <c r="BU5" i="92"/>
  <c r="BT69" i="5"/>
  <c r="CW5" i="92" s="1"/>
  <c r="BB69" i="5"/>
  <c r="BD69" i="5" s="1"/>
  <c r="BV5" i="92" s="1"/>
  <c r="BW69" i="5"/>
  <c r="CQ5" i="92" s="1"/>
  <c r="AG5" i="92"/>
  <c r="EM7" i="92"/>
  <c r="EY7" i="92"/>
  <c r="I5" i="92"/>
  <c r="C5" i="92" s="1"/>
  <c r="Q5" i="92" s="1"/>
  <c r="F11" i="5"/>
  <c r="BF69" i="5"/>
  <c r="CZ69" i="5"/>
  <c r="EM5" i="92"/>
  <c r="EY5" i="92"/>
  <c r="AG7" i="92"/>
  <c r="AB69" i="99"/>
  <c r="BP9" i="92" s="1"/>
  <c r="AC69" i="5"/>
  <c r="BP7" i="92" s="1"/>
  <c r="AC69" i="99"/>
  <c r="BP11" i="92" s="1"/>
  <c r="CF69" i="5"/>
  <c r="CS7" i="92" s="1"/>
  <c r="CC69" i="5"/>
  <c r="CY7" i="92" s="1"/>
  <c r="FB69" i="5" l="1"/>
  <c r="AB5" i="92" s="1"/>
  <c r="DU73" i="5"/>
  <c r="F35" i="5"/>
  <c r="C43" i="5" s="1"/>
  <c r="E43" i="5" s="1"/>
  <c r="F52" i="5" s="1"/>
  <c r="BP5" i="92"/>
  <c r="DC7" i="92"/>
  <c r="DC5" i="92"/>
  <c r="Q9" i="92"/>
  <c r="AP9" i="92"/>
  <c r="DR7" i="92"/>
  <c r="EW73" i="5"/>
  <c r="FA69" i="5"/>
  <c r="EY73" i="5" s="1"/>
  <c r="EX69" i="5"/>
  <c r="EY69" i="5" s="1"/>
  <c r="EZ69" i="5" s="1"/>
  <c r="DS7" i="92" s="1"/>
  <c r="S7" i="92" s="1"/>
  <c r="U7" i="92" s="1"/>
  <c r="FE69" i="5"/>
  <c r="T7" i="92" s="1"/>
  <c r="EF73" i="5"/>
  <c r="DG7" i="92"/>
  <c r="FD69" i="5"/>
  <c r="AB7" i="92" s="1"/>
  <c r="AD7" i="92" s="1"/>
  <c r="EI69" i="5"/>
  <c r="Z7" i="92" s="1"/>
  <c r="EE73" i="5"/>
  <c r="DG5" i="92"/>
  <c r="DW73" i="5"/>
  <c r="DV73" i="5"/>
  <c r="DZ69" i="5"/>
  <c r="DY73" i="5" s="1"/>
  <c r="DW69" i="5"/>
  <c r="DX69" i="5" s="1"/>
  <c r="DY69" i="5" s="1"/>
  <c r="R5" i="92"/>
  <c r="ER69" i="5"/>
  <c r="ER73" i="5" s="1"/>
  <c r="EN73" i="5"/>
  <c r="FC69" i="5"/>
  <c r="T5" i="92" s="1"/>
  <c r="EO73" i="5"/>
  <c r="EO69" i="5"/>
  <c r="EP69" i="5" s="1"/>
  <c r="EQ69" i="5" s="1"/>
  <c r="DS5" i="92" s="1"/>
  <c r="S5" i="92" s="1"/>
  <c r="R7" i="92"/>
  <c r="DB69" i="5"/>
  <c r="DD69" i="5" s="1"/>
  <c r="DA69" i="5"/>
  <c r="DC69" i="5" s="1"/>
  <c r="ET5" i="92"/>
  <c r="CT69" i="5"/>
  <c r="CV69" i="5" s="1"/>
  <c r="BO69" i="5"/>
  <c r="BQ69" i="5" s="1"/>
  <c r="BX7" i="92" s="1"/>
  <c r="BZ7" i="92" s="1"/>
  <c r="AE7" i="92" s="1"/>
  <c r="CQ69" i="5"/>
  <c r="CS69" i="5" s="1"/>
  <c r="CK69" i="5"/>
  <c r="CM69" i="5" s="1"/>
  <c r="BG69" i="5"/>
  <c r="BI69" i="5" s="1"/>
  <c r="BX5" i="92" s="1"/>
  <c r="BZ5" i="92" s="1"/>
  <c r="AE5" i="92" s="1"/>
  <c r="CH69" i="5"/>
  <c r="CJ69" i="5" s="1"/>
  <c r="H21" i="5"/>
  <c r="F21" i="5" s="1"/>
  <c r="C20" i="5"/>
  <c r="E20" i="5" s="1"/>
  <c r="C19" i="5"/>
  <c r="E19" i="5" s="1"/>
  <c r="H19" i="5"/>
  <c r="F19" i="5" s="1"/>
  <c r="H16" i="5"/>
  <c r="F16" i="5" s="1"/>
  <c r="I29" i="5" s="1"/>
  <c r="C18" i="5"/>
  <c r="E18" i="5" s="1"/>
  <c r="H20" i="5"/>
  <c r="F20" i="5" s="1"/>
  <c r="H22" i="5"/>
  <c r="F22" i="5" s="1"/>
  <c r="H25" i="5"/>
  <c r="F25" i="5" s="1"/>
  <c r="C17" i="5"/>
  <c r="E17" i="5" s="1"/>
  <c r="H15" i="5"/>
  <c r="F15" i="5" s="1"/>
  <c r="J29" i="5" s="1"/>
  <c r="H18" i="5"/>
  <c r="F18" i="5" s="1"/>
  <c r="C23" i="5"/>
  <c r="E23" i="5" s="1"/>
  <c r="H24" i="5"/>
  <c r="F24" i="5" s="1"/>
  <c r="C25" i="5"/>
  <c r="E25" i="5" s="1"/>
  <c r="C22" i="5"/>
  <c r="E22" i="5" s="1"/>
  <c r="C24" i="5"/>
  <c r="E24" i="5" s="1"/>
  <c r="C21" i="5"/>
  <c r="E21" i="5" s="1"/>
  <c r="C16" i="5"/>
  <c r="E16" i="5" s="1"/>
  <c r="I28" i="5" s="1"/>
  <c r="C15" i="5"/>
  <c r="E15" i="5" s="1"/>
  <c r="J28" i="5" s="1"/>
  <c r="H23" i="5"/>
  <c r="F23" i="5" s="1"/>
  <c r="H17" i="5"/>
  <c r="F17" i="5" s="1"/>
  <c r="ET7" i="92"/>
  <c r="DK69" i="5"/>
  <c r="DM69" i="5" s="1"/>
  <c r="DJ69" i="5"/>
  <c r="DL69" i="5" s="1"/>
  <c r="C39" i="5" l="1"/>
  <c r="E39" i="5" s="1"/>
  <c r="J52" i="5" s="1"/>
  <c r="AC9" i="92"/>
  <c r="AC11" i="92"/>
  <c r="AD9" i="92"/>
  <c r="AD11" i="92"/>
  <c r="H43" i="5"/>
  <c r="F43" i="5" s="1"/>
  <c r="F53" i="5" s="1"/>
  <c r="H46" i="5"/>
  <c r="F46" i="5" s="1"/>
  <c r="C46" i="5"/>
  <c r="E46" i="5" s="1"/>
  <c r="C44" i="5"/>
  <c r="E44" i="5" s="1"/>
  <c r="E52" i="5" s="1"/>
  <c r="H45" i="5"/>
  <c r="F45" i="5" s="1"/>
  <c r="D53" i="5" s="1"/>
  <c r="C40" i="5"/>
  <c r="E40" i="5" s="1"/>
  <c r="I52" i="5" s="1"/>
  <c r="C42" i="5"/>
  <c r="E42" i="5" s="1"/>
  <c r="G52" i="5" s="1"/>
  <c r="C41" i="5"/>
  <c r="E41" i="5" s="1"/>
  <c r="H52" i="5" s="1"/>
  <c r="C45" i="5"/>
  <c r="E45" i="5" s="1"/>
  <c r="D52" i="5" s="1"/>
  <c r="H39" i="5"/>
  <c r="F39" i="5" s="1"/>
  <c r="J53" i="5" s="1"/>
  <c r="H47" i="5"/>
  <c r="F47" i="5" s="1"/>
  <c r="B52" i="5" s="1"/>
  <c r="C48" i="5"/>
  <c r="E48" i="5" s="1"/>
  <c r="H48" i="5"/>
  <c r="F48" i="5" s="1"/>
  <c r="C49" i="5"/>
  <c r="E49" i="5" s="1"/>
  <c r="H40" i="5"/>
  <c r="F40" i="5" s="1"/>
  <c r="I53" i="5" s="1"/>
  <c r="H49" i="5"/>
  <c r="F49" i="5" s="1"/>
  <c r="C47" i="5"/>
  <c r="E47" i="5" s="1"/>
  <c r="C52" i="5" s="1"/>
  <c r="H42" i="5"/>
  <c r="F42" i="5" s="1"/>
  <c r="G53" i="5" s="1"/>
  <c r="H44" i="5"/>
  <c r="F44" i="5" s="1"/>
  <c r="E53" i="5" s="1"/>
  <c r="H41" i="5"/>
  <c r="F41" i="5" s="1"/>
  <c r="H53" i="5" s="1"/>
  <c r="DH5" i="92"/>
  <c r="AH5" i="92" s="1"/>
  <c r="AP5" i="92" s="1"/>
  <c r="AY5" i="92"/>
  <c r="EG5" i="92"/>
  <c r="AO5" i="92"/>
  <c r="D29" i="5"/>
  <c r="F29" i="5"/>
  <c r="F28" i="5"/>
  <c r="G29" i="5"/>
  <c r="E29" i="5"/>
  <c r="H29" i="5"/>
  <c r="D28" i="5"/>
  <c r="H28" i="5"/>
  <c r="G28" i="5"/>
  <c r="E28" i="5"/>
  <c r="AA7" i="92"/>
  <c r="FA73" i="5"/>
  <c r="EZ73" i="5"/>
  <c r="AC7" i="92"/>
  <c r="EI73" i="5"/>
  <c r="EH73" i="5"/>
  <c r="EG73" i="5"/>
  <c r="AC5" i="92"/>
  <c r="AD5" i="92"/>
  <c r="DZ73" i="5"/>
  <c r="DX73" i="5"/>
  <c r="Z5" i="92"/>
  <c r="EP73" i="5"/>
  <c r="U5" i="92"/>
  <c r="AA5" i="92"/>
  <c r="EQ73" i="5"/>
  <c r="DE69" i="5"/>
  <c r="DF69" i="5" s="1"/>
  <c r="DH69" i="5" s="1"/>
  <c r="CM5" i="92" s="1"/>
  <c r="CN69" i="5"/>
  <c r="CO69" i="5" s="1"/>
  <c r="CP69" i="5" s="1"/>
  <c r="CB5" i="92" s="1"/>
  <c r="O5" i="92" s="1"/>
  <c r="DN69" i="5"/>
  <c r="DO69" i="5" s="1"/>
  <c r="C29" i="5"/>
  <c r="B28" i="5"/>
  <c r="B29" i="5"/>
  <c r="C28" i="5"/>
  <c r="CW69" i="5"/>
  <c r="CX69" i="5" s="1"/>
  <c r="CY69" i="5" s="1"/>
  <c r="CB7" i="92" s="1"/>
  <c r="O7" i="92" s="1"/>
  <c r="W7" i="92" l="1"/>
  <c r="V11" i="92"/>
  <c r="W11" i="92"/>
  <c r="C53" i="5"/>
  <c r="B53" i="5"/>
  <c r="AW5" i="92"/>
  <c r="AR5" i="92"/>
  <c r="AV5" i="92"/>
  <c r="AQ5" i="92"/>
  <c r="AU5" i="92"/>
  <c r="AT5" i="92"/>
  <c r="V7" i="92"/>
  <c r="W5" i="92"/>
  <c r="V5" i="92"/>
  <c r="CE5" i="92"/>
  <c r="DG69" i="5"/>
  <c r="CJ5" i="92" s="1"/>
  <c r="DF73" i="5"/>
  <c r="DG73" i="5" s="1"/>
  <c r="CI5" i="92" s="1"/>
  <c r="DE73" i="5"/>
  <c r="DD73" i="5" s="1"/>
  <c r="CH5" i="92" s="1"/>
  <c r="CE7" i="92"/>
  <c r="DN73" i="5"/>
  <c r="DM73" i="5" s="1"/>
  <c r="CH7" i="92" s="1"/>
  <c r="DQ69" i="5"/>
  <c r="CM7" i="92" s="1"/>
  <c r="DO73" i="5"/>
  <c r="DP73" i="5" s="1"/>
  <c r="CI7" i="92" s="1"/>
  <c r="DP69" i="5"/>
  <c r="CJ7" i="92" s="1"/>
  <c r="DE7" i="92" l="1"/>
  <c r="CO7" i="92"/>
  <c r="CO5" i="92"/>
  <c r="DE5" i="92"/>
  <c r="AS5" i="92"/>
  <c r="AX5" i="92"/>
  <c r="AL5" i="92" s="1"/>
  <c r="AF5" i="92"/>
  <c r="AF7" i="92"/>
  <c r="EK5" i="92" l="1"/>
  <c r="EF5" i="92"/>
  <c r="EE5" i="92"/>
  <c r="EL5" i="92"/>
  <c r="AM5" i="9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A9" authorId="0" shapeId="0" xr:uid="{00000000-0006-0000-0500-000001000000}">
      <text>
        <r>
          <rPr>
            <sz val="8"/>
            <color indexed="81"/>
            <rFont val="Garamond"/>
            <family val="1"/>
          </rPr>
          <t>Range between 15% to 20%.</t>
        </r>
      </text>
    </comment>
    <comment ref="C25" authorId="0" shapeId="0" xr:uid="{00000000-0006-0000-0500-000002000000}">
      <text>
        <r>
          <rPr>
            <sz val="8"/>
            <color indexed="81"/>
            <rFont val="Tahoma"/>
            <family val="2"/>
          </rPr>
          <t>0.01% or Rs. 20/Trade whichever is lower.</t>
        </r>
      </text>
    </comment>
    <comment ref="D25" authorId="0" shapeId="0" xr:uid="{00000000-0006-0000-0500-000003000000}">
      <text>
        <r>
          <rPr>
            <sz val="8"/>
            <color indexed="81"/>
            <rFont val="Tahoma"/>
            <family val="2"/>
          </rPr>
          <t>Exchange Transaction Charges + Clearing Charges.</t>
        </r>
      </text>
    </comment>
    <comment ref="E25" authorId="0" shapeId="0" xr:uid="{00000000-0006-0000-0500-000004000000}">
      <text>
        <r>
          <rPr>
            <sz val="8"/>
            <color indexed="81"/>
            <rFont val="Tahoma"/>
            <family val="2"/>
          </rPr>
          <t>This is charged at 12 % of the total cost of brokerage plus transaction charges.</t>
        </r>
      </text>
    </comment>
    <comment ref="F25" authorId="0" shapeId="0" xr:uid="{00000000-0006-0000-0500-000005000000}">
      <text>
        <r>
          <rPr>
            <sz val="8"/>
            <color indexed="81"/>
            <rFont val="Tahoma"/>
            <family val="2"/>
          </rPr>
          <t>This is charged at 2% of the Service Tax.</t>
        </r>
      </text>
    </comment>
    <comment ref="G25" authorId="0" shapeId="0" xr:uid="{00000000-0006-0000-0500-000006000000}">
      <text>
        <r>
          <rPr>
            <sz val="8"/>
            <color indexed="81"/>
            <rFont val="Tahoma"/>
            <family val="2"/>
          </rPr>
          <t>This is charged at 1% of the Service Tax.</t>
        </r>
      </text>
    </comment>
    <comment ref="H25" authorId="0" shapeId="0" xr:uid="{00000000-0006-0000-0500-000007000000}">
      <text>
        <r>
          <rPr>
            <sz val="8"/>
            <color indexed="81"/>
            <rFont val="Tahoma"/>
            <family val="2"/>
          </rPr>
          <t xml:space="preserve">This is charged at Rs 20 per crore. </t>
        </r>
      </text>
    </comment>
    <comment ref="J25" authorId="0" shapeId="0" xr:uid="{00000000-0006-0000-0500-000008000000}">
      <text>
        <r>
          <rPr>
            <sz val="8"/>
            <color indexed="81"/>
            <rFont val="Tahoma"/>
            <family val="2"/>
          </rPr>
          <t>This is charged only on the sell side for intraday and F&amp;O trades. It is charged on both sides for Delivery trades in Equity.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Pankaj Parimal</author>
    <author>Anne Parimal</author>
  </authors>
  <commentList>
    <comment ref="T2" authorId="0" shapeId="0" xr:uid="{00000000-0006-0000-0600-000001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8 Days from the Last Traded Price / Close and then divide this figure by the VW ATR of 8 Days.
[LTP - Avg. HLC(8)] / ATR(8)
- The above calculation 'Normalises' the Price across the Markets.
- The Strongest Markets have the Highest values, while the Weakest Markets have the Lowest values.</t>
        </r>
      </text>
    </comment>
    <comment ref="AB2" authorId="0" shapeId="0" xr:uid="{00000000-0006-0000-0600-000002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21 Days from the Last Traded Price / Close and then divide this figure by the VW ATR of 21 Days.
[LTP - Avg. HLC(21)] / ATR(21)
- The above calculation 'Normalises' the Price across the Markets.
- The Strongest Markets have the Highest values, while the Weakest Markets have the Lowest values.</t>
        </r>
      </text>
    </comment>
    <comment ref="AJ2" authorId="1" shapeId="0" xr:uid="{00000000-0006-0000-0600-000003000000}">
      <text>
        <r>
          <rPr>
            <b/>
            <sz val="9"/>
            <color indexed="81"/>
            <rFont val="Garamond"/>
            <family val="1"/>
          </rPr>
          <t>Strategy Type :-
A] MFI Crossover :
1. M34-1 (34 SMA - Long)
2. M34-2 (34 SMA - Short)
3. M13-1 (13 SMA - Long)
4. M13-2 (13 SMA - Short)
B] Price Crossover :</t>
        </r>
        <r>
          <rPr>
            <sz val="9"/>
            <color indexed="81"/>
            <rFont val="Garamond"/>
            <family val="1"/>
          </rPr>
          <t xml:space="preserve">
</t>
        </r>
        <r>
          <rPr>
            <b/>
            <sz val="9"/>
            <color indexed="81"/>
            <rFont val="Garamond"/>
            <family val="1"/>
          </rPr>
          <t>1. P34-1 (34 SMA - Long)
2. P34-2 (34 SMA - Short)
3. P13-1 (13 SMA - Long)
4. P13-2 (13 SMA - Short)</t>
        </r>
        <r>
          <rPr>
            <sz val="9"/>
            <color indexed="81"/>
            <rFont val="Tahoma"/>
            <family val="2"/>
          </rPr>
          <t xml:space="preserve">
</t>
        </r>
      </text>
    </comment>
    <comment ref="AU2" authorId="2" shapeId="0" xr:uid="{00000000-0006-0000-0600-000004000000}">
      <text>
        <r>
          <rPr>
            <sz val="9"/>
            <color indexed="81"/>
            <rFont val="Garamond"/>
            <family val="1"/>
          </rPr>
          <t>The assumption made here is that the Trade will be squared off on separate days and hence, the transactions will appear on 2 separate Contract Notes.</t>
        </r>
      </text>
    </comment>
    <comment ref="AV2" authorId="2" shapeId="0" xr:uid="{00000000-0006-0000-0600-000005000000}">
      <text>
        <r>
          <rPr>
            <sz val="9"/>
            <color indexed="81"/>
            <rFont val="Tahoma"/>
            <family val="2"/>
          </rPr>
          <t>STT is actually charged only when the Scrip is Sold. But since any Transaction, the scrip will have to be Sold while squaring off the transaction. Hence, here, this charge has been levied irrespective of the scrip being Bought or Sold.
The real formul is as follows :
IF(OR(AND(AU3="Buy",AU4="Buy"),AND(AU3="Sell",AU4="Sell")),"Error",IF(AV3="Yes",IF(AU3="Sell",(BT3*0.017%),IF(AU4="Sell",(BT4*0.017%),0)),0))</t>
        </r>
      </text>
    </comment>
    <comment ref="AW2" authorId="2" shapeId="0" xr:uid="{00000000-0006-0000-0600-000006000000}">
      <text>
        <r>
          <rPr>
            <sz val="9"/>
            <color indexed="81"/>
            <rFont val="Tahoma"/>
            <family val="2"/>
          </rPr>
          <t>Slippage is taken @ 0.04% of the Price.
Hence, in case of Buy, 0.04% is added to the Buy Price, while in case of Sell, 0.04% is deducted from the Sell Price.</t>
        </r>
      </text>
    </comment>
    <comment ref="EO2" authorId="0" shapeId="0" xr:uid="{00000000-0006-0000-0600-000007000000}">
      <text>
        <r>
          <rPr>
            <b/>
            <sz val="8"/>
            <color indexed="81"/>
            <rFont val="Garamond"/>
            <family val="1"/>
          </rPr>
          <t>Press "Ctrl + Shift + R" to get the current values of RAVI &amp; RSI in Column Y.
Press "Ctrl + Shift + D" to delete the values of RAVI &amp; RSI in Column Y.</t>
        </r>
      </text>
    </comment>
    <comment ref="EP2" authorId="0" shapeId="0" xr:uid="{00000000-0006-0000-0600-000008000000}">
      <text>
        <r>
          <rPr>
            <b/>
            <sz val="8"/>
            <color indexed="81"/>
            <rFont val="Garamond"/>
            <family val="1"/>
          </rPr>
          <t>Press "Ctrl + Shift + R" to get the current values of RAVI &amp; RSI in Column Y.
Press "Ctrl + Shift + D" to delete the values of RAVI &amp; RSI in Column 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Pankaj Parimal</author>
    <author xml:space="preserve"> </author>
  </authors>
  <commentList>
    <comment ref="DV2" authorId="0" shapeId="0" xr:uid="{00000000-0006-0000-0700-000001000000}">
      <text>
        <r>
          <rPr>
            <b/>
            <sz val="9"/>
            <color indexed="81"/>
            <rFont val="Garamond"/>
            <family val="1"/>
          </rPr>
          <t>Pankaj Parimal:</t>
        </r>
        <r>
          <rPr>
            <sz val="9"/>
            <color indexed="81"/>
            <rFont val="Garamond"/>
            <family val="1"/>
          </rPr>
          <t xml:space="preserve">
https://www.thebalance.com/how-average-true-range-atr-can-improve-trading-4154923
When to Use Normal ATR :
On the contrary, the traditional non-normalized ATR is preferred as input in risk management or position management decisions, such as the following:
- Position size (typically calculated as your risk budget / current volatility as ATR)
- Stop loss (typically the distance of stop loss price from entry price or current price is a multiple of ATR)
- Profit target (same logic as stop loss, just the other direction)
- In general, traditional non-normalized ATR is better when you are interested in absolute dollar amounts rather than percentages, which is usually when the decision relates to your particular trading capital.</t>
        </r>
      </text>
    </comment>
    <comment ref="DZ2" authorId="0" shapeId="0" xr:uid="{00000000-0006-0000-0700-000002000000}">
      <text>
        <r>
          <rPr>
            <b/>
            <sz val="9"/>
            <color indexed="81"/>
            <rFont val="Garamond"/>
            <family val="1"/>
          </rPr>
          <t>Pankaj Parimal:</t>
        </r>
        <r>
          <rPr>
            <sz val="9"/>
            <color indexed="81"/>
            <rFont val="Garamond"/>
            <family val="1"/>
          </rPr>
          <t xml:space="preserve">
Average True Range (ATR) is a very useful measure of volatility, but it has downsides. Because it is derived from range (or to be precise, true range) and expressed as absolute dollar value, it is not directly comparable across securities and over time.
For example, a stock trading around 10 with ATR of 0.5 is actually more volatile than a stock trading around 200 with a much greater ATR of 2.
The Average True Range Percent / ATRP Indicator is a variation of Welles Wilder Average True Range (ATR), which featured in his 1978 book, “New Concepts in Technical Trading Systems.” It is important to remember that the indicator does not try and predict the direction of price, instead it only tries to define the current volatility in the market. Also, it tries to define current volatility in such a way that it is comparable across all markets, which is the main difference from the traditional ATR.
ATR measures volatility at an absolute level, meaning lower priced stock will have lower ATR values than higher price stocks. ATRP displays the indicator as a percentage, to allow for securities trading at different prices per share to be compared.
How this indicator works,
- ATRP is used to measure volatility just as the Average True Range (ATR) indicator is.
- ATRP allows securities to be compared, where ATR does not.
Calculation
ATRP = (Average True Range / Close) * 100
When to Use ATRP or Normalized ATR (https://www.macroption.com/normalized-atr/) :
You should use ATRP (Normalized ATR) instead of the traditional, absolute dollar ATR particularly in these situations:
- When using ATR for stock screening (to decide which stocks or securities currently have the right volatility for your strategy or trading style).
- When using ATR as strategy filter (to decide whether the volatility is high enough or low enough to take a signal from a trading strategy, or to “turn on/off” strategies based on market volatility regime).
- When using ATR to study seasonality or volatility patterns over long periods of time.
- In general, Normalized ATR is better than traditional ATR in situations which involve comparing different securities or different periods of time.</t>
        </r>
      </text>
    </comment>
    <comment ref="EE2" authorId="0" shapeId="0" xr:uid="{00000000-0006-0000-0700-000003000000}">
      <text>
        <r>
          <rPr>
            <b/>
            <sz val="9"/>
            <color indexed="81"/>
            <rFont val="Garamond"/>
            <family val="1"/>
          </rPr>
          <t>Pankaj Parimal:</t>
        </r>
        <r>
          <rPr>
            <sz val="9"/>
            <color indexed="81"/>
            <rFont val="Garamond"/>
            <family val="1"/>
          </rPr>
          <t xml:space="preserve">
https://www.thebalance.com/how-average-true-range-atr-can-improve-trading-4154923
When to Use Normal ATR :
On the contrary, the traditional non-normalized ATR is preferred as input in risk management or position management decisions, such as the following:
- Position size (typically calculated as your risk budget / current volatility as ATR)
- Stop loss (typically the distance of stop loss price from entry price or current price is a multiple of ATR)
- Profit target (same logic as stop loss, just the other direction)
- In general, traditional non-normalized ATR is better when you are interested in absolute dollar amounts rather than percentages, which is usually when the decision relates to your particular trading capital.</t>
        </r>
      </text>
    </comment>
    <comment ref="EI2" authorId="0" shapeId="0" xr:uid="{00000000-0006-0000-0700-000004000000}">
      <text>
        <r>
          <rPr>
            <b/>
            <sz val="9"/>
            <color indexed="81"/>
            <rFont val="Garamond"/>
            <family val="1"/>
          </rPr>
          <t>Pankaj Parimal:</t>
        </r>
        <r>
          <rPr>
            <sz val="9"/>
            <color indexed="81"/>
            <rFont val="Garamond"/>
            <family val="1"/>
          </rPr>
          <t xml:space="preserve">
Average True Range (ATR) is a very useful measure of volatility, but it has downsides. Because it is derived from range (or to be precise, true range) and expressed as absolute dollar value, it is not directly comparable across securities and over time.
For example, a stock trading around 10 with ATR of 0.5 is actually more volatile than a stock trading around 200 with a much greater ATR of 2.
The Average True Range Percent / ATRP Indicator is a variation of Welles Wilder Average True Range (ATR), which featured in his 1978 book, “New Concepts in Technical Trading Systems.” It is important to remember that the indicator does not try and predict the direction of price, instead it only tries to define the current volatility in the market. Also, it tries to define current volatility in such a way that it is comparable across all markets, which is the main difference from the traditional ATR.
ATR measures volatility at an absolute level, meaning lower priced stock will have lower ATR values than higher price stocks. ATRP displays the indicator as a percentage, to allow for securities trading at different prices per share to be compared.
How this indicator works,
- ATRP is used to measure volatility just as the Average True Range (ATR) indicator is.
- ATRP allows securities to be compared, where ATR does not.
Calculation
ATRP = (Average True Range / Close) * 100
When to Use ATRP or Normalized ATR (https://www.macroption.com/normalized-atr/) :
You should use ATRP (Normalized ATR) instead of the traditional, absolute dollar ATR particularly in these situations:
- When using ATR for stock screening (to decide which stocks or securities currently have the right volatility for your strategy or trading style).
- When using ATR as strategy filter (to decide whether the volatility is high enough or low enough to take a signal from a trading strategy, or to “turn on/off” strategies based on market volatility regime).
- When using ATR to study seasonality or volatility patterns over long periods of time.
- In general, Normalized ATR is better than traditional ATR in situations which involve comparing different securities or different periods of time.</t>
        </r>
      </text>
    </comment>
    <comment ref="EN2" authorId="0" shapeId="0" xr:uid="{00000000-0006-0000-0700-000005000000}">
      <text>
        <r>
          <rPr>
            <b/>
            <sz val="9"/>
            <color indexed="81"/>
            <rFont val="Garamond"/>
            <family val="1"/>
          </rPr>
          <t>Pankaj Parimal:</t>
        </r>
        <r>
          <rPr>
            <sz val="9"/>
            <color indexed="81"/>
            <rFont val="Garamond"/>
            <family val="1"/>
          </rPr>
          <t xml:space="preserve">
https://www.thebalance.com/how-average-true-range-atr-can-improve-trading-4154923
When to Use Normal ATR :
On the contrary, the traditional non-normalized ATR is preferred as input in risk management or position management decisions, such as the following:
- Position size (typically calculated as your risk budget / current volatility as ATR)
- Stop loss (typically the distance of stop loss price from entry price or current price is a multiple of ATR)
- Profit target (same logic as stop loss, just the other direction)
- In general, traditional non-normalized ATR is better when you are interested in absolute dollar amounts rather than percentages, which is usually when the decision relates to your particular trading capital.</t>
        </r>
      </text>
    </comment>
    <comment ref="ER2" authorId="0" shapeId="0" xr:uid="{00000000-0006-0000-0700-000006000000}">
      <text>
        <r>
          <rPr>
            <b/>
            <sz val="9"/>
            <color indexed="81"/>
            <rFont val="Garamond"/>
            <family val="1"/>
          </rPr>
          <t>Pankaj Parimal:</t>
        </r>
        <r>
          <rPr>
            <sz val="9"/>
            <color indexed="81"/>
            <rFont val="Garamond"/>
            <family val="1"/>
          </rPr>
          <t xml:space="preserve">
Average True Range (ATR) is a very useful measure of volatility, but it has downsides. Because it is derived from range (or to be precise, true range) and expressed as absolute dollar value, it is not directly comparable across securities and over time.
For example, a stock trading around 10 with ATR of 0.5 is actually more volatile than a stock trading around 200 with a much greater ATR of 2.
The Average True Range Percent / ATRP Indicator is a variation of Welles Wilder Average True Range (ATR), which featured in his 1978 book, “New Concepts in Technical Trading Systems.” It is important to remember that the indicator does not try and predict the direction of price, instead it only tries to define the current volatility in the market. Also, it tries to define current volatility in such a way that it is comparable across all markets, which is the main difference from the traditional ATR.
ATR measures volatility at an absolute level, meaning lower priced stock will have lower ATR values than higher price stocks. ATRP displays the indicator as a percentage, to allow for securities trading at different prices per share to be compared.
How this indicator works,
- ATRP is used to measure volatility just as the Average True Range (ATR) indicator is.
- ATRP allows securities to be compared, where ATR does not.
Calculation
ATRP = (Average True Range / Close) * 100
When to Use ATRP or Normalized ATR (https://www.macroption.com/normalized-atr/) :
You should use ATRP (Normalized ATR) instead of the traditional, absolute dollar ATR particularly in these situations:
- When using ATR for stock screening (to decide which stocks or securities currently have the right volatility for your strategy or trading style).
- When using ATR as strategy filter (to decide whether the volatility is high enough or low enough to take a signal from a trading strategy, or to “turn on/off” strategies based on market volatility regime).
- When using ATR to study seasonality or volatility patterns over long periods of time.
- In general, Normalized ATR is better than traditional ATR in situations which involve comparing different securities or different periods of time.</t>
        </r>
      </text>
    </comment>
    <comment ref="EW2" authorId="0" shapeId="0" xr:uid="{00000000-0006-0000-0700-000007000000}">
      <text>
        <r>
          <rPr>
            <b/>
            <sz val="9"/>
            <color indexed="81"/>
            <rFont val="Garamond"/>
            <family val="1"/>
          </rPr>
          <t>Pankaj Parimal:</t>
        </r>
        <r>
          <rPr>
            <sz val="9"/>
            <color indexed="81"/>
            <rFont val="Garamond"/>
            <family val="1"/>
          </rPr>
          <t xml:space="preserve">
https://www.thebalance.com/how-average-true-range-atr-can-improve-trading-4154923
When to Use Normal ATR :
On the contrary, the traditional non-normalized ATR is preferred as input in risk management or position management decisions, such as the following:
- Position size (typically calculated as your risk budget / current volatility as ATR)
- Stop loss (typically the distance of stop loss price from entry price or current price is a multiple of ATR)
- Profit target (same logic as stop loss, just the other direction)
- In general, traditional non-normalized ATR is better when you are interested in absolute dollar amounts rather than percentages, which is usually when the decision relates to your particular trading capital.</t>
        </r>
      </text>
    </comment>
    <comment ref="FA2" authorId="0" shapeId="0" xr:uid="{00000000-0006-0000-0700-000008000000}">
      <text>
        <r>
          <rPr>
            <b/>
            <sz val="9"/>
            <color indexed="81"/>
            <rFont val="Garamond"/>
            <family val="1"/>
          </rPr>
          <t>Pankaj Parimal:</t>
        </r>
        <r>
          <rPr>
            <sz val="9"/>
            <color indexed="81"/>
            <rFont val="Garamond"/>
            <family val="1"/>
          </rPr>
          <t xml:space="preserve">
Average True Range (ATR) is a very useful measure of volatility, but it has downsides. Because it is derived from range (or to be precise, true range) and expressed as absolute dollar value, it is not directly comparable across securities and over time.
For example, a stock trading around 10 with ATR of 0.5 is actually more volatile than a stock trading around 200 with a much greater ATR of 2.
The Average True Range Percent / ATRP Indicator is a variation of Welles Wilder Average True Range (ATR), which featured in his 1978 book, “New Concepts in Technical Trading Systems.” It is important to remember that the indicator does not try and predict the direction of price, instead it only tries to define the current volatility in the market. Also, it tries to define current volatility in such a way that it is comparable across all markets, which is the main difference from the traditional ATR.
ATR measures volatility at an absolute level, meaning lower priced stock will have lower ATR values than higher price stocks. ATRP displays the indicator as a percentage, to allow for securities trading at different prices per share to be compared.
How this indicator works,
- ATRP is used to measure volatility just as the Average True Range (ATR) indicator is.
- ATRP allows securities to be compared, where ATR does not.
Calculation
ATRP = (Average True Range / Close) * 100
When to Use ATRP or Normalized ATR (https://www.macroption.com/normalized-atr/) :
You should use ATRP (Normalized ATR) instead of the traditional, absolute dollar ATR particularly in these situations:
- When using ATR for stock screening (to decide which stocks or securities currently have the right volatility for your strategy or trading style).
- When using ATR as strategy filter (to decide whether the volatility is high enough or low enough to take a signal from a trading strategy, or to “turn on/off” strategies based on market volatility regime).
- When using ATR to study seasonality or volatility patterns over long periods of time.
- In general, Normalized ATR is better than traditional ATR in situations which involve comparing different securities or different periods of time.</t>
        </r>
      </text>
    </comment>
    <comment ref="FB2" authorId="1" shapeId="0" xr:uid="{00000000-0006-0000-0700-000009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21 Days from the Last Traded Price / Close and then divide this figure by the VW ATR of 21 Days.
[LTP - Avg. HLC(21)] / ATR(21)
- The above calculation 'Normalises' the Price across the Markets.
- The Strongest Markets have the Highest values, while the Weakest Markets have the Lowest values.</t>
        </r>
      </text>
    </comment>
    <comment ref="FC2" authorId="1" shapeId="0" xr:uid="{00000000-0006-0000-0700-00000A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8 Days from the Last Traded Price / Close and then divide this figure by the VW ATR of 8 Days.
[LTP - Avg. HLC(8)] / ATR(8)
- The above calculation 'Normalises' the Price across the Markets.
- The Strongest Markets have the Highest values, while the Weakest Markets have the Lowest values.</t>
        </r>
      </text>
    </comment>
    <comment ref="FD2" authorId="1" shapeId="0" xr:uid="{00000000-0006-0000-0700-00000B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21 Days from the Last Traded Price / Close and then divide this figure by the VW ATR of 21 Days.
[LTP - Avg. HLC(21)] / ATR(21)
- The above calculation 'Normalises' the Price across the Markets.
- The Strongest Markets have the Highest values, while the Weakest Markets have the Lowest values.</t>
        </r>
      </text>
    </comment>
    <comment ref="FE2" authorId="1" shapeId="0" xr:uid="{00000000-0006-0000-0700-00000C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8 Days from the Last Traded Price / Close and then divide this figure by the VW ATR of 8 Days.
[LTP - Avg. HLC(8)] / ATR(8)
- The above calculation 'Normalises' the Price across the Markets.
- The Strongest Markets have the Highest values, while the Weakest Markets have the Lowest values.</t>
        </r>
      </text>
    </comment>
    <comment ref="G9" authorId="0" shapeId="0" xr:uid="{00000000-0006-0000-0700-00000D000000}">
      <text>
        <r>
          <rPr>
            <b/>
            <sz val="9"/>
            <color indexed="81"/>
            <rFont val="Garamond"/>
            <family val="1"/>
          </rPr>
          <t>Pankaj Parimal:</t>
        </r>
        <r>
          <rPr>
            <sz val="9"/>
            <color indexed="81"/>
            <rFont val="Garamond"/>
            <family val="1"/>
          </rPr>
          <t xml:space="preserve">
IntraDay = 0
Positional = 1</t>
        </r>
      </text>
    </comment>
    <comment ref="H11" authorId="0" shapeId="0" xr:uid="{00000000-0006-0000-0700-00000E000000}">
      <text>
        <r>
          <rPr>
            <b/>
            <sz val="9"/>
            <color indexed="81"/>
            <rFont val="Garamond"/>
            <family val="1"/>
          </rPr>
          <t>Pankaj Parimal:</t>
        </r>
        <r>
          <rPr>
            <sz val="9"/>
            <color indexed="81"/>
            <rFont val="Garamond"/>
            <family val="1"/>
          </rPr>
          <t xml:space="preserve">
0 = No
1 = Yes</t>
        </r>
      </text>
    </comment>
    <comment ref="G33" authorId="0" shapeId="0" xr:uid="{00000000-0006-0000-0700-00000F000000}">
      <text>
        <r>
          <rPr>
            <b/>
            <sz val="9"/>
            <color indexed="81"/>
            <rFont val="Garamond"/>
            <family val="1"/>
          </rPr>
          <t>Pankaj Parimal:</t>
        </r>
        <r>
          <rPr>
            <sz val="9"/>
            <color indexed="81"/>
            <rFont val="Garamond"/>
            <family val="1"/>
          </rPr>
          <t xml:space="preserve">
IntraDay = 0
Positional = 1</t>
        </r>
      </text>
    </comment>
    <comment ref="H35" authorId="0" shapeId="0" xr:uid="{00000000-0006-0000-0700-000010000000}">
      <text>
        <r>
          <rPr>
            <b/>
            <sz val="9"/>
            <color indexed="81"/>
            <rFont val="Garamond"/>
            <family val="1"/>
          </rPr>
          <t>Pankaj Parimal:</t>
        </r>
        <r>
          <rPr>
            <sz val="9"/>
            <color indexed="81"/>
            <rFont val="Garamond"/>
            <family val="1"/>
          </rPr>
          <t xml:space="preserve">
0 = No
1 = Yes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author>
    <author>Pankaj Parimal</author>
  </authors>
  <commentList>
    <comment ref="ER2" authorId="0" shapeId="0" xr:uid="{00000000-0006-0000-0E00-000001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21 Days from the Last Traded Price / Close and then divide this figure by the VW ATR of 21 Days.
[LTP - Avg. HLC(21)] / ATR(21)
- The above calculation 'Normalises' the Price across the Markets.
- The Strongest Markets have the Highest values, while the Weakest Markets have the Lowest values.</t>
        </r>
      </text>
    </comment>
    <comment ref="ES2" authorId="0" shapeId="0" xr:uid="{00000000-0006-0000-0E00-000002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8 Days from the Last Traded Price / Close and then divide this figure by the VW ATR of 8 Days.
[LTP - Avg. HLC(8)] / ATR(8)
- The above calculation 'Normalises' the Price across the Markets.
- The Strongest Markets have the Highest values, while the Weakest Markets have the Lowest values.</t>
        </r>
      </text>
    </comment>
    <comment ref="ET2" authorId="0" shapeId="0" xr:uid="{00000000-0006-0000-0E00-000003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21 Days from the Last Traded Price / Close and then divide this figure by the VW ATR of 21 Days.
[LTP - Avg. HLC(21)] / ATR(21)
- The above calculation 'Normalises' the Price across the Markets.
- The Strongest Markets have the Highest values, while the Weakest Markets have the Lowest values.</t>
        </r>
      </text>
    </comment>
    <comment ref="EU2" authorId="0" shapeId="0" xr:uid="{00000000-0006-0000-0E00-000004000000}">
      <text>
        <r>
          <rPr>
            <b/>
            <sz val="8"/>
            <color indexed="81"/>
            <rFont val="Tahoma"/>
            <family val="2"/>
          </rPr>
          <t xml:space="preserve">Page 29 - Turtle Rules by Curtis Faith :- 
</t>
        </r>
        <r>
          <rPr>
            <sz val="8"/>
            <color indexed="81"/>
            <rFont val="Tahoma"/>
            <family val="2"/>
          </rPr>
          <t>Buy Strength &amp; Sell Weakness :
- If all the signals come together, always Buy the Strongest Markets and Sell the Weakest Markets in a Group.
- Subtract the Average HLC Price of 8 Days from the Last Traded Price / Close and then divide this figure by the VW ATR of 8 Days.
[LTP - Avg. HLC(8)] / ATR(8)
- The above calculation 'Normalises' the Price across the Markets.
- The Strongest Markets have the Highest values, while the Weakest Markets have the Lowest values.</t>
        </r>
      </text>
    </comment>
    <comment ref="G9" authorId="1" shapeId="0" xr:uid="{00000000-0006-0000-0E00-000005000000}">
      <text>
        <r>
          <rPr>
            <b/>
            <sz val="9"/>
            <color indexed="81"/>
            <rFont val="Garamond"/>
            <family val="1"/>
          </rPr>
          <t>Pankaj Parimal:</t>
        </r>
        <r>
          <rPr>
            <sz val="9"/>
            <color indexed="81"/>
            <rFont val="Garamond"/>
            <family val="1"/>
          </rPr>
          <t xml:space="preserve">
IntraDay = 0
Positional = 1</t>
        </r>
      </text>
    </comment>
    <comment ref="H11" authorId="1" shapeId="0" xr:uid="{00000000-0006-0000-0E00-000006000000}">
      <text>
        <r>
          <rPr>
            <b/>
            <sz val="9"/>
            <color indexed="81"/>
            <rFont val="Garamond"/>
            <family val="1"/>
          </rPr>
          <t>Pankaj Parimal:</t>
        </r>
        <r>
          <rPr>
            <sz val="9"/>
            <color indexed="81"/>
            <rFont val="Garamond"/>
            <family val="1"/>
          </rPr>
          <t xml:space="preserve">
0 = No
1 = Yes</t>
        </r>
      </text>
    </comment>
    <comment ref="G33" authorId="1" shapeId="0" xr:uid="{00000000-0006-0000-0E00-000007000000}">
      <text>
        <r>
          <rPr>
            <b/>
            <sz val="9"/>
            <color indexed="81"/>
            <rFont val="Garamond"/>
            <family val="1"/>
          </rPr>
          <t>Pankaj Parimal:</t>
        </r>
        <r>
          <rPr>
            <sz val="9"/>
            <color indexed="81"/>
            <rFont val="Garamond"/>
            <family val="1"/>
          </rPr>
          <t xml:space="preserve">
IntraDay = 0
Positional = 1</t>
        </r>
      </text>
    </comment>
    <comment ref="H35" authorId="1" shapeId="0" xr:uid="{00000000-0006-0000-0E00-000008000000}">
      <text>
        <r>
          <rPr>
            <b/>
            <sz val="9"/>
            <color indexed="81"/>
            <rFont val="Garamond"/>
            <family val="1"/>
          </rPr>
          <t>Pankaj Parimal:</t>
        </r>
        <r>
          <rPr>
            <sz val="9"/>
            <color indexed="81"/>
            <rFont val="Garamond"/>
            <family val="1"/>
          </rPr>
          <t xml:space="preserve">
0 = No
1 = Yes</t>
        </r>
      </text>
    </comment>
  </commentList>
</comments>
</file>

<file path=xl/sharedStrings.xml><?xml version="1.0" encoding="utf-8"?>
<sst xmlns="http://schemas.openxmlformats.org/spreadsheetml/2006/main" count="1384" uniqueCount="390">
  <si>
    <t>Scrip</t>
  </si>
  <si>
    <t>Sr. No.</t>
  </si>
  <si>
    <t>Expiry</t>
  </si>
  <si>
    <t>BankNifty</t>
  </si>
  <si>
    <t>Max. Risk per Trade %</t>
  </si>
  <si>
    <t>IntraDay</t>
  </si>
  <si>
    <t>Nifty</t>
  </si>
  <si>
    <t>Trade Type</t>
  </si>
  <si>
    <t>Positional</t>
  </si>
  <si>
    <t>EOD Data</t>
  </si>
  <si>
    <t>Real Time Data</t>
  </si>
  <si>
    <t>Beta vis-à-vis Market</t>
  </si>
  <si>
    <t>Particulars</t>
  </si>
  <si>
    <t>BNF</t>
  </si>
  <si>
    <t>Date</t>
  </si>
  <si>
    <t>Prev. Day's Daily Volatility</t>
  </si>
  <si>
    <t>Curr. Day's Daily Volatility</t>
  </si>
  <si>
    <t>True Range</t>
  </si>
  <si>
    <t>Rupee Volatility / Risk
[N x Lot Size]</t>
  </si>
  <si>
    <t>Last Traded Price / Lot Size</t>
  </si>
  <si>
    <t>-</t>
  </si>
  <si>
    <t>Open</t>
  </si>
  <si>
    <t>High</t>
  </si>
  <si>
    <t>Low</t>
  </si>
  <si>
    <t>Close</t>
  </si>
  <si>
    <t>Open Price / HL Mid Point :</t>
  </si>
  <si>
    <t>Price Range :</t>
  </si>
  <si>
    <t>Angle Degree</t>
  </si>
  <si>
    <t>Degree Factor</t>
  </si>
  <si>
    <t>Resistance</t>
  </si>
  <si>
    <t>Trend Lines</t>
  </si>
  <si>
    <t>Long Entries, SL &amp; Targets</t>
  </si>
  <si>
    <t>Short Entries, SL &amp; Targets</t>
  </si>
  <si>
    <t>Support</t>
  </si>
  <si>
    <t>16X1</t>
  </si>
  <si>
    <t>1X16</t>
  </si>
  <si>
    <t>8X1</t>
  </si>
  <si>
    <t>1X8</t>
  </si>
  <si>
    <t>4X1</t>
  </si>
  <si>
    <t>1X4</t>
  </si>
  <si>
    <t>3X1</t>
  </si>
  <si>
    <t>1X3</t>
  </si>
  <si>
    <t>2X1</t>
  </si>
  <si>
    <t>1X2</t>
  </si>
  <si>
    <t>1X1</t>
  </si>
  <si>
    <t>Stop Loss</t>
  </si>
  <si>
    <t>Entry</t>
  </si>
  <si>
    <t>Target 1</t>
  </si>
  <si>
    <t>Target 2</t>
  </si>
  <si>
    <t>Target 3</t>
  </si>
  <si>
    <t>Target 4</t>
  </si>
  <si>
    <t>Target 5</t>
  </si>
  <si>
    <t>Target 6</t>
  </si>
  <si>
    <t>Target 7</t>
  </si>
  <si>
    <t>Long</t>
  </si>
  <si>
    <t>Short</t>
  </si>
  <si>
    <t>Max. ATR</t>
  </si>
  <si>
    <t>Prev. High</t>
  </si>
  <si>
    <t>Prev. Low</t>
  </si>
  <si>
    <t>Gap Zone</t>
  </si>
  <si>
    <t>Current Market Price</t>
  </si>
  <si>
    <t>O=H &amp; O=L</t>
  </si>
  <si>
    <t>Gap Up / Dn</t>
  </si>
  <si>
    <t>Gap Zone Reco.
(Fade / GA)</t>
  </si>
  <si>
    <t>Enter Buy / Sell Price</t>
  </si>
  <si>
    <t>Rank</t>
  </si>
  <si>
    <t>Transaction Value</t>
  </si>
  <si>
    <t>Brokerage</t>
  </si>
  <si>
    <t>Turnover Charges</t>
  </si>
  <si>
    <r>
      <t xml:space="preserve">Service Tax
</t>
    </r>
    <r>
      <rPr>
        <b/>
        <sz val="8"/>
        <color rgb="FF0000CC"/>
        <rFont val="Garamond"/>
        <family val="1"/>
      </rPr>
      <t>(incl. Cess)</t>
    </r>
  </si>
  <si>
    <t>SEBI Charges</t>
  </si>
  <si>
    <t>Stamp Duty Charges</t>
  </si>
  <si>
    <t>STT</t>
  </si>
  <si>
    <t>Slippage</t>
  </si>
  <si>
    <t>Total Charges</t>
  </si>
  <si>
    <t>In Market</t>
  </si>
  <si>
    <t>Ageing</t>
  </si>
  <si>
    <t>Reco.</t>
  </si>
  <si>
    <t>New Buy / Sell Reco.</t>
  </si>
  <si>
    <t>Sector Buy / Sell Reco.</t>
  </si>
  <si>
    <t>TP
10K</t>
  </si>
  <si>
    <t>Exits</t>
  </si>
  <si>
    <t>Qty</t>
  </si>
  <si>
    <t>Approx. Margin Required Per Lot</t>
  </si>
  <si>
    <t>Last Traded Price</t>
  </si>
  <si>
    <t>Scrip with Expiry</t>
  </si>
  <si>
    <t>Prev. Close</t>
  </si>
  <si>
    <t>Prev. Open</t>
  </si>
  <si>
    <t>% Diff.
(High - Low)</t>
  </si>
  <si>
    <t>Volume</t>
  </si>
  <si>
    <t>Approx. Margin Utilised</t>
  </si>
  <si>
    <r>
      <t xml:space="preserve">Gross Profit / Loss
</t>
    </r>
    <r>
      <rPr>
        <b/>
        <sz val="8"/>
        <color rgb="FF0000CC"/>
        <rFont val="Garamond"/>
        <family val="1"/>
      </rPr>
      <t>(Pre Charges)</t>
    </r>
  </si>
  <si>
    <t>Charges</t>
  </si>
  <si>
    <t>Turnover</t>
  </si>
  <si>
    <t>Service Tax</t>
  </si>
  <si>
    <t>Edu. Cess</t>
  </si>
  <si>
    <t>H. Edu. Cess</t>
  </si>
  <si>
    <t>SEBI</t>
  </si>
  <si>
    <t>Stamp</t>
  </si>
  <si>
    <t>% of Turnover</t>
  </si>
  <si>
    <t>Rate per Transaction (Rs.)</t>
  </si>
  <si>
    <t>Profit</t>
  </si>
  <si>
    <t>Loss</t>
  </si>
  <si>
    <t>Prev. Day's High/Low Break-Out</t>
  </si>
  <si>
    <t>% Change
(LTP - Prev. Close)</t>
  </si>
  <si>
    <t>% Change (High-Low Range with Open)</t>
  </si>
  <si>
    <t>High-Low Range</t>
  </si>
  <si>
    <t>Min. ATR</t>
  </si>
  <si>
    <t>Scrip Name with Expiry</t>
  </si>
  <si>
    <t>Points</t>
  </si>
  <si>
    <t>Directional Trading System :</t>
  </si>
  <si>
    <t>Avg. No. of Trades</t>
  </si>
  <si>
    <t>Beta with Nifty
(21 D)</t>
  </si>
  <si>
    <t>HL Avg. % Change
(8 Day)</t>
  </si>
  <si>
    <t>HL Avg. % Change
(13 Day)</t>
  </si>
  <si>
    <t>HL Avg. % Change
(21 Day)</t>
  </si>
  <si>
    <t>HL Avg. % Change
Status</t>
  </si>
  <si>
    <t>1 - Buy Easier Day
2 - Sell Easier Day</t>
  </si>
  <si>
    <t>IntraDay Trend
(Tom Demark Method)</t>
  </si>
  <si>
    <t>IntraDay Trend
(Modified Pivot)</t>
  </si>
  <si>
    <t>IntraDay Trend
(Impulse System)</t>
  </si>
  <si>
    <t>IntraDay Trend
(Choppy Market Index)</t>
  </si>
  <si>
    <t>IntraDay  Trend
(Buy/Sell Easier Day)</t>
  </si>
  <si>
    <t>Volume
Status</t>
  </si>
  <si>
    <t>Gap Size</t>
  </si>
  <si>
    <t>Gap Size
(%)</t>
  </si>
  <si>
    <t>Market Mode
(Trending / Choppy)</t>
  </si>
  <si>
    <t>No. of Profitable Trade</t>
  </si>
  <si>
    <t>No. of Losing Trades</t>
  </si>
  <si>
    <t>AshokLey</t>
  </si>
  <si>
    <t>AsianPaint</t>
  </si>
  <si>
    <t>Exit &amp; Reverse</t>
  </si>
  <si>
    <t>Net Profit / Loss
(Post Charges)</t>
  </si>
  <si>
    <t>%Returns
(Post Charges)</t>
  </si>
  <si>
    <t>% Reduction in Risk</t>
  </si>
  <si>
    <t>DrawDown %</t>
  </si>
  <si>
    <t>90-100%</t>
  </si>
  <si>
    <t>80-90%</t>
  </si>
  <si>
    <t>70-80%</t>
  </si>
  <si>
    <t>60-70%</t>
  </si>
  <si>
    <t>50-60%</t>
  </si>
  <si>
    <t>40-50%</t>
  </si>
  <si>
    <t>30-40%</t>
  </si>
  <si>
    <t>20-30%</t>
  </si>
  <si>
    <t>10-20%</t>
  </si>
  <si>
    <t>0-10%</t>
  </si>
  <si>
    <t>Initial Portfolio Size (Rs.)</t>
  </si>
  <si>
    <t>Current Portfolio Size (Rs.)</t>
  </si>
  <si>
    <t>Initial Max. Risk per Trade %</t>
  </si>
  <si>
    <t>Current Max. Risk per Trade %</t>
  </si>
  <si>
    <t>Best Buy Rate</t>
  </si>
  <si>
    <t>Best Sell Rate</t>
  </si>
  <si>
    <t>HLC Average</t>
  </si>
  <si>
    <t>Link this cell to the current P&amp;L</t>
  </si>
  <si>
    <t>Current P&amp;L (Rs.)</t>
  </si>
  <si>
    <t>Points till Hard Stop Loss</t>
  </si>
  <si>
    <t>Pomits till Target</t>
  </si>
  <si>
    <t>ATR Multiple for SL &amp; TP (Positional)</t>
  </si>
  <si>
    <t>ATR Multiple for SL &amp; TP (Intraday)</t>
  </si>
  <si>
    <t>ORB - Points Above / Below Entry Criteria</t>
  </si>
  <si>
    <t>Max. Positions per Scrip for Pyramiding (Positional)</t>
  </si>
  <si>
    <t>ATR Multiple for Pyramiding (Positional)</t>
  </si>
  <si>
    <t>ORB
Decision to Trade</t>
  </si>
  <si>
    <t>Reco.
ORB
(Basic)</t>
  </si>
  <si>
    <t>ORB
Enter High at 9:30 AM</t>
  </si>
  <si>
    <t>ORB
Enter Low at 9:30 AM</t>
  </si>
  <si>
    <t>ORB</t>
  </si>
  <si>
    <t>Gap Up/Dn</t>
  </si>
  <si>
    <t>RSI Cross
Decision to Trade</t>
  </si>
  <si>
    <t>SMA Cross
Decision to Trade</t>
  </si>
  <si>
    <t>ORB
In Trade</t>
  </si>
  <si>
    <t>ORB
Exit / Hold</t>
  </si>
  <si>
    <t>IntraDay (ORB, Gap Up/Dn &amp; O=H/O=L Strategies)</t>
  </si>
  <si>
    <t>Gann Angle - Trade Holding Period (Positional Trades)</t>
  </si>
  <si>
    <t>Gann Angle - Current Time</t>
  </si>
  <si>
    <t>Positional Rank
(Strong)</t>
  </si>
  <si>
    <t>Positional Rank
(Weak)</t>
  </si>
  <si>
    <t>IntraDay Rank
(Strong)</t>
  </si>
  <si>
    <t>IntraDay Rank
(Weak)</t>
  </si>
  <si>
    <t>Close x Volume</t>
  </si>
  <si>
    <t>21 Day SMA</t>
  </si>
  <si>
    <t>EOD</t>
  </si>
  <si>
    <t>RT</t>
  </si>
  <si>
    <t>Volume
(21 Day SMA)</t>
  </si>
  <si>
    <t>HLC Average x Volume</t>
  </si>
  <si>
    <t>EMA
(Open x Volume)
[13 Day]</t>
  </si>
  <si>
    <t>Open x Volume</t>
  </si>
  <si>
    <t>EMA
(Volume)
[13 Day]</t>
  </si>
  <si>
    <t>VM EMA
(Open)
[13 Day]
(Curr.)</t>
  </si>
  <si>
    <t>VM EMA
(Open)
[13 Day]
(Prev.)</t>
  </si>
  <si>
    <t>VM EMA
(HLC Average)
[5 Day]
(Curr.)</t>
  </si>
  <si>
    <t>VM EMA
(HLC Average)
[5 Day]
(Prev.)</t>
  </si>
  <si>
    <t>% Diff.
[P. Close &amp;
5 VM EMA HLC Average]
(Prev.)</t>
  </si>
  <si>
    <t>% Diff.
[LTP &amp;
5 VM EMA HLC Average]
(Curr.)</t>
  </si>
  <si>
    <t>EMA
(HLC Average x Volume)
[5 Day]</t>
  </si>
  <si>
    <t>EMA
(Volume)
[5 Day]</t>
  </si>
  <si>
    <t>VM EMA
(HLC Avg.)
[12 Day]</t>
  </si>
  <si>
    <t>VM EMA
(HLC Avg.)
[26 Day]</t>
  </si>
  <si>
    <t>EMA
(HLC Average x Volume)
[12 Day]</t>
  </si>
  <si>
    <t>EMA
(Volume)
[12 Day]</t>
  </si>
  <si>
    <t>EMA
(HLC Average x Volume)
[26 Day]</t>
  </si>
  <si>
    <t>EMA
(Volume)
[26 Day]</t>
  </si>
  <si>
    <t>VW EMA
(HLC Avg.)
[12 Day]</t>
  </si>
  <si>
    <t>EMA of (Volume)
[26 Day]</t>
  </si>
  <si>
    <t>EMA of (Volume)
[12 Day]</t>
  </si>
  <si>
    <t>VW EMA
(HLC Avg.)
[26 Day]</t>
  </si>
  <si>
    <t>HLC Average Price Change</t>
  </si>
  <si>
    <t>Relative Strength of Money Flow
(Money Flow Ratio)
[14 Day]</t>
  </si>
  <si>
    <t>Positive Money Flow
(HLC Average x Volume)</t>
  </si>
  <si>
    <t>Negative Money Flow
(HLC Average x Volume)</t>
  </si>
  <si>
    <t>VW EMA
(Volume)
[21 Day]</t>
  </si>
  <si>
    <t>Volume Weighted Averate True Range (21)
[N]</t>
  </si>
  <si>
    <t>True Range x Volume</t>
  </si>
  <si>
    <t>VW EMA
(True Range x Volume)
[21 Day]</t>
  </si>
  <si>
    <t>Max. Risk per Trade (Rs.) [Unit]</t>
  </si>
  <si>
    <t>Average True Range Percent (21)</t>
  </si>
  <si>
    <t>VW EMA
(True Range x Volume)
[8 Day]</t>
  </si>
  <si>
    <t>VW EMA
(Volume)
[8 Day]</t>
  </si>
  <si>
    <t>Average True Range Percent (8)</t>
  </si>
  <si>
    <t>Max. ATRP</t>
  </si>
  <si>
    <t>Min. ATRP</t>
  </si>
  <si>
    <t>Volume Weighted Averate True Range (8)
[N]</t>
  </si>
  <si>
    <t>Choppy Market Index
[21 Day]</t>
  </si>
  <si>
    <t>Entry
VW SMA
(Open)
[13 Day]</t>
  </si>
  <si>
    <t>Exit
VW SMA
(Close)
[5 Day]</t>
  </si>
  <si>
    <t>Entry
VW SMA
(Open)
[34 Day]</t>
  </si>
  <si>
    <t>Exit
VW SMA
(Close)
[13 Day]</t>
  </si>
  <si>
    <t>Strength / Weakness
(Based on Avg. HLC &amp; ATR)
(Positional)
[21 Day]</t>
  </si>
  <si>
    <t>Strength / Weakness
(Based on Avg. HLC &amp; ATR)
(IntraDay)
[8 Day]</t>
  </si>
  <si>
    <t>Avg. ATRP (21)</t>
  </si>
  <si>
    <t>Avg. ATRP (8)</t>
  </si>
  <si>
    <t>Log (High / Low)</t>
  </si>
  <si>
    <t>Intraday Annual Volatility
(2 Day)</t>
  </si>
  <si>
    <t>No. of Lots (P)</t>
  </si>
  <si>
    <t>No. of Lots (I)</t>
  </si>
  <si>
    <t>IAV</t>
  </si>
  <si>
    <t>IAV
(21 Day SMA)</t>
  </si>
  <si>
    <t>IAV
Status</t>
  </si>
  <si>
    <t>VW SMA
[34 Day Open]
(Curr.)</t>
  </si>
  <si>
    <t>VW SMA
[34 Day Open]
(Prev.)</t>
  </si>
  <si>
    <t>VW SMA
[13 Day Open]
(Curr.)</t>
  </si>
  <si>
    <t>VW SMA
[13 Day Open]
(Prev.)</t>
  </si>
  <si>
    <t>Margin Utilised for Long Trades
(Positional)</t>
  </si>
  <si>
    <t>Margin Utilised for Short Trades
(Positional)</t>
  </si>
  <si>
    <t>Margin Utilised for Long Trades
(IntraDay)</t>
  </si>
  <si>
    <t>Margin Utilised for Short Trades
(IntraDay)</t>
  </si>
  <si>
    <t>VW Average True Range
(21)</t>
  </si>
  <si>
    <t>VW Average True Range
(8)</t>
  </si>
  <si>
    <t>Trend Finder - MFI Up / Down Value</t>
  </si>
  <si>
    <t>Positional Trend
[VW MACD Hist., MFI(14) &amp; SMA MFI(14)]</t>
  </si>
  <si>
    <t>Max. MFI</t>
  </si>
  <si>
    <t>Min. MFI</t>
  </si>
  <si>
    <t>Max. Breach Level</t>
  </si>
  <si>
    <t>Min. Breach Level</t>
  </si>
  <si>
    <t>MFI Max. / Min. Alert Breach Level</t>
  </si>
  <si>
    <t>Enter Strategy Type</t>
  </si>
  <si>
    <t>Positional Trend
(LTP &amp; 13 VW EMA Open with 5 VW EMA HLC Avg. %Diff.)</t>
  </si>
  <si>
    <t>LTP - Prev. Close</t>
  </si>
  <si>
    <t>LTP - Curr. Open</t>
  </si>
  <si>
    <t>VM SMA
(Open)
[55 Day]
(Curr.)</t>
  </si>
  <si>
    <t>Entry
[MFI(14) &amp; SMA MFI(14) Crossover]</t>
  </si>
  <si>
    <t>Exit
[MFI(14) &amp; SMA MFI(14) Crossover]</t>
  </si>
  <si>
    <t>Common Entry
[LTP &amp; VW SMA Open] with
[MFI(14) &amp; SMA MFI(14)]</t>
  </si>
  <si>
    <t>Entry
[LTP &amp; VW SMA Open Crossover]</t>
  </si>
  <si>
    <t>Note :</t>
  </si>
  <si>
    <t>3. The Final Target will be @ 0.48 Degree Factor (86.25 Degree Angle).</t>
  </si>
  <si>
    <t>4. There are a total of 3 cycles. Once the first cycle is complete (all the targets met), then key in the latest LTP and recheck the new levels, till all the targets are met.</t>
  </si>
  <si>
    <t>5. Once Target 2 is achieved, raise the Stop Loss level to Entry Price and thereafter keep raising the SL on achieving the next Target Price.</t>
  </si>
  <si>
    <t>Use VWAP for finding trend as well as finding the Entry Price.</t>
  </si>
  <si>
    <t>Check how to calculate the Trend Finder</t>
  </si>
  <si>
    <t>http://youtu.be/v2M8aVu1q9c</t>
  </si>
  <si>
    <t>Price is 1 or 2 Digit :</t>
  </si>
  <si>
    <t>Gann Angle - Market Stabilisation Period</t>
  </si>
  <si>
    <t>6. Use the Opening Price during the Market Stabilisation Period (from 9:15 AM to 9:30 AM) and thereaafter, use the Mid Point [(H + L) / 2].</t>
  </si>
  <si>
    <t>Log (Curr. Close / Prev. Close)</t>
  </si>
  <si>
    <t>Historical Annual Volatility
(2 Day)</t>
  </si>
  <si>
    <t>1. If the Historical Annual Volatility (HAV) is &gt;= 50%, then Entry will be @ 45 Degree Angle, else it will be @ 15 Degree Angle.</t>
  </si>
  <si>
    <t>2. If the Historical Annual Volatility (HAV) is &gt;= 50%, then Target 1 will be @ 63.75 Degree Angle, else it will be @ 26.25 Degree Angle.</t>
  </si>
  <si>
    <t>Points till Target</t>
  </si>
  <si>
    <t>Gann Angle - Trade Type (IntraDay = 0 / Positional = 1)</t>
  </si>
  <si>
    <t>EOD 55 SMA</t>
  </si>
  <si>
    <t>RT 55 SMA</t>
  </si>
  <si>
    <t>HL Avg. % Change
(55 Day)</t>
  </si>
  <si>
    <t>Entry
VW SMA
(Open)
[55 Day]</t>
  </si>
  <si>
    <t>VW EMA
(Open)
[13 Day]</t>
  </si>
  <si>
    <t>VW EMA
(HLC Avg.)
[5 Day]</t>
  </si>
  <si>
    <t>VW MACD Line
(HLC Avg.)</t>
  </si>
  <si>
    <t>VW MACD Histogram
(HLC Avg.)</t>
  </si>
  <si>
    <t>VW Signal Line
(HLC Avg.)
[9 Day EMA of VW MACD]</t>
  </si>
  <si>
    <t>VW EMA
(Positive Money Flow)
(HLC Avg.)
[14 Day]</t>
  </si>
  <si>
    <t>VW EMA
(Negative Money Flow)
(HLC Avg.)
[14 Day]</t>
  </si>
  <si>
    <t>Money Flow Index
(MFI)
(HLC Avg.)
[14 Day]</t>
  </si>
  <si>
    <t>Entry
VW SMA
(MFI)
(HLC Avg.)
[34 Day]</t>
  </si>
  <si>
    <t>Exit
VW SMA
(MFI)
(HLC Avg.)
[21 Day]</t>
  </si>
  <si>
    <t>Positional
Strength / Weakness of Market</t>
  </si>
  <si>
    <t>IntraDay
Strength / Weakness of Market</t>
  </si>
  <si>
    <t>Avg. % Change
(SMA)
[8 Day]</t>
  </si>
  <si>
    <t>Avg. % Change
(SMA)
[13 Day]</t>
  </si>
  <si>
    <t>Avg. % Change
(SMA)
[21 Day]</t>
  </si>
  <si>
    <t>Choppy Market Index
[8 Day]</t>
  </si>
  <si>
    <t>Trade Type (I=0/P=1)</t>
  </si>
  <si>
    <t xml:space="preserve"> </t>
  </si>
  <si>
    <t>Ashok</t>
  </si>
  <si>
    <t>AsianP</t>
  </si>
  <si>
    <t>VW
Avg. True Range %
(21)</t>
  </si>
  <si>
    <t>VW
Avg. True Range %
(8)</t>
  </si>
  <si>
    <t>VW MACD Hist.
[HLC Avg.]
(Curr.)</t>
  </si>
  <si>
    <t>VW MACD Hist.
[HLC Avg.]
(Prev.)</t>
  </si>
  <si>
    <t>VW MACD Hist.
[HLC Avg.]
(Prev.-1)</t>
  </si>
  <si>
    <t>MFI (14)
[HLC Avg.]
(Curr.)</t>
  </si>
  <si>
    <t>MFI (14)
[HLC Avg.]
(Prev.)</t>
  </si>
  <si>
    <t>MFI (14)
[HLC Avg.]
(Prev.-1)</t>
  </si>
  <si>
    <t>SMA
[34 Day - MFI(14)]
[HLC Avg.]
(Curr.)</t>
  </si>
  <si>
    <t>SMA
[34 Day - MFI(14)]
[HLC Avg.]
(Prev.)</t>
  </si>
  <si>
    <t>SMA
[34 Day - MFI(14)]
[HLC Avg.]
(Prev.-1)</t>
  </si>
  <si>
    <t>SMA
[21 Day - MFI(14)]
[HLC Avg.]
(Curr.)</t>
  </si>
  <si>
    <t>SMA
[21 Day - MFI(14)]
[HLC Avg.]
(Prev.)</t>
  </si>
  <si>
    <t>MFI (14)
Max. Breach Level</t>
  </si>
  <si>
    <t>MFI (14)
Min. Breach Level</t>
  </si>
  <si>
    <t>Basic Reco.</t>
  </si>
  <si>
    <t>IntraDay Recommendation</t>
  </si>
  <si>
    <t>Price SMA Crossover [Price should be above 55 VW SMA Open for Long &amp; vice versa]</t>
  </si>
  <si>
    <t>Positional (MFI Crossover &amp; SMA Crossover Strategies)</t>
  </si>
  <si>
    <t>MFI Crossover [Price should be above 55 VW SMA Open for Long &amp; vice versa]</t>
  </si>
  <si>
    <t>18NovFut</t>
  </si>
  <si>
    <t>18DecFut</t>
  </si>
  <si>
    <t>19JanFut</t>
  </si>
  <si>
    <t>Entry
VW SMA
(MFI 14)
(HLC Avg.)
[34 Day]</t>
  </si>
  <si>
    <t>Exit
VW SMA
(MFI 14)
(HLC Avg.)
[21 Day]</t>
  </si>
  <si>
    <t>VW SMA
[13 Day High]
(Curr.)</t>
  </si>
  <si>
    <t>VW SMA
[13 Day High]
(Prev.)</t>
  </si>
  <si>
    <t>VW SMA
[13 Day Low]
(Curr.)</t>
  </si>
  <si>
    <t>VW SMA
[13 Day Low]
(Prev.)</t>
  </si>
  <si>
    <t>VW SMA
[5 Day High]
(Curr.)</t>
  </si>
  <si>
    <t>VW SMA
[5 Day High]
(Prev.)</t>
  </si>
  <si>
    <t>VW SMA
[5 Day Low]
(Curr.)</t>
  </si>
  <si>
    <t>VW SMA
[5 Day Low]
(Prev.)</t>
  </si>
  <si>
    <t>Exit
VW SMA
(Low)
[5 Day]</t>
  </si>
  <si>
    <t>Exit
VW SMA
(Low)
[13 Day]</t>
  </si>
  <si>
    <t>Exit
VW SMA
(High)
[5 Day]</t>
  </si>
  <si>
    <t>Exit
VW SMA
(High)
[13 Day]</t>
  </si>
  <si>
    <t>Low x Volume</t>
  </si>
  <si>
    <t>High x Volume</t>
  </si>
  <si>
    <t>Exit
[LTP &amp; VW SMA Low/High Crossover]</t>
  </si>
  <si>
    <t>Common Exit
[LTP &amp; VW SMA Low/High] with
[MFI(14) &amp; SMA MFI(14)]</t>
  </si>
  <si>
    <t>Minor Trend Cycles</t>
  </si>
  <si>
    <t>Major Trend Cycles</t>
  </si>
  <si>
    <t>Avg. ATR (21)</t>
  </si>
  <si>
    <t>Elder Ray Index</t>
  </si>
  <si>
    <t>Keltner Channels</t>
  </si>
  <si>
    <t>Pivot Point</t>
  </si>
  <si>
    <t>R1</t>
  </si>
  <si>
    <t>R3</t>
  </si>
  <si>
    <t>R2</t>
  </si>
  <si>
    <t>S1</t>
  </si>
  <si>
    <t>S2</t>
  </si>
  <si>
    <t>S3</t>
  </si>
  <si>
    <t>Check if we can incorporate Volume into the Fibonacci Pivot Points to make it Volume Weighted Fibonacci Pivot Points.</t>
  </si>
  <si>
    <t>(Curr_O + Prev_H + Prev_L + Prev_C) / 4</t>
  </si>
  <si>
    <t>Check if we can use the VW SMA of Pivot Points to check if the PP is above or below the VW_SMA10 of PP</t>
  </si>
  <si>
    <t>Note: Since the Forex Markets are open 24 Hours, the Prev Day's Close and the Curr Day's Open are the same.</t>
  </si>
  <si>
    <t>S4</t>
  </si>
  <si>
    <t>R4</t>
  </si>
  <si>
    <t>Take the London Market Open time of 8:00 AM GMT as the Market Open</t>
  </si>
  <si>
    <t>Wait for the first 15 Minutes of London Market Open.</t>
  </si>
  <si>
    <t>If the Market is trading above the PP, then take Long position, else take Short position.</t>
  </si>
  <si>
    <t>Take Profit should be at R1 / S1 Level and Stop Loss should be some points below / above the PP.</t>
  </si>
  <si>
    <t>BankNifty:</t>
  </si>
  <si>
    <t>Fibonacci Pivot</t>
  </si>
  <si>
    <t>Nifty:</t>
  </si>
  <si>
    <t>Fibonacci Pivot Points</t>
  </si>
  <si>
    <t>Standard Pivot Points</t>
  </si>
  <si>
    <t>(2 x PP) - Prev_L</t>
  </si>
  <si>
    <t>(2 x PP) - Prev_H</t>
  </si>
  <si>
    <t>PP + (Prev_H – Prev_L)</t>
  </si>
  <si>
    <t>PP - (Prev_H – Prev_L)</t>
  </si>
  <si>
    <t>PP + [1 * (Prev_H - Prev_L)]</t>
  </si>
  <si>
    <t>PP + [0.618 * (Prev_H - Prev_L)]</t>
  </si>
  <si>
    <t>PP + [0.382 * (Prev_H - Prev_L)]</t>
  </si>
  <si>
    <t>PP + [0.236 * (Prev_H - Prev_L)]</t>
  </si>
  <si>
    <t>PP - [0.236 * (Prev_H - Prev_L)]</t>
  </si>
  <si>
    <t>PP - [0.382 * (Prev_H - Prev_L)]</t>
  </si>
  <si>
    <t>PP - [0.618 * (Prev_H - Prev_L)]</t>
  </si>
  <si>
    <t>PP - [1 * (Prev_H - Prev_L)]</t>
  </si>
  <si>
    <t>Prev_H + 2 x (PP – Prev_L)</t>
  </si>
  <si>
    <t>Prev_L – 2 x (Prev_H – PP)</t>
  </si>
  <si>
    <t>R6</t>
  </si>
  <si>
    <t>R5</t>
  </si>
  <si>
    <t>S5</t>
  </si>
  <si>
    <t>S6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</si>
</sst>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_(* #,##0.00_);_(* \(#,##0.00\);_(* &quot;-&quot;??_);_(@_)"/>
    <numFmt numFmtId="165" formatCode="_(* #,##0_);_(* \(#,##0\);_(* &quot;-&quot;??_);_(@_)"/>
    <numFmt numFmtId="166" formatCode="[$-409]h:mm\ AM/PM;@"/>
    <numFmt numFmtId="167" formatCode="_(* #,##0.000_);_(* \(#,##0.000\);_(* &quot;-&quot;??_);_(@_)"/>
    <numFmt numFmtId="168" formatCode="_ * #,##0.0000_ ;_ * \-#,##0.0000_ ;_ * &quot;-&quot;??_ ;_ @_ "/>
    <numFmt numFmtId="169" formatCode="_ * #,##0.000_ ;_ * \-#,##0.000_ ;_ * &quot;-&quot;??_ ;_ @_ "/>
    <numFmt numFmtId="170" formatCode="[$-14009]dd\-mm\-yy;@"/>
    <numFmt numFmtId="171" formatCode="0.000%"/>
    <numFmt numFmtId="172" formatCode="0.0000%"/>
    <numFmt numFmtId="173" formatCode="[$-409]d\-mmm\-yy;@"/>
    <numFmt numFmtId="174" formatCode="0.000"/>
    <numFmt numFmtId="175" formatCode="0.00000000%"/>
  </numFmts>
  <fonts count="25" x14ac:knownFonts="1">
    <font>
      <sz val="11"/>
      <color theme="1"/>
      <name val="Calibri"/>
      <family val="2"/>
      <scheme val="minor"/>
    </font>
    <font>
      <sz val="11"/>
      <color theme="1"/>
      <name val="Garamond"/>
      <family val="2"/>
    </font>
    <font>
      <sz val="11"/>
      <color theme="1"/>
      <name val="Calibri"/>
      <family val="2"/>
      <scheme val="minor"/>
    </font>
    <font>
      <b/>
      <sz val="9"/>
      <color theme="1"/>
      <name val="Garamond"/>
      <family val="1"/>
    </font>
    <font>
      <sz val="8"/>
      <color theme="1"/>
      <name val="Garamond"/>
      <family val="1"/>
    </font>
    <font>
      <b/>
      <sz val="8"/>
      <color theme="1"/>
      <name val="Garamond"/>
      <family val="1"/>
    </font>
    <font>
      <b/>
      <sz val="8"/>
      <color theme="0"/>
      <name val="Garamond"/>
      <family val="1"/>
    </font>
    <font>
      <b/>
      <sz val="8"/>
      <name val="Garamond"/>
      <family val="1"/>
    </font>
    <font>
      <b/>
      <sz val="8"/>
      <color rgb="FF0000CC"/>
      <name val="Garamond"/>
      <family val="1"/>
    </font>
    <font>
      <b/>
      <sz val="8"/>
      <color indexed="81"/>
      <name val="Garamond"/>
      <family val="1"/>
    </font>
    <font>
      <b/>
      <sz val="9"/>
      <color rgb="FFFF0000"/>
      <name val="Garamond"/>
      <family val="1"/>
    </font>
    <font>
      <sz val="9"/>
      <color indexed="81"/>
      <name val="Garamond"/>
      <family val="1"/>
    </font>
    <font>
      <sz val="9"/>
      <color indexed="81"/>
      <name val="Tahoma"/>
      <family val="2"/>
    </font>
    <font>
      <sz val="8"/>
      <color indexed="81"/>
      <name val="Tahoma"/>
      <family val="2"/>
    </font>
    <font>
      <b/>
      <sz val="10"/>
      <color theme="1"/>
      <name val="Castellar"/>
      <family val="1"/>
    </font>
    <font>
      <sz val="15"/>
      <color theme="1"/>
      <name val="Old English Text MT"/>
      <family val="4"/>
    </font>
    <font>
      <sz val="8"/>
      <color indexed="81"/>
      <name val="Garamond"/>
      <family val="1"/>
    </font>
    <font>
      <sz val="8"/>
      <color rgb="FFFF0000"/>
      <name val="Garamond"/>
      <family val="1"/>
    </font>
    <font>
      <b/>
      <sz val="8"/>
      <color indexed="81"/>
      <name val="Tahoma"/>
      <family val="2"/>
    </font>
    <font>
      <sz val="8"/>
      <color rgb="FF0000CC"/>
      <name val="Garamond"/>
      <family val="1"/>
    </font>
    <font>
      <b/>
      <sz val="9"/>
      <color indexed="81"/>
      <name val="Garamond"/>
      <family val="1"/>
    </font>
    <font>
      <u/>
      <sz val="11"/>
      <color theme="10"/>
      <name val="Calibri"/>
      <family val="2"/>
      <scheme val="minor"/>
    </font>
    <font>
      <u/>
      <sz val="9"/>
      <color theme="10"/>
      <name val="Calibri"/>
      <family val="2"/>
      <scheme val="minor"/>
    </font>
    <font>
      <u/>
      <sz val="8"/>
      <color theme="1"/>
      <name val="Garamond"/>
      <family val="1"/>
    </font>
    <font>
      <u/>
      <sz val="11"/>
      <color theme="10"/>
      <name val="Garamond"/>
      <family val="2"/>
    </font>
  </fonts>
  <fills count="23">
    <fill>
      <patternFill patternType="none"/>
    </fill>
    <fill>
      <patternFill patternType="gray125"/>
    </fill>
    <fill>
      <patternFill patternType="solid">
        <fgColor theme="0" tint="-0.34998626667073579"/>
        <bgColor indexed="64"/>
      </patternFill>
    </fill>
    <fill>
      <patternFill patternType="solid">
        <fgColor theme="7" tint="0.39997558519241921"/>
        <bgColor indexed="64"/>
      </patternFill>
    </fill>
    <fill>
      <patternFill patternType="solid">
        <fgColor rgb="FFFFFF00"/>
        <bgColor indexed="64"/>
      </patternFill>
    </fill>
    <fill>
      <patternFill patternType="solid">
        <fgColor theme="3" tint="0.39997558519241921"/>
        <bgColor indexed="64"/>
      </patternFill>
    </fill>
    <fill>
      <patternFill patternType="solid">
        <fgColor theme="0" tint="-0.499984740745262"/>
        <bgColor indexed="64"/>
      </patternFill>
    </fill>
    <fill>
      <patternFill patternType="solid">
        <fgColor rgb="FF00FFFF"/>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00CC"/>
        <bgColor indexed="64"/>
      </patternFill>
    </fill>
    <fill>
      <patternFill patternType="solid">
        <fgColor theme="5" tint="-0.499984740745262"/>
        <bgColor indexed="64"/>
      </patternFill>
    </fill>
    <fill>
      <patternFill patternType="solid">
        <fgColor rgb="FF7030A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00FF"/>
        <bgColor indexed="64"/>
      </patternFill>
    </fill>
    <fill>
      <patternFill patternType="solid">
        <fgColor theme="1"/>
        <bgColor indexed="64"/>
      </patternFill>
    </fill>
    <fill>
      <patternFill patternType="solid">
        <fgColor theme="3" tint="0.79998168889431442"/>
        <bgColor indexed="64"/>
      </patternFill>
    </fill>
    <fill>
      <patternFill patternType="solid">
        <fgColor theme="9"/>
        <bgColor indexed="64"/>
      </patternFill>
    </fill>
    <fill>
      <patternFill patternType="solid">
        <fgColor rgb="FF00FF00"/>
        <bgColor indexed="64"/>
      </patternFill>
    </fill>
  </fills>
  <borders count="69">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s>
  <cellStyleXfs count="6">
    <xf numFmtId="0" fontId="0" fillId="0" borderId="0"/>
    <xf numFmtId="164" fontId="2" fillId="0" borderId="0" applyFont="0" applyFill="0" applyBorder="0" applyAlignment="0" applyProtection="0"/>
    <xf numFmtId="9" fontId="2" fillId="0" borderId="0" applyFont="0" applyFill="0" applyBorder="0" applyAlignment="0" applyProtection="0"/>
    <xf numFmtId="0" fontId="21" fillId="0" borderId="0" applyNumberFormat="0" applyFill="0" applyBorder="0" applyAlignment="0" applyProtection="0"/>
    <xf numFmtId="0" fontId="1" fillId="0" borderId="0"/>
    <xf numFmtId="0" fontId="24" fillId="0" borderId="0" applyNumberFormat="0" applyFill="0" applyBorder="0" applyAlignment="0" applyProtection="0"/>
  </cellStyleXfs>
  <cellXfs count="749">
    <xf numFmtId="0" fontId="0" fillId="0" borderId="0" xfId="0"/>
    <xf numFmtId="0" fontId="3" fillId="0" borderId="0" xfId="0" applyFont="1" applyAlignment="1">
      <alignment vertical="center"/>
    </xf>
    <xf numFmtId="0" fontId="4" fillId="0" borderId="0" xfId="0" applyFont="1" applyAlignment="1">
      <alignment vertical="center"/>
    </xf>
    <xf numFmtId="166" fontId="5" fillId="3" borderId="4" xfId="0" applyNumberFormat="1"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vertical="center"/>
    </xf>
    <xf numFmtId="164" fontId="4" fillId="16" borderId="5" xfId="1" applyFont="1" applyFill="1" applyBorder="1" applyAlignment="1">
      <alignment vertical="center"/>
    </xf>
    <xf numFmtId="164" fontId="4" fillId="16" borderId="6" xfId="1" applyFont="1" applyFill="1" applyBorder="1" applyAlignment="1">
      <alignment vertical="center"/>
    </xf>
    <xf numFmtId="164" fontId="4" fillId="16" borderId="8" xfId="1" applyFont="1" applyFill="1" applyBorder="1" applyAlignment="1">
      <alignment vertical="center"/>
    </xf>
    <xf numFmtId="164" fontId="4" fillId="17" borderId="6" xfId="1" applyFont="1" applyFill="1" applyBorder="1" applyAlignment="1">
      <alignment vertical="center"/>
    </xf>
    <xf numFmtId="10" fontId="4" fillId="16" borderId="8" xfId="2" applyNumberFormat="1" applyFont="1" applyFill="1" applyBorder="1" applyAlignment="1">
      <alignment horizontal="center" vertical="center"/>
    </xf>
    <xf numFmtId="164" fontId="4" fillId="16" borderId="7" xfId="1" applyFont="1" applyFill="1" applyBorder="1" applyAlignment="1">
      <alignment vertical="center"/>
    </xf>
    <xf numFmtId="164" fontId="4" fillId="17" borderId="7" xfId="1" applyFont="1" applyFill="1" applyBorder="1" applyAlignment="1">
      <alignment vertical="center"/>
    </xf>
    <xf numFmtId="168" fontId="4" fillId="16" borderId="8" xfId="1" applyNumberFormat="1" applyFont="1" applyFill="1" applyBorder="1" applyAlignment="1">
      <alignment vertical="center"/>
    </xf>
    <xf numFmtId="168" fontId="4" fillId="16" borderId="6" xfId="1" applyNumberFormat="1" applyFont="1" applyFill="1" applyBorder="1" applyAlignment="1">
      <alignment vertical="center"/>
    </xf>
    <xf numFmtId="169" fontId="4" fillId="16" borderId="6" xfId="1" applyNumberFormat="1" applyFont="1" applyFill="1" applyBorder="1" applyAlignment="1">
      <alignment vertical="center"/>
    </xf>
    <xf numFmtId="169" fontId="4" fillId="16" borderId="7" xfId="1" applyNumberFormat="1" applyFont="1" applyFill="1" applyBorder="1" applyAlignment="1">
      <alignment vertical="center"/>
    </xf>
    <xf numFmtId="10" fontId="4" fillId="16" borderId="4" xfId="2" applyNumberFormat="1" applyFont="1" applyFill="1" applyBorder="1" applyAlignment="1">
      <alignment horizontal="center" vertical="center"/>
    </xf>
    <xf numFmtId="10" fontId="4" fillId="17" borderId="4" xfId="2" applyNumberFormat="1" applyFont="1" applyFill="1" applyBorder="1" applyAlignment="1">
      <alignment horizontal="center" vertical="center"/>
    </xf>
    <xf numFmtId="10" fontId="4" fillId="17" borderId="10" xfId="2" applyNumberFormat="1" applyFont="1" applyFill="1" applyBorder="1" applyAlignment="1">
      <alignment horizontal="center" vertical="center"/>
    </xf>
    <xf numFmtId="164" fontId="4" fillId="16" borderId="11" xfId="1" applyFont="1" applyFill="1" applyBorder="1" applyAlignment="1">
      <alignment vertical="center"/>
    </xf>
    <xf numFmtId="164" fontId="4" fillId="16" borderId="4" xfId="1" applyFont="1" applyFill="1" applyBorder="1" applyAlignment="1">
      <alignment vertical="center"/>
    </xf>
    <xf numFmtId="168" fontId="4" fillId="0" borderId="0" xfId="1" applyNumberFormat="1" applyFont="1" applyFill="1" applyAlignment="1">
      <alignment vertical="center"/>
    </xf>
    <xf numFmtId="168" fontId="4" fillId="0" borderId="0" xfId="1" applyNumberFormat="1" applyFont="1" applyFill="1" applyBorder="1" applyAlignment="1">
      <alignment vertical="center"/>
    </xf>
    <xf numFmtId="2" fontId="5" fillId="0" borderId="4" xfId="1" applyNumberFormat="1" applyFont="1" applyBorder="1" applyAlignment="1">
      <alignment horizontal="center" vertical="center" wrapText="1"/>
    </xf>
    <xf numFmtId="164" fontId="5" fillId="0" borderId="4" xfId="1" applyFont="1" applyBorder="1" applyAlignment="1">
      <alignment vertical="center" wrapText="1"/>
    </xf>
    <xf numFmtId="0" fontId="5" fillId="0" borderId="4" xfId="0" applyFont="1" applyBorder="1" applyAlignment="1">
      <alignment horizontal="center" vertical="center" wrapText="1"/>
    </xf>
    <xf numFmtId="2" fontId="5" fillId="7" borderId="4" xfId="1" applyNumberFormat="1" applyFont="1" applyFill="1" applyBorder="1" applyAlignment="1">
      <alignment horizontal="center" vertical="center" wrapText="1"/>
    </xf>
    <xf numFmtId="164" fontId="5" fillId="7" borderId="4" xfId="1" applyFont="1" applyFill="1" applyBorder="1" applyAlignment="1">
      <alignment vertical="center" wrapText="1"/>
    </xf>
    <xf numFmtId="0" fontId="5" fillId="7" borderId="4" xfId="0" applyFont="1" applyFill="1" applyBorder="1" applyAlignment="1">
      <alignment horizontal="center" vertical="center" wrapText="1"/>
    </xf>
    <xf numFmtId="0" fontId="5" fillId="18" borderId="4" xfId="0" applyFont="1" applyFill="1" applyBorder="1" applyAlignment="1">
      <alignment horizontal="center" vertical="center" wrapText="1"/>
    </xf>
    <xf numFmtId="164" fontId="5" fillId="18" borderId="4" xfId="1" applyFont="1" applyFill="1" applyBorder="1" applyAlignment="1">
      <alignment vertical="center" wrapText="1"/>
    </xf>
    <xf numFmtId="2" fontId="5" fillId="18" borderId="4" xfId="1" applyNumberFormat="1" applyFont="1" applyFill="1" applyBorder="1" applyAlignment="1">
      <alignment horizontal="center" vertical="center" wrapText="1"/>
    </xf>
    <xf numFmtId="2" fontId="5" fillId="0" borderId="4" xfId="1" applyNumberFormat="1" applyFont="1" applyFill="1" applyBorder="1" applyAlignment="1">
      <alignment horizontal="center" vertical="center" wrapText="1"/>
    </xf>
    <xf numFmtId="164" fontId="5" fillId="0" borderId="4" xfId="1" applyFont="1" applyFill="1" applyBorder="1" applyAlignment="1">
      <alignment vertical="center" wrapText="1"/>
    </xf>
    <xf numFmtId="2" fontId="5" fillId="15" borderId="4" xfId="1" applyNumberFormat="1" applyFont="1" applyFill="1" applyBorder="1" applyAlignment="1">
      <alignment horizontal="center" vertical="center" wrapText="1"/>
    </xf>
    <xf numFmtId="164" fontId="5" fillId="15" borderId="4" xfId="1" applyFont="1" applyFill="1" applyBorder="1" applyAlignment="1">
      <alignment vertical="center" wrapText="1"/>
    </xf>
    <xf numFmtId="0" fontId="5" fillId="15" borderId="4" xfId="0" applyFont="1" applyFill="1" applyBorder="1" applyAlignment="1">
      <alignment horizontal="center" vertical="center" wrapText="1"/>
    </xf>
    <xf numFmtId="0" fontId="4" fillId="2" borderId="14" xfId="0" applyFont="1" applyFill="1" applyBorder="1" applyAlignment="1">
      <alignment vertical="center"/>
    </xf>
    <xf numFmtId="0" fontId="4" fillId="2" borderId="16" xfId="0" applyFont="1" applyFill="1" applyBorder="1" applyAlignment="1">
      <alignment vertical="center"/>
    </xf>
    <xf numFmtId="0" fontId="4" fillId="7" borderId="15" xfId="0" applyFont="1" applyFill="1" applyBorder="1" applyAlignment="1">
      <alignment vertical="center"/>
    </xf>
    <xf numFmtId="0" fontId="4" fillId="2" borderId="15" xfId="0" applyFont="1" applyFill="1" applyBorder="1" applyAlignment="1">
      <alignment vertical="center"/>
    </xf>
    <xf numFmtId="0" fontId="4" fillId="7" borderId="16" xfId="0" applyFont="1" applyFill="1" applyBorder="1" applyAlignment="1">
      <alignment vertical="center"/>
    </xf>
    <xf numFmtId="10" fontId="4" fillId="2" borderId="17" xfId="2" applyNumberFormat="1" applyFont="1" applyFill="1" applyBorder="1" applyAlignment="1">
      <alignment horizontal="center" vertical="center"/>
    </xf>
    <xf numFmtId="10" fontId="4" fillId="2" borderId="15" xfId="2" applyNumberFormat="1" applyFont="1" applyFill="1" applyBorder="1" applyAlignment="1">
      <alignment horizontal="center" vertical="center"/>
    </xf>
    <xf numFmtId="168" fontId="4" fillId="2" borderId="17" xfId="1" applyNumberFormat="1" applyFont="1" applyFill="1" applyBorder="1" applyAlignment="1">
      <alignment vertical="center"/>
    </xf>
    <xf numFmtId="168" fontId="4" fillId="2" borderId="15" xfId="1" applyNumberFormat="1" applyFont="1" applyFill="1" applyBorder="1" applyAlignment="1">
      <alignment vertical="center"/>
    </xf>
    <xf numFmtId="169" fontId="4" fillId="2" borderId="15" xfId="1" applyNumberFormat="1" applyFont="1" applyFill="1" applyBorder="1" applyAlignment="1">
      <alignment vertical="center"/>
    </xf>
    <xf numFmtId="169" fontId="4" fillId="2" borderId="16" xfId="1" applyNumberFormat="1" applyFont="1" applyFill="1" applyBorder="1" applyAlignment="1">
      <alignment vertical="center"/>
    </xf>
    <xf numFmtId="0" fontId="4" fillId="2" borderId="17" xfId="0" applyFont="1" applyFill="1" applyBorder="1" applyAlignment="1">
      <alignment vertical="center"/>
    </xf>
    <xf numFmtId="164" fontId="4" fillId="2" borderId="15" xfId="1" applyFont="1" applyFill="1" applyBorder="1" applyAlignment="1">
      <alignment vertical="center"/>
    </xf>
    <xf numFmtId="10" fontId="4" fillId="16" borderId="6" xfId="2" applyNumberFormat="1" applyFont="1" applyFill="1" applyBorder="1" applyAlignment="1">
      <alignment horizontal="center" vertical="center"/>
    </xf>
    <xf numFmtId="10" fontId="4" fillId="17" borderId="6" xfId="2" applyNumberFormat="1" applyFont="1" applyFill="1" applyBorder="1" applyAlignment="1">
      <alignment horizontal="center" vertical="center"/>
    </xf>
    <xf numFmtId="10" fontId="4" fillId="17" borderId="7" xfId="2" applyNumberFormat="1" applyFont="1" applyFill="1" applyBorder="1" applyAlignment="1">
      <alignment horizontal="center" vertical="center"/>
    </xf>
    <xf numFmtId="10" fontId="5" fillId="17" borderId="7" xfId="2" applyNumberFormat="1" applyFont="1" applyFill="1" applyBorder="1" applyAlignment="1">
      <alignment horizontal="center" vertical="center"/>
    </xf>
    <xf numFmtId="0" fontId="4" fillId="16" borderId="6" xfId="0" applyFont="1" applyFill="1" applyBorder="1" applyAlignment="1">
      <alignment horizontal="center" vertical="center"/>
    </xf>
    <xf numFmtId="0" fontId="4" fillId="2" borderId="15"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10" fillId="0" borderId="0" xfId="0" applyFont="1" applyAlignment="1">
      <alignment vertical="center"/>
    </xf>
    <xf numFmtId="173" fontId="4" fillId="0" borderId="0" xfId="0" applyNumberFormat="1" applyFont="1" applyAlignment="1">
      <alignment horizontal="center" vertical="center"/>
    </xf>
    <xf numFmtId="4" fontId="4" fillId="0" borderId="0" xfId="1" applyNumberFormat="1" applyFont="1" applyAlignment="1">
      <alignment vertical="center"/>
    </xf>
    <xf numFmtId="0" fontId="4" fillId="0" borderId="4" xfId="0" applyFont="1" applyBorder="1" applyAlignment="1">
      <alignment vertical="center"/>
    </xf>
    <xf numFmtId="164" fontId="4" fillId="0" borderId="4" xfId="1" applyFont="1" applyBorder="1" applyAlignment="1">
      <alignment vertical="center"/>
    </xf>
    <xf numFmtId="0" fontId="4" fillId="0" borderId="4" xfId="0" applyFont="1" applyBorder="1" applyAlignment="1">
      <alignment horizontal="center" vertical="center"/>
    </xf>
    <xf numFmtId="10" fontId="4" fillId="0" borderId="4" xfId="2" applyNumberFormat="1" applyFont="1" applyBorder="1" applyAlignment="1">
      <alignment horizontal="center" vertical="center"/>
    </xf>
    <xf numFmtId="165" fontId="4" fillId="0" borderId="4" xfId="1" applyNumberFormat="1" applyFont="1" applyBorder="1" applyAlignment="1">
      <alignment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172" fontId="5" fillId="3" borderId="6" xfId="0" applyNumberFormat="1" applyFont="1" applyFill="1" applyBorder="1" applyAlignment="1">
      <alignment horizontal="center" vertical="center"/>
    </xf>
    <xf numFmtId="9" fontId="5" fillId="3" borderId="6" xfId="0" applyNumberFormat="1" applyFont="1" applyFill="1" applyBorder="1" applyAlignment="1">
      <alignment horizontal="center" vertical="center"/>
    </xf>
    <xf numFmtId="0" fontId="5" fillId="0" borderId="6" xfId="0" applyFont="1" applyBorder="1" applyAlignment="1">
      <alignment horizontal="center" vertical="center"/>
    </xf>
    <xf numFmtId="171" fontId="5" fillId="3" borderId="6" xfId="0" applyNumberFormat="1" applyFont="1" applyFill="1" applyBorder="1" applyAlignment="1">
      <alignment horizontal="center" vertical="center"/>
    </xf>
    <xf numFmtId="0" fontId="5" fillId="0" borderId="15" xfId="0" applyFont="1" applyBorder="1" applyAlignment="1">
      <alignment horizontal="center" vertical="center"/>
    </xf>
    <xf numFmtId="0" fontId="5" fillId="3" borderId="15" xfId="0" applyFont="1" applyFill="1" applyBorder="1" applyAlignment="1">
      <alignment horizontal="center" vertical="center"/>
    </xf>
    <xf numFmtId="0" fontId="5" fillId="0" borderId="16" xfId="0" applyFont="1" applyBorder="1" applyAlignment="1">
      <alignment horizontal="center" vertical="center"/>
    </xf>
    <xf numFmtId="0" fontId="5" fillId="3" borderId="14" xfId="0" applyFont="1" applyFill="1" applyBorder="1" applyAlignment="1">
      <alignment horizontal="center" vertical="center"/>
    </xf>
    <xf numFmtId="10" fontId="5" fillId="3" borderId="5" xfId="0" applyNumberFormat="1" applyFont="1" applyFill="1" applyBorder="1" applyAlignment="1">
      <alignment horizontal="center" vertical="center"/>
    </xf>
    <xf numFmtId="10" fontId="5" fillId="3" borderId="6" xfId="0" applyNumberFormat="1" applyFont="1" applyFill="1" applyBorder="1" applyAlignment="1">
      <alignment horizontal="center" vertical="center"/>
    </xf>
    <xf numFmtId="171" fontId="5" fillId="3" borderId="7" xfId="0" applyNumberFormat="1" applyFont="1" applyFill="1" applyBorder="1" applyAlignment="1">
      <alignment horizontal="center" vertical="center"/>
    </xf>
    <xf numFmtId="0" fontId="5" fillId="2" borderId="1" xfId="0" applyFont="1" applyFill="1" applyBorder="1" applyAlignment="1">
      <alignment horizontal="center" vertical="center"/>
    </xf>
    <xf numFmtId="164" fontId="4" fillId="0" borderId="4" xfId="1" applyFont="1" applyBorder="1" applyAlignment="1">
      <alignment horizontal="center" vertical="center"/>
    </xf>
    <xf numFmtId="164" fontId="4" fillId="3" borderId="4" xfId="1" applyFont="1" applyFill="1" applyBorder="1" applyAlignment="1">
      <alignment horizontal="center" vertical="center"/>
    </xf>
    <xf numFmtId="172" fontId="4" fillId="0" borderId="0" xfId="0" applyNumberFormat="1" applyFont="1" applyAlignment="1">
      <alignment vertical="center"/>
    </xf>
    <xf numFmtId="0" fontId="5" fillId="0" borderId="41" xfId="0" applyFont="1" applyBorder="1" applyAlignment="1">
      <alignment horizontal="center" vertical="center"/>
    </xf>
    <xf numFmtId="164" fontId="4" fillId="0" borderId="4" xfId="1" applyFont="1" applyFill="1" applyBorder="1" applyAlignment="1">
      <alignment horizontal="center" vertical="center"/>
    </xf>
    <xf numFmtId="164" fontId="5" fillId="4" borderId="1" xfId="1" applyFont="1" applyFill="1" applyBorder="1" applyAlignment="1">
      <alignment horizontal="center" vertical="center"/>
    </xf>
    <xf numFmtId="0" fontId="5" fillId="4" borderId="4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43" fontId="5" fillId="0" borderId="37" xfId="0" applyNumberFormat="1" applyFont="1" applyBorder="1" applyAlignment="1">
      <alignment vertical="center"/>
    </xf>
    <xf numFmtId="43" fontId="5" fillId="0" borderId="22" xfId="0" applyNumberFormat="1" applyFont="1" applyBorder="1" applyAlignment="1">
      <alignment vertical="center"/>
    </xf>
    <xf numFmtId="164" fontId="5" fillId="0" borderId="2" xfId="1" applyFont="1" applyBorder="1" applyAlignment="1">
      <alignment vertical="center"/>
    </xf>
    <xf numFmtId="2" fontId="5" fillId="0" borderId="9" xfId="1" applyNumberFormat="1" applyFont="1" applyBorder="1" applyAlignment="1">
      <alignment horizontal="center" vertical="center" wrapText="1"/>
    </xf>
    <xf numFmtId="2" fontId="5" fillId="0" borderId="10" xfId="1" applyNumberFormat="1" applyFont="1" applyBorder="1" applyAlignment="1">
      <alignment horizontal="center" vertical="center" wrapText="1"/>
    </xf>
    <xf numFmtId="2" fontId="5" fillId="7" borderId="9" xfId="1" applyNumberFormat="1" applyFont="1" applyFill="1" applyBorder="1" applyAlignment="1">
      <alignment horizontal="center" vertical="center" wrapText="1"/>
    </xf>
    <xf numFmtId="2" fontId="5" fillId="18" borderId="10" xfId="1" applyNumberFormat="1" applyFont="1" applyFill="1" applyBorder="1" applyAlignment="1">
      <alignment horizontal="center" vertical="center" wrapText="1"/>
    </xf>
    <xf numFmtId="2" fontId="5" fillId="0" borderId="9" xfId="1" applyNumberFormat="1" applyFont="1" applyFill="1" applyBorder="1" applyAlignment="1">
      <alignment horizontal="center" vertical="center" wrapText="1"/>
    </xf>
    <xf numFmtId="2" fontId="5" fillId="0" borderId="10" xfId="1" applyNumberFormat="1" applyFont="1" applyFill="1" applyBorder="1" applyAlignment="1">
      <alignment horizontal="center" vertical="center" wrapText="1"/>
    </xf>
    <xf numFmtId="2" fontId="5" fillId="15" borderId="9" xfId="1" applyNumberFormat="1" applyFont="1" applyFill="1" applyBorder="1" applyAlignment="1">
      <alignment horizontal="center" vertical="center" wrapText="1"/>
    </xf>
    <xf numFmtId="2" fontId="5" fillId="15" borderId="10" xfId="1" applyNumberFormat="1" applyFont="1" applyFill="1" applyBorder="1" applyAlignment="1">
      <alignment horizontal="center" vertical="center" wrapText="1"/>
    </xf>
    <xf numFmtId="2" fontId="5" fillId="15" borderId="14" xfId="1" applyNumberFormat="1" applyFont="1" applyFill="1" applyBorder="1" applyAlignment="1">
      <alignment horizontal="center" vertical="center" wrapText="1"/>
    </xf>
    <xf numFmtId="2" fontId="5" fillId="15" borderId="15" xfId="1" applyNumberFormat="1" applyFont="1" applyFill="1" applyBorder="1" applyAlignment="1">
      <alignment horizontal="center" vertical="center" wrapText="1"/>
    </xf>
    <xf numFmtId="164" fontId="5" fillId="15" borderId="15" xfId="1" applyFont="1" applyFill="1" applyBorder="1" applyAlignment="1">
      <alignment vertical="center" wrapText="1"/>
    </xf>
    <xf numFmtId="0" fontId="5" fillId="15" borderId="15" xfId="0" applyFont="1" applyFill="1" applyBorder="1" applyAlignment="1">
      <alignment horizontal="center" vertical="center" wrapText="1"/>
    </xf>
    <xf numFmtId="2" fontId="5" fillId="15" borderId="16" xfId="1" applyNumberFormat="1" applyFont="1" applyFill="1" applyBorder="1" applyAlignment="1">
      <alignment horizontal="center" vertical="center" wrapText="1"/>
    </xf>
    <xf numFmtId="2" fontId="7" fillId="0" borderId="5" xfId="1" applyNumberFormat="1" applyFont="1" applyBorder="1" applyAlignment="1">
      <alignment horizontal="center" vertical="center" wrapText="1"/>
    </xf>
    <xf numFmtId="2" fontId="7" fillId="0" borderId="6" xfId="1" applyNumberFormat="1" applyFont="1" applyBorder="1" applyAlignment="1">
      <alignment horizontal="center" vertical="center" wrapText="1"/>
    </xf>
    <xf numFmtId="164" fontId="7" fillId="0" borderId="6" xfId="1" applyFont="1" applyBorder="1" applyAlignment="1">
      <alignment vertical="center" wrapText="1"/>
    </xf>
    <xf numFmtId="0" fontId="7" fillId="0" borderId="6" xfId="0" applyFont="1" applyBorder="1" applyAlignment="1">
      <alignment horizontal="center" vertical="center" wrapText="1"/>
    </xf>
    <xf numFmtId="2" fontId="7" fillId="0" borderId="7" xfId="1" applyNumberFormat="1" applyFont="1" applyBorder="1" applyAlignment="1">
      <alignment horizontal="center" vertical="center" wrapText="1"/>
    </xf>
    <xf numFmtId="0" fontId="5" fillId="7" borderId="5" xfId="0" applyFont="1" applyFill="1" applyBorder="1" applyAlignment="1">
      <alignment horizontal="center" vertical="center" wrapText="1"/>
    </xf>
    <xf numFmtId="0" fontId="5" fillId="18" borderId="14" xfId="0" applyFont="1" applyFill="1" applyBorder="1" applyAlignment="1">
      <alignment horizontal="center" vertical="center" wrapText="1"/>
    </xf>
    <xf numFmtId="0" fontId="5" fillId="0" borderId="0" xfId="0" applyFont="1" applyAlignment="1">
      <alignment horizontal="center" vertical="center" wrapText="1"/>
    </xf>
    <xf numFmtId="164" fontId="4" fillId="0" borderId="0" xfId="1" applyFont="1" applyFill="1" applyBorder="1" applyAlignment="1">
      <alignment vertical="center"/>
    </xf>
    <xf numFmtId="43" fontId="4" fillId="0" borderId="0" xfId="0" applyNumberFormat="1" applyFont="1" applyAlignment="1">
      <alignment vertical="center"/>
    </xf>
    <xf numFmtId="43" fontId="5" fillId="0" borderId="0" xfId="0" applyNumberFormat="1" applyFont="1" applyAlignment="1">
      <alignment vertical="center"/>
    </xf>
    <xf numFmtId="164" fontId="4" fillId="17" borderId="4" xfId="1" applyFont="1" applyFill="1" applyBorder="1" applyAlignment="1">
      <alignment vertical="center"/>
    </xf>
    <xf numFmtId="43" fontId="4" fillId="14" borderId="6" xfId="0" applyNumberFormat="1" applyFont="1" applyFill="1" applyBorder="1" applyAlignment="1">
      <alignment vertical="center"/>
    </xf>
    <xf numFmtId="43" fontId="4" fillId="13" borderId="6" xfId="0" applyNumberFormat="1" applyFont="1" applyFill="1" applyBorder="1" applyAlignment="1">
      <alignment vertical="center"/>
    </xf>
    <xf numFmtId="43" fontId="4" fillId="13" borderId="7" xfId="0" applyNumberFormat="1" applyFont="1" applyFill="1" applyBorder="1" applyAlignment="1">
      <alignment vertical="center"/>
    </xf>
    <xf numFmtId="10" fontId="4" fillId="16" borderId="9" xfId="2" applyNumberFormat="1" applyFont="1" applyFill="1" applyBorder="1" applyAlignment="1">
      <alignment horizontal="center" vertical="center"/>
    </xf>
    <xf numFmtId="0" fontId="4" fillId="2" borderId="16" xfId="0" applyFont="1" applyFill="1" applyBorder="1" applyAlignment="1">
      <alignment horizontal="center" vertical="center"/>
    </xf>
    <xf numFmtId="10" fontId="5" fillId="16" borderId="5" xfId="2" applyNumberFormat="1" applyFont="1" applyFill="1" applyBorder="1" applyAlignment="1">
      <alignment horizontal="center" vertical="center"/>
    </xf>
    <xf numFmtId="10" fontId="5" fillId="16" borderId="6" xfId="2" applyNumberFormat="1" applyFont="1" applyFill="1" applyBorder="1" applyAlignment="1">
      <alignment horizontal="center" vertical="center"/>
    </xf>
    <xf numFmtId="0" fontId="5" fillId="2" borderId="15" xfId="0" applyFont="1" applyFill="1" applyBorder="1" applyAlignment="1">
      <alignment horizontal="center" vertical="center"/>
    </xf>
    <xf numFmtId="10" fontId="4" fillId="16" borderId="5" xfId="2" applyNumberFormat="1" applyFont="1" applyFill="1" applyBorder="1" applyAlignment="1">
      <alignment horizontal="center" vertical="center"/>
    </xf>
    <xf numFmtId="43" fontId="5" fillId="2" borderId="15" xfId="0" applyNumberFormat="1" applyFont="1" applyFill="1" applyBorder="1" applyAlignment="1">
      <alignment vertical="center"/>
    </xf>
    <xf numFmtId="43" fontId="5" fillId="2" borderId="16" xfId="0" applyNumberFormat="1" applyFont="1" applyFill="1" applyBorder="1" applyAlignment="1">
      <alignment vertical="center"/>
    </xf>
    <xf numFmtId="0" fontId="4" fillId="16" borderId="7" xfId="0" applyFont="1" applyFill="1" applyBorder="1" applyAlignment="1">
      <alignment horizontal="center" vertical="center"/>
    </xf>
    <xf numFmtId="1" fontId="4" fillId="2" borderId="17" xfId="1" applyNumberFormat="1" applyFont="1" applyFill="1" applyBorder="1" applyAlignment="1">
      <alignment horizontal="center" vertical="center"/>
    </xf>
    <xf numFmtId="0" fontId="4" fillId="2" borderId="17" xfId="0" applyFont="1" applyFill="1" applyBorder="1" applyAlignment="1">
      <alignment horizontal="center" vertical="center"/>
    </xf>
    <xf numFmtId="0" fontId="5" fillId="16" borderId="8" xfId="0" applyFont="1" applyFill="1" applyBorder="1" applyAlignment="1">
      <alignment horizontal="center" vertical="center"/>
    </xf>
    <xf numFmtId="43" fontId="4" fillId="14" borderId="7" xfId="0" applyNumberFormat="1" applyFont="1" applyFill="1" applyBorder="1" applyAlignment="1">
      <alignment vertical="center"/>
    </xf>
    <xf numFmtId="164" fontId="4" fillId="16" borderId="9" xfId="1" applyFont="1" applyFill="1" applyBorder="1" applyAlignment="1">
      <alignment vertical="center"/>
    </xf>
    <xf numFmtId="164" fontId="4" fillId="2" borderId="14" xfId="1" applyFont="1" applyFill="1" applyBorder="1" applyAlignment="1">
      <alignment vertical="center"/>
    </xf>
    <xf numFmtId="168" fontId="4" fillId="2" borderId="14" xfId="1" applyNumberFormat="1" applyFont="1" applyFill="1" applyBorder="1" applyAlignment="1">
      <alignment vertical="center"/>
    </xf>
    <xf numFmtId="168" fontId="4" fillId="16" borderId="5" xfId="1" applyNumberFormat="1" applyFont="1" applyFill="1" applyBorder="1" applyAlignment="1">
      <alignment vertical="center"/>
    </xf>
    <xf numFmtId="164" fontId="5" fillId="13" borderId="16" xfId="1" applyFont="1" applyFill="1" applyBorder="1" applyAlignment="1">
      <alignment horizontal="center" vertical="center"/>
    </xf>
    <xf numFmtId="164" fontId="4" fillId="17" borderId="5" xfId="1" applyFont="1" applyFill="1" applyBorder="1" applyAlignment="1">
      <alignment vertical="center"/>
    </xf>
    <xf numFmtId="164" fontId="4" fillId="17" borderId="9" xfId="1" applyFont="1" applyFill="1" applyBorder="1" applyAlignment="1">
      <alignment vertical="center"/>
    </xf>
    <xf numFmtId="164" fontId="4" fillId="17" borderId="8" xfId="1" applyFont="1" applyFill="1" applyBorder="1" applyAlignment="1">
      <alignment vertical="center"/>
    </xf>
    <xf numFmtId="164" fontId="4" fillId="17" borderId="11" xfId="1" applyFont="1" applyFill="1" applyBorder="1" applyAlignment="1">
      <alignment vertical="center"/>
    </xf>
    <xf numFmtId="169" fontId="4" fillId="17" borderId="6" xfId="1" applyNumberFormat="1" applyFont="1" applyFill="1" applyBorder="1" applyAlignment="1">
      <alignment vertical="center"/>
    </xf>
    <xf numFmtId="169" fontId="4" fillId="17" borderId="7" xfId="1" applyNumberFormat="1" applyFont="1" applyFill="1" applyBorder="1" applyAlignment="1">
      <alignment vertical="center"/>
    </xf>
    <xf numFmtId="168" fontId="4" fillId="17" borderId="5" xfId="1" applyNumberFormat="1" applyFont="1" applyFill="1" applyBorder="1" applyAlignment="1">
      <alignment vertical="center"/>
    </xf>
    <xf numFmtId="10" fontId="5" fillId="17" borderId="6" xfId="2" applyNumberFormat="1" applyFont="1" applyFill="1" applyBorder="1" applyAlignment="1">
      <alignment horizontal="center" vertical="center"/>
    </xf>
    <xf numFmtId="168" fontId="4" fillId="17" borderId="8" xfId="1" applyNumberFormat="1" applyFont="1" applyFill="1" applyBorder="1" applyAlignment="1">
      <alignment vertical="center"/>
    </xf>
    <xf numFmtId="168" fontId="4" fillId="17" borderId="6" xfId="1" applyNumberFormat="1" applyFont="1" applyFill="1" applyBorder="1" applyAlignment="1">
      <alignment vertical="center"/>
    </xf>
    <xf numFmtId="10" fontId="5" fillId="16" borderId="8" xfId="2" applyNumberFormat="1" applyFont="1" applyFill="1" applyBorder="1" applyAlignment="1">
      <alignment horizontal="center" vertical="center"/>
    </xf>
    <xf numFmtId="0" fontId="6" fillId="19" borderId="1" xfId="0" applyFont="1" applyFill="1" applyBorder="1" applyAlignment="1">
      <alignment horizontal="center" vertical="center" wrapText="1"/>
    </xf>
    <xf numFmtId="0" fontId="6" fillId="19" borderId="2" xfId="0" applyFont="1" applyFill="1" applyBorder="1" applyAlignment="1">
      <alignment horizontal="center" vertical="center" wrapText="1"/>
    </xf>
    <xf numFmtId="0" fontId="6" fillId="19" borderId="3" xfId="0" applyFont="1" applyFill="1" applyBorder="1" applyAlignment="1">
      <alignment horizontal="center" vertical="center" wrapText="1"/>
    </xf>
    <xf numFmtId="0" fontId="6" fillId="19" borderId="2" xfId="0" applyFont="1" applyFill="1" applyBorder="1" applyAlignment="1">
      <alignment horizontal="center" vertical="center"/>
    </xf>
    <xf numFmtId="0" fontId="6" fillId="19" borderId="3" xfId="0" applyFont="1" applyFill="1" applyBorder="1" applyAlignment="1">
      <alignment horizontal="center" vertical="center"/>
    </xf>
    <xf numFmtId="10" fontId="5" fillId="4" borderId="3" xfId="2" applyNumberFormat="1" applyFont="1" applyFill="1" applyBorder="1" applyAlignment="1">
      <alignment horizontal="center" vertical="center"/>
    </xf>
    <xf numFmtId="0" fontId="5" fillId="2" borderId="17" xfId="0" applyFont="1" applyFill="1" applyBorder="1" applyAlignment="1">
      <alignment vertical="center"/>
    </xf>
    <xf numFmtId="0" fontId="6" fillId="11" borderId="18" xfId="0" applyFont="1" applyFill="1" applyBorder="1" applyAlignment="1">
      <alignment vertical="center"/>
    </xf>
    <xf numFmtId="0" fontId="6" fillId="12" borderId="20" xfId="0" applyFont="1" applyFill="1" applyBorder="1" applyAlignment="1">
      <alignment vertical="center"/>
    </xf>
    <xf numFmtId="0" fontId="4" fillId="0" borderId="4" xfId="0" applyFont="1" applyBorder="1" applyAlignment="1">
      <alignment horizontal="left" vertical="center"/>
    </xf>
    <xf numFmtId="164" fontId="4" fillId="0" borderId="4" xfId="0" applyNumberFormat="1" applyFont="1" applyBorder="1" applyAlignment="1">
      <alignment vertical="center"/>
    </xf>
    <xf numFmtId="0" fontId="5" fillId="2" borderId="16" xfId="0" applyFont="1" applyFill="1" applyBorder="1" applyAlignment="1">
      <alignment horizontal="center" vertical="center"/>
    </xf>
    <xf numFmtId="167" fontId="5" fillId="17" borderId="35" xfId="1" applyNumberFormat="1" applyFont="1" applyFill="1" applyBorder="1" applyAlignment="1">
      <alignment horizontal="center" vertical="center"/>
    </xf>
    <xf numFmtId="167" fontId="5" fillId="2" borderId="30" xfId="0" applyNumberFormat="1" applyFont="1" applyFill="1" applyBorder="1" applyAlignment="1">
      <alignment horizontal="center" vertical="center"/>
    </xf>
    <xf numFmtId="167" fontId="5" fillId="16" borderId="18" xfId="1" applyNumberFormat="1" applyFont="1" applyFill="1" applyBorder="1" applyAlignment="1">
      <alignment horizontal="center" vertical="center"/>
    </xf>
    <xf numFmtId="167" fontId="5" fillId="2" borderId="14" xfId="0" applyNumberFormat="1" applyFont="1" applyFill="1" applyBorder="1" applyAlignment="1">
      <alignment horizontal="center" vertical="center"/>
    </xf>
    <xf numFmtId="167" fontId="5" fillId="16" borderId="5" xfId="1" applyNumberFormat="1" applyFont="1" applyFill="1" applyBorder="1" applyAlignment="1">
      <alignment horizontal="center" vertical="center"/>
    </xf>
    <xf numFmtId="10" fontId="4" fillId="0" borderId="0" xfId="2" applyNumberFormat="1" applyFont="1" applyBorder="1" applyAlignment="1">
      <alignment horizontal="center" vertical="center"/>
    </xf>
    <xf numFmtId="0" fontId="4" fillId="0" borderId="4" xfId="1" applyNumberFormat="1" applyFont="1" applyBorder="1" applyAlignment="1">
      <alignment horizontal="center" vertical="center"/>
    </xf>
    <xf numFmtId="168" fontId="4" fillId="2" borderId="16" xfId="1" applyNumberFormat="1" applyFont="1" applyFill="1" applyBorder="1" applyAlignment="1">
      <alignment vertical="center"/>
    </xf>
    <xf numFmtId="168" fontId="4" fillId="17" borderId="7" xfId="1" applyNumberFormat="1" applyFont="1" applyFill="1" applyBorder="1" applyAlignment="1">
      <alignment vertical="center"/>
    </xf>
    <xf numFmtId="168" fontId="4" fillId="16" borderId="7" xfId="1" applyNumberFormat="1" applyFont="1" applyFill="1" applyBorder="1" applyAlignment="1">
      <alignment vertical="center"/>
    </xf>
    <xf numFmtId="168" fontId="4" fillId="2" borderId="55" xfId="1" applyNumberFormat="1" applyFont="1" applyFill="1" applyBorder="1" applyAlignment="1">
      <alignment vertical="center"/>
    </xf>
    <xf numFmtId="164" fontId="5" fillId="14" borderId="14" xfId="1" applyFont="1" applyFill="1" applyBorder="1" applyAlignment="1">
      <alignment horizontal="center" vertical="center"/>
    </xf>
    <xf numFmtId="164" fontId="5" fillId="14" borderId="5" xfId="1" applyFont="1" applyFill="1" applyBorder="1" applyAlignment="1">
      <alignment horizontal="center" vertical="center"/>
    </xf>
    <xf numFmtId="0" fontId="5" fillId="13" borderId="7" xfId="1" applyNumberFormat="1" applyFont="1" applyFill="1" applyBorder="1" applyAlignment="1">
      <alignment horizontal="center" vertical="center"/>
    </xf>
    <xf numFmtId="0" fontId="5" fillId="9" borderId="43" xfId="0" applyFont="1" applyFill="1" applyBorder="1" applyAlignment="1">
      <alignment horizontal="center" vertical="center" wrapText="1"/>
    </xf>
    <xf numFmtId="0" fontId="5" fillId="14" borderId="8" xfId="1" applyNumberFormat="1" applyFont="1" applyFill="1" applyBorder="1" applyAlignment="1">
      <alignment horizontal="center" vertical="center"/>
    </xf>
    <xf numFmtId="0" fontId="5" fillId="8" borderId="17" xfId="0" applyFont="1" applyFill="1" applyBorder="1" applyAlignment="1">
      <alignment horizontal="center" vertical="center"/>
    </xf>
    <xf numFmtId="164" fontId="5" fillId="13" borderId="7" xfId="1" applyFont="1" applyFill="1" applyBorder="1" applyAlignment="1">
      <alignment horizontal="center" vertical="center"/>
    </xf>
    <xf numFmtId="164" fontId="4" fillId="17" borderId="10" xfId="1" applyFont="1" applyFill="1" applyBorder="1" applyAlignment="1">
      <alignment vertical="center"/>
    </xf>
    <xf numFmtId="164" fontId="4" fillId="16" borderId="10" xfId="1" applyFont="1" applyFill="1" applyBorder="1" applyAlignment="1">
      <alignment vertical="center"/>
    </xf>
    <xf numFmtId="0" fontId="6" fillId="12" borderId="54" xfId="0" applyFont="1" applyFill="1" applyBorder="1" applyAlignment="1">
      <alignment vertical="center"/>
    </xf>
    <xf numFmtId="168" fontId="4" fillId="17" borderId="56" xfId="1" applyNumberFormat="1" applyFont="1" applyFill="1" applyBorder="1" applyAlignment="1">
      <alignment vertical="center"/>
    </xf>
    <xf numFmtId="0" fontId="4" fillId="7" borderId="4" xfId="0" applyFont="1" applyFill="1" applyBorder="1" applyAlignment="1">
      <alignment horizontal="left" vertical="center"/>
    </xf>
    <xf numFmtId="164" fontId="4" fillId="7" borderId="4" xfId="1" applyFont="1" applyFill="1" applyBorder="1" applyAlignment="1">
      <alignment vertical="center"/>
    </xf>
    <xf numFmtId="0" fontId="4" fillId="21" borderId="4" xfId="0" applyFont="1" applyFill="1" applyBorder="1" applyAlignment="1">
      <alignment horizontal="left" vertical="center"/>
    </xf>
    <xf numFmtId="164" fontId="4" fillId="21" borderId="4" xfId="1" applyFont="1" applyFill="1" applyBorder="1" applyAlignment="1">
      <alignment vertical="center"/>
    </xf>
    <xf numFmtId="0" fontId="4" fillId="21" borderId="4" xfId="0" applyFont="1" applyFill="1" applyBorder="1" applyAlignment="1">
      <alignment horizontal="center" vertical="center"/>
    </xf>
    <xf numFmtId="0" fontId="4" fillId="7" borderId="4" xfId="0" applyFont="1" applyFill="1" applyBorder="1" applyAlignment="1">
      <alignment horizontal="center" vertical="center"/>
    </xf>
    <xf numFmtId="10" fontId="4" fillId="7" borderId="4" xfId="2" applyNumberFormat="1" applyFont="1" applyFill="1" applyBorder="1" applyAlignment="1">
      <alignment horizontal="center" vertical="center"/>
    </xf>
    <xf numFmtId="0" fontId="4" fillId="7" borderId="4" xfId="2" applyNumberFormat="1" applyFont="1" applyFill="1" applyBorder="1" applyAlignment="1">
      <alignment horizontal="center" vertical="center"/>
    </xf>
    <xf numFmtId="164" fontId="4" fillId="7" borderId="4" xfId="1" applyFont="1" applyFill="1" applyBorder="1" applyAlignment="1">
      <alignment horizontal="center" vertical="center"/>
    </xf>
    <xf numFmtId="10" fontId="4" fillId="21" borderId="4" xfId="2" applyNumberFormat="1" applyFont="1" applyFill="1" applyBorder="1" applyAlignment="1">
      <alignment horizontal="center" vertical="center"/>
    </xf>
    <xf numFmtId="0" fontId="4" fillId="21" borderId="4" xfId="2" applyNumberFormat="1" applyFont="1" applyFill="1" applyBorder="1" applyAlignment="1">
      <alignment horizontal="center" vertical="center"/>
    </xf>
    <xf numFmtId="164" fontId="4" fillId="21" borderId="4" xfId="1" applyFont="1" applyFill="1" applyBorder="1" applyAlignment="1">
      <alignment horizontal="center" vertical="center"/>
    </xf>
    <xf numFmtId="0" fontId="4" fillId="7" borderId="4" xfId="0" applyFont="1" applyFill="1" applyBorder="1" applyAlignment="1">
      <alignment vertical="center"/>
    </xf>
    <xf numFmtId="165" fontId="4" fillId="7" borderId="4" xfId="1" applyNumberFormat="1" applyFont="1" applyFill="1" applyBorder="1" applyAlignment="1">
      <alignment vertical="center"/>
    </xf>
    <xf numFmtId="174" fontId="4" fillId="7" borderId="4" xfId="0" applyNumberFormat="1" applyFont="1" applyFill="1" applyBorder="1" applyAlignment="1">
      <alignment horizontal="center" vertical="center"/>
    </xf>
    <xf numFmtId="10" fontId="4" fillId="7" borderId="4" xfId="0" applyNumberFormat="1" applyFont="1" applyFill="1" applyBorder="1" applyAlignment="1">
      <alignment vertical="center"/>
    </xf>
    <xf numFmtId="164" fontId="4" fillId="7" borderId="4" xfId="2" applyNumberFormat="1" applyFont="1" applyFill="1" applyBorder="1" applyAlignment="1">
      <alignment horizontal="center" vertical="center"/>
    </xf>
    <xf numFmtId="167" fontId="4" fillId="7" borderId="4" xfId="1" applyNumberFormat="1" applyFont="1" applyFill="1" applyBorder="1" applyAlignment="1">
      <alignment horizontal="center" vertical="center"/>
    </xf>
    <xf numFmtId="0" fontId="4" fillId="7" borderId="4" xfId="1" applyNumberFormat="1" applyFont="1" applyFill="1" applyBorder="1" applyAlignment="1">
      <alignment horizontal="center" vertical="center"/>
    </xf>
    <xf numFmtId="0" fontId="4" fillId="21" borderId="4" xfId="0" applyFont="1" applyFill="1" applyBorder="1" applyAlignment="1">
      <alignment vertical="center"/>
    </xf>
    <xf numFmtId="165" fontId="4" fillId="21" borderId="4" xfId="1" applyNumberFormat="1" applyFont="1" applyFill="1" applyBorder="1" applyAlignment="1">
      <alignment vertical="center"/>
    </xf>
    <xf numFmtId="174" fontId="4" fillId="21" borderId="4" xfId="0" applyNumberFormat="1" applyFont="1" applyFill="1" applyBorder="1" applyAlignment="1">
      <alignment horizontal="center" vertical="center"/>
    </xf>
    <xf numFmtId="10" fontId="4" fillId="21" borderId="4" xfId="0" applyNumberFormat="1" applyFont="1" applyFill="1" applyBorder="1" applyAlignment="1">
      <alignment vertical="center"/>
    </xf>
    <xf numFmtId="164" fontId="4" fillId="21" borderId="4" xfId="2" applyNumberFormat="1" applyFont="1" applyFill="1" applyBorder="1" applyAlignment="1">
      <alignment horizontal="center" vertical="center"/>
    </xf>
    <xf numFmtId="167" fontId="4" fillId="21" borderId="4" xfId="1" applyNumberFormat="1" applyFont="1" applyFill="1" applyBorder="1" applyAlignment="1">
      <alignment horizontal="center" vertical="center"/>
    </xf>
    <xf numFmtId="0" fontId="4" fillId="21" borderId="4" xfId="1" applyNumberFormat="1" applyFont="1" applyFill="1" applyBorder="1" applyAlignment="1">
      <alignment horizontal="center" vertical="center"/>
    </xf>
    <xf numFmtId="1" fontId="4" fillId="7" borderId="4" xfId="1" applyNumberFormat="1" applyFont="1" applyFill="1" applyBorder="1" applyAlignment="1">
      <alignment horizontal="center" vertical="center"/>
    </xf>
    <xf numFmtId="1" fontId="4" fillId="21" borderId="4" xfId="1" applyNumberFormat="1" applyFont="1" applyFill="1" applyBorder="1" applyAlignment="1">
      <alignment horizontal="center" vertical="center"/>
    </xf>
    <xf numFmtId="165" fontId="4" fillId="0" borderId="0" xfId="1" applyNumberFormat="1" applyFont="1" applyAlignment="1">
      <alignment vertical="center"/>
    </xf>
    <xf numFmtId="164" fontId="4" fillId="7" borderId="4" xfId="0" applyNumberFormat="1" applyFont="1" applyFill="1" applyBorder="1" applyAlignment="1">
      <alignment vertical="center"/>
    </xf>
    <xf numFmtId="164" fontId="4" fillId="21" borderId="4" xfId="0" applyNumberFormat="1" applyFont="1" applyFill="1" applyBorder="1" applyAlignment="1">
      <alignment vertical="center"/>
    </xf>
    <xf numFmtId="0" fontId="5" fillId="3" borderId="4" xfId="0" applyFont="1" applyFill="1" applyBorder="1" applyAlignment="1">
      <alignment horizontal="center" vertical="center"/>
    </xf>
    <xf numFmtId="0" fontId="5" fillId="6" borderId="58" xfId="0" applyFont="1" applyFill="1" applyBorder="1" applyAlignment="1">
      <alignment horizontal="center" vertical="center"/>
    </xf>
    <xf numFmtId="0" fontId="5" fillId="6" borderId="59" xfId="0" applyFont="1" applyFill="1" applyBorder="1" applyAlignment="1">
      <alignment horizontal="center" vertical="center"/>
    </xf>
    <xf numFmtId="0" fontId="5" fillId="6" borderId="60" xfId="0" applyFont="1" applyFill="1" applyBorder="1" applyAlignment="1">
      <alignment horizontal="center" vertical="center"/>
    </xf>
    <xf numFmtId="172" fontId="5" fillId="0" borderId="2" xfId="0" applyNumberFormat="1" applyFont="1" applyBorder="1" applyAlignment="1">
      <alignment horizontal="center" vertical="center"/>
    </xf>
    <xf numFmtId="172" fontId="5" fillId="0" borderId="3" xfId="0" applyNumberFormat="1" applyFont="1" applyBorder="1" applyAlignment="1">
      <alignment horizontal="center" vertical="center"/>
    </xf>
    <xf numFmtId="172" fontId="5" fillId="0" borderId="43" xfId="0" applyNumberFormat="1" applyFont="1" applyBorder="1" applyAlignment="1">
      <alignment horizontal="center" vertical="center"/>
    </xf>
    <xf numFmtId="164" fontId="4" fillId="0" borderId="0" xfId="0" applyNumberFormat="1" applyFont="1" applyAlignment="1">
      <alignment vertical="center"/>
    </xf>
    <xf numFmtId="168" fontId="4" fillId="2" borderId="30" xfId="1" applyNumberFormat="1" applyFont="1" applyFill="1" applyBorder="1" applyAlignment="1">
      <alignment vertical="center"/>
    </xf>
    <xf numFmtId="168" fontId="4" fillId="17" borderId="35" xfId="1" applyNumberFormat="1" applyFont="1" applyFill="1" applyBorder="1" applyAlignment="1">
      <alignment vertical="center"/>
    </xf>
    <xf numFmtId="0" fontId="4" fillId="2" borderId="32" xfId="0" applyFont="1" applyFill="1" applyBorder="1" applyAlignment="1">
      <alignment vertical="center"/>
    </xf>
    <xf numFmtId="0" fontId="4" fillId="2" borderId="31" xfId="0" applyFont="1" applyFill="1" applyBorder="1" applyAlignment="1">
      <alignment vertical="center"/>
    </xf>
    <xf numFmtId="164" fontId="4" fillId="2" borderId="32" xfId="1" applyFont="1" applyFill="1" applyBorder="1" applyAlignment="1">
      <alignment vertical="center"/>
    </xf>
    <xf numFmtId="164" fontId="4" fillId="2" borderId="31" xfId="1" applyFont="1" applyFill="1" applyBorder="1" applyAlignment="1">
      <alignment vertical="center"/>
    </xf>
    <xf numFmtId="164" fontId="4" fillId="2" borderId="61" xfId="1" applyFont="1" applyFill="1" applyBorder="1" applyAlignment="1">
      <alignment vertical="center"/>
    </xf>
    <xf numFmtId="164" fontId="4" fillId="16" borderId="18" xfId="1" applyFont="1" applyFill="1" applyBorder="1" applyAlignment="1">
      <alignment vertical="center"/>
    </xf>
    <xf numFmtId="164" fontId="4" fillId="16" borderId="19" xfId="1" applyFont="1" applyFill="1" applyBorder="1" applyAlignment="1">
      <alignment vertical="center"/>
    </xf>
    <xf numFmtId="164" fontId="4" fillId="16" borderId="20" xfId="1" applyFont="1" applyFill="1" applyBorder="1" applyAlignment="1">
      <alignment vertical="center"/>
    </xf>
    <xf numFmtId="164" fontId="4" fillId="17" borderId="18" xfId="1" applyFont="1" applyFill="1" applyBorder="1" applyAlignment="1">
      <alignment vertical="center"/>
    </xf>
    <xf numFmtId="164" fontId="4" fillId="17" borderId="19" xfId="1" applyFont="1" applyFill="1" applyBorder="1" applyAlignment="1">
      <alignment vertical="center"/>
    </xf>
    <xf numFmtId="164" fontId="4" fillId="17" borderId="20" xfId="1" applyFont="1" applyFill="1" applyBorder="1" applyAlignment="1">
      <alignment vertical="center"/>
    </xf>
    <xf numFmtId="168" fontId="4" fillId="2" borderId="32" xfId="1" applyNumberFormat="1" applyFont="1" applyFill="1" applyBorder="1" applyAlignment="1">
      <alignment vertical="center"/>
    </xf>
    <xf numFmtId="168" fontId="4" fillId="2" borderId="31" xfId="1" applyNumberFormat="1" applyFont="1" applyFill="1" applyBorder="1" applyAlignment="1">
      <alignment vertical="center"/>
    </xf>
    <xf numFmtId="168" fontId="4" fillId="2" borderId="61" xfId="1" applyNumberFormat="1" applyFont="1" applyFill="1" applyBorder="1" applyAlignment="1">
      <alignment vertical="center"/>
    </xf>
    <xf numFmtId="0" fontId="17" fillId="0" borderId="0" xfId="0" applyFont="1" applyAlignment="1">
      <alignment vertical="center"/>
    </xf>
    <xf numFmtId="0" fontId="6" fillId="19" borderId="34" xfId="0" applyFont="1" applyFill="1" applyBorder="1" applyAlignment="1">
      <alignment horizontal="center" vertical="center"/>
    </xf>
    <xf numFmtId="43" fontId="5" fillId="0" borderId="38" xfId="0" applyNumberFormat="1" applyFont="1" applyBorder="1" applyAlignment="1">
      <alignment vertical="center"/>
    </xf>
    <xf numFmtId="0" fontId="6" fillId="19" borderId="54" xfId="0" applyFont="1" applyFill="1" applyBorder="1" applyAlignment="1">
      <alignment horizontal="center" vertical="center"/>
    </xf>
    <xf numFmtId="169" fontId="4" fillId="2" borderId="33" xfId="1" applyNumberFormat="1" applyFont="1" applyFill="1" applyBorder="1" applyAlignment="1">
      <alignment vertical="center"/>
    </xf>
    <xf numFmtId="169" fontId="4" fillId="2" borderId="14" xfId="1" applyNumberFormat="1" applyFont="1" applyFill="1" applyBorder="1" applyAlignment="1">
      <alignment vertical="center"/>
    </xf>
    <xf numFmtId="169" fontId="4" fillId="16" borderId="36" xfId="1" applyNumberFormat="1" applyFont="1" applyFill="1" applyBorder="1" applyAlignment="1">
      <alignment vertical="center"/>
    </xf>
    <xf numFmtId="169" fontId="4" fillId="17" borderId="5" xfId="1" applyNumberFormat="1" applyFont="1" applyFill="1" applyBorder="1" applyAlignment="1">
      <alignment vertical="center"/>
    </xf>
    <xf numFmtId="0" fontId="5" fillId="2" borderId="33" xfId="0" applyFont="1" applyFill="1" applyBorder="1" applyAlignment="1">
      <alignment horizontal="center" vertical="center"/>
    </xf>
    <xf numFmtId="164" fontId="4" fillId="16" borderId="4" xfId="1" applyFont="1" applyFill="1" applyBorder="1" applyAlignment="1">
      <alignment horizontal="center" vertical="center"/>
    </xf>
    <xf numFmtId="0" fontId="5" fillId="2" borderId="14" xfId="0" applyFont="1" applyFill="1" applyBorder="1" applyAlignment="1">
      <alignment horizontal="center" vertical="center"/>
    </xf>
    <xf numFmtId="10" fontId="4" fillId="2" borderId="14" xfId="2" applyNumberFormat="1" applyFont="1" applyFill="1" applyBorder="1" applyAlignment="1">
      <alignment horizontal="center" vertical="center"/>
    </xf>
    <xf numFmtId="164" fontId="4" fillId="2" borderId="15" xfId="1" applyFont="1" applyFill="1" applyBorder="1" applyAlignment="1">
      <alignment horizontal="center" vertical="center"/>
    </xf>
    <xf numFmtId="168" fontId="4" fillId="2" borderId="33" xfId="1" applyNumberFormat="1" applyFont="1" applyFill="1" applyBorder="1" applyAlignment="1">
      <alignment vertical="center"/>
    </xf>
    <xf numFmtId="164" fontId="4" fillId="17" borderId="4" xfId="1" applyFont="1" applyFill="1" applyBorder="1" applyAlignment="1">
      <alignment horizontal="center" vertical="center"/>
    </xf>
    <xf numFmtId="0" fontId="4" fillId="22" borderId="0" xfId="0" applyFont="1" applyFill="1" applyAlignment="1">
      <alignment vertical="center"/>
    </xf>
    <xf numFmtId="10" fontId="4" fillId="22" borderId="9" xfId="2" applyNumberFormat="1" applyFont="1" applyFill="1" applyBorder="1" applyAlignment="1">
      <alignment horizontal="center" vertical="center"/>
    </xf>
    <xf numFmtId="10" fontId="4" fillId="22" borderId="10" xfId="2" applyNumberFormat="1" applyFont="1" applyFill="1" applyBorder="1" applyAlignment="1">
      <alignment horizontal="center" vertical="center"/>
    </xf>
    <xf numFmtId="10" fontId="4" fillId="22" borderId="4" xfId="2" applyNumberFormat="1" applyFont="1" applyFill="1" applyBorder="1" applyAlignment="1">
      <alignment horizontal="center" vertical="center"/>
    </xf>
    <xf numFmtId="164" fontId="4" fillId="22" borderId="9" xfId="1" applyFont="1" applyFill="1" applyBorder="1" applyAlignment="1">
      <alignment vertical="center"/>
    </xf>
    <xf numFmtId="164" fontId="4" fillId="22" borderId="4" xfId="1" applyFont="1" applyFill="1" applyBorder="1" applyAlignment="1">
      <alignment vertical="center"/>
    </xf>
    <xf numFmtId="164" fontId="4" fillId="22" borderId="10" xfId="1" applyFont="1" applyFill="1" applyBorder="1" applyAlignment="1">
      <alignment vertical="center"/>
    </xf>
    <xf numFmtId="164" fontId="4" fillId="22" borderId="11" xfId="1" applyFont="1" applyFill="1" applyBorder="1" applyAlignment="1">
      <alignment vertical="center"/>
    </xf>
    <xf numFmtId="164" fontId="4" fillId="22" borderId="5" xfId="1" applyFont="1" applyFill="1" applyBorder="1" applyAlignment="1">
      <alignment vertical="center"/>
    </xf>
    <xf numFmtId="164" fontId="7" fillId="0" borderId="8" xfId="1" applyFont="1" applyBorder="1" applyAlignment="1">
      <alignment vertical="center" wrapText="1"/>
    </xf>
    <xf numFmtId="164" fontId="7" fillId="0" borderId="11" xfId="1" applyFont="1" applyBorder="1" applyAlignment="1">
      <alignment vertical="center" wrapText="1"/>
    </xf>
    <xf numFmtId="164" fontId="7" fillId="18" borderId="11" xfId="1" applyFont="1" applyFill="1" applyBorder="1" applyAlignment="1">
      <alignment vertical="center" wrapText="1"/>
    </xf>
    <xf numFmtId="164" fontId="7" fillId="0" borderId="11" xfId="1" applyFont="1" applyFill="1" applyBorder="1" applyAlignment="1">
      <alignment vertical="center" wrapText="1"/>
    </xf>
    <xf numFmtId="164" fontId="7" fillId="0" borderId="17" xfId="1" applyFont="1" applyBorder="1" applyAlignment="1">
      <alignment vertical="center" wrapText="1"/>
    </xf>
    <xf numFmtId="164" fontId="7" fillId="0" borderId="7" xfId="1" applyFont="1" applyBorder="1" applyAlignment="1">
      <alignment vertical="center" wrapText="1"/>
    </xf>
    <xf numFmtId="164" fontId="7" fillId="0" borderId="10" xfId="1" applyFont="1" applyBorder="1" applyAlignment="1">
      <alignment vertical="center" wrapText="1"/>
    </xf>
    <xf numFmtId="164" fontId="7" fillId="7" borderId="10" xfId="1" applyFont="1" applyFill="1" applyBorder="1" applyAlignment="1">
      <alignment vertical="center" wrapText="1"/>
    </xf>
    <xf numFmtId="164" fontId="7" fillId="0" borderId="10" xfId="1" applyFont="1" applyFill="1" applyBorder="1" applyAlignment="1">
      <alignment vertical="center" wrapText="1"/>
    </xf>
    <xf numFmtId="164" fontId="7" fillId="0" borderId="16" xfId="1" applyFont="1" applyBorder="1" applyAlignment="1">
      <alignment vertical="center" wrapText="1"/>
    </xf>
    <xf numFmtId="0" fontId="4" fillId="2" borderId="29" xfId="0" applyFont="1" applyFill="1" applyBorder="1" applyAlignment="1">
      <alignment vertical="center"/>
    </xf>
    <xf numFmtId="0" fontId="4" fillId="2" borderId="30" xfId="0" applyFont="1" applyFill="1" applyBorder="1" applyAlignment="1">
      <alignment horizontal="center" vertical="center"/>
    </xf>
    <xf numFmtId="168" fontId="5" fillId="2" borderId="17" xfId="1" applyNumberFormat="1" applyFont="1" applyFill="1" applyBorder="1" applyAlignment="1">
      <alignment horizontal="center" vertical="center"/>
    </xf>
    <xf numFmtId="168" fontId="4" fillId="16" borderId="35" xfId="1" applyNumberFormat="1" applyFont="1" applyFill="1" applyBorder="1" applyAlignment="1">
      <alignment vertical="center"/>
    </xf>
    <xf numFmtId="0" fontId="4" fillId="20" borderId="63" xfId="0" applyFont="1" applyFill="1" applyBorder="1" applyAlignment="1">
      <alignment horizontal="center" vertical="center"/>
    </xf>
    <xf numFmtId="0" fontId="4" fillId="2" borderId="28" xfId="0" applyFont="1" applyFill="1" applyBorder="1" applyAlignment="1">
      <alignment vertical="center"/>
    </xf>
    <xf numFmtId="0" fontId="5" fillId="20" borderId="63" xfId="0" applyFont="1" applyFill="1" applyBorder="1" applyAlignment="1">
      <alignment vertical="center"/>
    </xf>
    <xf numFmtId="0" fontId="5" fillId="2" borderId="28" xfId="0" applyFont="1" applyFill="1" applyBorder="1" applyAlignment="1">
      <alignment vertical="center"/>
    </xf>
    <xf numFmtId="43" fontId="5" fillId="17" borderId="6" xfId="0" applyNumberFormat="1" applyFont="1" applyFill="1" applyBorder="1" applyAlignment="1">
      <alignment vertical="center"/>
    </xf>
    <xf numFmtId="0" fontId="4" fillId="20" borderId="68" xfId="0" applyFont="1" applyFill="1" applyBorder="1" applyAlignment="1">
      <alignment horizontal="center" vertical="center"/>
    </xf>
    <xf numFmtId="0" fontId="4" fillId="22" borderId="68" xfId="0" applyFont="1" applyFill="1" applyBorder="1" applyAlignment="1">
      <alignment horizontal="center" vertical="center"/>
    </xf>
    <xf numFmtId="0" fontId="5" fillId="2" borderId="14" xfId="0" applyFont="1" applyFill="1" applyBorder="1" applyAlignment="1">
      <alignment vertical="center"/>
    </xf>
    <xf numFmtId="0" fontId="5" fillId="16" borderId="5" xfId="0" applyFont="1" applyFill="1" applyBorder="1" applyAlignment="1">
      <alignment vertical="center"/>
    </xf>
    <xf numFmtId="0" fontId="5" fillId="16" borderId="6" xfId="0" applyFont="1" applyFill="1" applyBorder="1" applyAlignment="1">
      <alignment vertical="center"/>
    </xf>
    <xf numFmtId="43" fontId="5" fillId="16" borderId="6" xfId="0" applyNumberFormat="1" applyFont="1" applyFill="1" applyBorder="1" applyAlignment="1">
      <alignment vertical="center"/>
    </xf>
    <xf numFmtId="0" fontId="5" fillId="17" borderId="6" xfId="0" applyFont="1" applyFill="1" applyBorder="1" applyAlignment="1">
      <alignment vertical="center"/>
    </xf>
    <xf numFmtId="15" fontId="4" fillId="16" borderId="5" xfId="0" applyNumberFormat="1" applyFont="1" applyFill="1" applyBorder="1" applyAlignment="1">
      <alignment horizontal="center" vertical="center"/>
    </xf>
    <xf numFmtId="15" fontId="4" fillId="17" borderId="8" xfId="0" applyNumberFormat="1" applyFont="1" applyFill="1" applyBorder="1" applyAlignment="1">
      <alignment horizontal="center" vertical="center"/>
    </xf>
    <xf numFmtId="0" fontId="5" fillId="17" borderId="8" xfId="0" applyFont="1" applyFill="1" applyBorder="1" applyAlignment="1">
      <alignment vertical="center"/>
    </xf>
    <xf numFmtId="43" fontId="5" fillId="2" borderId="17" xfId="0" applyNumberFormat="1" applyFont="1" applyFill="1" applyBorder="1" applyAlignment="1">
      <alignment vertical="center"/>
    </xf>
    <xf numFmtId="167" fontId="5" fillId="2" borderId="14" xfId="1" applyNumberFormat="1" applyFont="1" applyFill="1" applyBorder="1" applyAlignment="1">
      <alignment horizontal="center" vertical="center"/>
    </xf>
    <xf numFmtId="167" fontId="5" fillId="17" borderId="5" xfId="1" applyNumberFormat="1" applyFont="1" applyFill="1" applyBorder="1" applyAlignment="1">
      <alignment vertical="center"/>
    </xf>
    <xf numFmtId="167" fontId="5" fillId="16" borderId="5" xfId="1" applyNumberFormat="1" applyFont="1" applyFill="1" applyBorder="1" applyAlignment="1">
      <alignment vertical="center"/>
    </xf>
    <xf numFmtId="0" fontId="6" fillId="11" borderId="25" xfId="0" applyFont="1" applyFill="1" applyBorder="1" applyAlignment="1">
      <alignment vertical="center"/>
    </xf>
    <xf numFmtId="167" fontId="5" fillId="2" borderId="16" xfId="1" applyNumberFormat="1" applyFont="1" applyFill="1" applyBorder="1" applyAlignment="1">
      <alignment horizontal="center" vertical="center"/>
    </xf>
    <xf numFmtId="167" fontId="5" fillId="16" borderId="7" xfId="1" applyNumberFormat="1" applyFont="1" applyFill="1" applyBorder="1" applyAlignment="1">
      <alignment vertical="center"/>
    </xf>
    <xf numFmtId="167" fontId="5" fillId="17" borderId="7" xfId="1" applyNumberFormat="1" applyFont="1" applyFill="1" applyBorder="1" applyAlignment="1">
      <alignment vertical="center"/>
    </xf>
    <xf numFmtId="0" fontId="19" fillId="2" borderId="17" xfId="0" applyFont="1" applyFill="1" applyBorder="1" applyAlignment="1">
      <alignment vertical="center"/>
    </xf>
    <xf numFmtId="0" fontId="19" fillId="2" borderId="16" xfId="0" applyFont="1" applyFill="1" applyBorder="1" applyAlignment="1">
      <alignment vertical="center"/>
    </xf>
    <xf numFmtId="167" fontId="8" fillId="16" borderId="8" xfId="1" applyNumberFormat="1" applyFont="1" applyFill="1" applyBorder="1" applyAlignment="1">
      <alignment vertical="center"/>
    </xf>
    <xf numFmtId="167" fontId="8" fillId="17" borderId="7" xfId="1" applyNumberFormat="1" applyFont="1" applyFill="1" applyBorder="1" applyAlignment="1">
      <alignment vertical="center"/>
    </xf>
    <xf numFmtId="167" fontId="8" fillId="16" borderId="11" xfId="1" applyNumberFormat="1" applyFont="1" applyFill="1" applyBorder="1" applyAlignment="1">
      <alignment vertical="center"/>
    </xf>
    <xf numFmtId="167" fontId="8" fillId="17" borderId="10" xfId="1" applyNumberFormat="1" applyFont="1" applyFill="1" applyBorder="1" applyAlignment="1">
      <alignment vertical="center"/>
    </xf>
    <xf numFmtId="167" fontId="8" fillId="22" borderId="11" xfId="1" applyNumberFormat="1" applyFont="1" applyFill="1" applyBorder="1" applyAlignment="1">
      <alignment vertical="center"/>
    </xf>
    <xf numFmtId="167" fontId="8" fillId="22" borderId="10" xfId="1" applyNumberFormat="1" applyFont="1" applyFill="1" applyBorder="1" applyAlignment="1">
      <alignment vertical="center"/>
    </xf>
    <xf numFmtId="167" fontId="8" fillId="2" borderId="17" xfId="1" applyNumberFormat="1" applyFont="1" applyFill="1" applyBorder="1" applyAlignment="1">
      <alignment vertical="center"/>
    </xf>
    <xf numFmtId="167" fontId="8" fillId="2" borderId="16" xfId="1" applyNumberFormat="1" applyFont="1" applyFill="1" applyBorder="1" applyAlignment="1">
      <alignment vertical="center"/>
    </xf>
    <xf numFmtId="167" fontId="8" fillId="4" borderId="8" xfId="1" applyNumberFormat="1" applyFont="1" applyFill="1" applyBorder="1" applyAlignment="1">
      <alignment vertical="center"/>
    </xf>
    <xf numFmtId="167" fontId="8" fillId="4" borderId="7" xfId="1" applyNumberFormat="1" applyFont="1" applyFill="1" applyBorder="1" applyAlignment="1">
      <alignment vertical="center"/>
    </xf>
    <xf numFmtId="164" fontId="8" fillId="16" borderId="7" xfId="1" applyFont="1" applyFill="1" applyBorder="1" applyAlignment="1">
      <alignment vertical="center"/>
    </xf>
    <xf numFmtId="10" fontId="8" fillId="16" borderId="10" xfId="2" applyNumberFormat="1" applyFont="1" applyFill="1" applyBorder="1" applyAlignment="1">
      <alignment horizontal="center" vertical="center"/>
    </xf>
    <xf numFmtId="10" fontId="8" fillId="22" borderId="10" xfId="2" applyNumberFormat="1" applyFont="1" applyFill="1" applyBorder="1" applyAlignment="1">
      <alignment horizontal="center" vertical="center"/>
    </xf>
    <xf numFmtId="10" fontId="8" fillId="2" borderId="16" xfId="2" applyNumberFormat="1" applyFont="1" applyFill="1" applyBorder="1" applyAlignment="1">
      <alignment horizontal="center" vertical="center"/>
    </xf>
    <xf numFmtId="10" fontId="8" fillId="16" borderId="7" xfId="2" applyNumberFormat="1" applyFont="1" applyFill="1" applyBorder="1" applyAlignment="1">
      <alignment horizontal="center" vertical="center"/>
    </xf>
    <xf numFmtId="164" fontId="8" fillId="16" borderId="6" xfId="1" applyFont="1" applyFill="1" applyBorder="1" applyAlignment="1">
      <alignment vertical="center"/>
    </xf>
    <xf numFmtId="164" fontId="8" fillId="16" borderId="4" xfId="1" applyFont="1" applyFill="1" applyBorder="1" applyAlignment="1">
      <alignment vertical="center"/>
    </xf>
    <xf numFmtId="164" fontId="8" fillId="22" borderId="4" xfId="1" applyFont="1" applyFill="1" applyBorder="1" applyAlignment="1">
      <alignment vertical="center"/>
    </xf>
    <xf numFmtId="164" fontId="8" fillId="2" borderId="15" xfId="1" applyFont="1" applyFill="1" applyBorder="1" applyAlignment="1">
      <alignment vertical="center"/>
    </xf>
    <xf numFmtId="164" fontId="8" fillId="22" borderId="12" xfId="1" applyFont="1" applyFill="1" applyBorder="1" applyAlignment="1">
      <alignment vertical="center"/>
    </xf>
    <xf numFmtId="164" fontId="8" fillId="2" borderId="33" xfId="1" applyFont="1" applyFill="1" applyBorder="1" applyAlignment="1">
      <alignment vertical="center"/>
    </xf>
    <xf numFmtId="164" fontId="8" fillId="17" borderId="7" xfId="1" applyFont="1" applyFill="1" applyBorder="1" applyAlignment="1">
      <alignment vertical="center"/>
    </xf>
    <xf numFmtId="164" fontId="8" fillId="17" borderId="10" xfId="1" applyFont="1" applyFill="1" applyBorder="1" applyAlignment="1">
      <alignment vertical="center"/>
    </xf>
    <xf numFmtId="164" fontId="8" fillId="22" borderId="10" xfId="1" applyFont="1" applyFill="1" applyBorder="1" applyAlignment="1">
      <alignment vertical="center"/>
    </xf>
    <xf numFmtId="164" fontId="8" fillId="2" borderId="16" xfId="1" applyFont="1" applyFill="1" applyBorder="1" applyAlignment="1">
      <alignment vertical="center"/>
    </xf>
    <xf numFmtId="164" fontId="8" fillId="17" borderId="6" xfId="1" applyFont="1" applyFill="1" applyBorder="1" applyAlignment="1">
      <alignment vertical="center"/>
    </xf>
    <xf numFmtId="164" fontId="8" fillId="17" borderId="4" xfId="1" applyFont="1" applyFill="1" applyBorder="1" applyAlignment="1">
      <alignment vertical="center"/>
    </xf>
    <xf numFmtId="164" fontId="8" fillId="16" borderId="8" xfId="1" applyFont="1" applyFill="1" applyBorder="1" applyAlignment="1">
      <alignment vertical="center"/>
    </xf>
    <xf numFmtId="164" fontId="8" fillId="16" borderId="11" xfId="1" applyFont="1" applyFill="1" applyBorder="1" applyAlignment="1">
      <alignment vertical="center"/>
    </xf>
    <xf numFmtId="164" fontId="8" fillId="16" borderId="10" xfId="1" applyFont="1" applyFill="1" applyBorder="1" applyAlignment="1">
      <alignment vertical="center"/>
    </xf>
    <xf numFmtId="164" fontId="8" fillId="22" borderId="11" xfId="1" applyFont="1" applyFill="1" applyBorder="1" applyAlignment="1">
      <alignment vertical="center"/>
    </xf>
    <xf numFmtId="164" fontId="8" fillId="2" borderId="17" xfId="1" applyFont="1" applyFill="1" applyBorder="1" applyAlignment="1">
      <alignment vertical="center"/>
    </xf>
    <xf numFmtId="164" fontId="8" fillId="4" borderId="11" xfId="1" applyFont="1" applyFill="1" applyBorder="1" applyAlignment="1">
      <alignment vertical="center"/>
    </xf>
    <xf numFmtId="164" fontId="8" fillId="4" borderId="4" xfId="1" applyFont="1" applyFill="1" applyBorder="1" applyAlignment="1">
      <alignment vertical="center"/>
    </xf>
    <xf numFmtId="164" fontId="8" fillId="4" borderId="10" xfId="1" applyFont="1" applyFill="1" applyBorder="1" applyAlignment="1">
      <alignment vertical="center"/>
    </xf>
    <xf numFmtId="164" fontId="8" fillId="17" borderId="8" xfId="1" applyFont="1" applyFill="1" applyBorder="1" applyAlignment="1">
      <alignment vertical="center"/>
    </xf>
    <xf numFmtId="164" fontId="8" fillId="17" borderId="11" xfId="1" applyFont="1" applyFill="1" applyBorder="1" applyAlignment="1">
      <alignment vertical="center"/>
    </xf>
    <xf numFmtId="169" fontId="8" fillId="16" borderId="6" xfId="1" applyNumberFormat="1" applyFont="1" applyFill="1" applyBorder="1" applyAlignment="1">
      <alignment vertical="center"/>
    </xf>
    <xf numFmtId="169" fontId="8" fillId="16" borderId="36" xfId="1" applyNumberFormat="1" applyFont="1" applyFill="1" applyBorder="1" applyAlignment="1">
      <alignment vertical="center"/>
    </xf>
    <xf numFmtId="169" fontId="8" fillId="16" borderId="4" xfId="1" applyNumberFormat="1" applyFont="1" applyFill="1" applyBorder="1" applyAlignment="1">
      <alignment vertical="center"/>
    </xf>
    <xf numFmtId="169" fontId="8" fillId="16" borderId="12" xfId="1" applyNumberFormat="1" applyFont="1" applyFill="1" applyBorder="1" applyAlignment="1">
      <alignment vertical="center"/>
    </xf>
    <xf numFmtId="169" fontId="8" fillId="22" borderId="4" xfId="1" applyNumberFormat="1" applyFont="1" applyFill="1" applyBorder="1" applyAlignment="1">
      <alignment vertical="center"/>
    </xf>
    <xf numFmtId="169" fontId="8" fillId="22" borderId="12" xfId="1" applyNumberFormat="1" applyFont="1" applyFill="1" applyBorder="1" applyAlignment="1">
      <alignment vertical="center"/>
    </xf>
    <xf numFmtId="169" fontId="8" fillId="2" borderId="15" xfId="1" applyNumberFormat="1" applyFont="1" applyFill="1" applyBorder="1" applyAlignment="1">
      <alignment vertical="center"/>
    </xf>
    <xf numFmtId="169" fontId="8" fillId="2" borderId="33" xfId="1" applyNumberFormat="1" applyFont="1" applyFill="1" applyBorder="1" applyAlignment="1">
      <alignment vertical="center"/>
    </xf>
    <xf numFmtId="169" fontId="8" fillId="17" borderId="6" xfId="1" applyNumberFormat="1" applyFont="1" applyFill="1" applyBorder="1" applyAlignment="1">
      <alignment vertical="center"/>
    </xf>
    <xf numFmtId="169" fontId="8" fillId="17" borderId="7" xfId="1" applyNumberFormat="1" applyFont="1" applyFill="1" applyBorder="1" applyAlignment="1">
      <alignment vertical="center"/>
    </xf>
    <xf numFmtId="169" fontId="8" fillId="17" borderId="4" xfId="1" applyNumberFormat="1" applyFont="1" applyFill="1" applyBorder="1" applyAlignment="1">
      <alignment vertical="center"/>
    </xf>
    <xf numFmtId="169" fontId="8" fillId="17" borderId="10" xfId="1" applyNumberFormat="1" applyFont="1" applyFill="1" applyBorder="1" applyAlignment="1">
      <alignment vertical="center"/>
    </xf>
    <xf numFmtId="169" fontId="8" fillId="22" borderId="10" xfId="1" applyNumberFormat="1" applyFont="1" applyFill="1" applyBorder="1" applyAlignment="1">
      <alignment vertical="center"/>
    </xf>
    <xf numFmtId="169" fontId="8" fillId="2" borderId="16" xfId="1" applyNumberFormat="1" applyFont="1" applyFill="1" applyBorder="1" applyAlignment="1">
      <alignment vertical="center"/>
    </xf>
    <xf numFmtId="169" fontId="8" fillId="16" borderId="7" xfId="1" applyNumberFormat="1" applyFont="1" applyFill="1" applyBorder="1" applyAlignment="1">
      <alignment vertical="center"/>
    </xf>
    <xf numFmtId="169" fontId="8" fillId="16" borderId="10" xfId="1" applyNumberFormat="1" applyFont="1" applyFill="1" applyBorder="1" applyAlignment="1">
      <alignment vertical="center"/>
    </xf>
    <xf numFmtId="0" fontId="8" fillId="2" borderId="15" xfId="0" applyFont="1" applyFill="1" applyBorder="1" applyAlignment="1">
      <alignment vertical="center"/>
    </xf>
    <xf numFmtId="0" fontId="8" fillId="2" borderId="16" xfId="0" applyFont="1" applyFill="1" applyBorder="1" applyAlignment="1">
      <alignment vertical="center"/>
    </xf>
    <xf numFmtId="169" fontId="8" fillId="4" borderId="4" xfId="1" applyNumberFormat="1" applyFont="1" applyFill="1" applyBorder="1" applyAlignment="1">
      <alignment vertical="center"/>
    </xf>
    <xf numFmtId="169" fontId="8" fillId="4" borderId="10" xfId="1" applyNumberFormat="1" applyFont="1" applyFill="1" applyBorder="1" applyAlignment="1">
      <alignment vertical="center"/>
    </xf>
    <xf numFmtId="164" fontId="8" fillId="16" borderId="6" xfId="1" applyFont="1" applyFill="1" applyBorder="1" applyAlignment="1">
      <alignment horizontal="center" vertical="center"/>
    </xf>
    <xf numFmtId="164" fontId="8" fillId="16" borderId="35" xfId="1" applyFont="1" applyFill="1" applyBorder="1" applyAlignment="1">
      <alignment horizontal="center" vertical="center"/>
    </xf>
    <xf numFmtId="164" fontId="8" fillId="16" borderId="64" xfId="1" applyFont="1" applyFill="1" applyBorder="1" applyAlignment="1">
      <alignment vertical="center"/>
    </xf>
    <xf numFmtId="1" fontId="8" fillId="16" borderId="4" xfId="1" applyNumberFormat="1" applyFont="1" applyFill="1" applyBorder="1" applyAlignment="1">
      <alignment horizontal="center" vertical="center"/>
    </xf>
    <xf numFmtId="10" fontId="8" fillId="16" borderId="64" xfId="2" applyNumberFormat="1" applyFont="1" applyFill="1" applyBorder="1" applyAlignment="1">
      <alignment horizontal="center" vertical="center"/>
    </xf>
    <xf numFmtId="1" fontId="8" fillId="22" borderId="4" xfId="1" applyNumberFormat="1" applyFont="1" applyFill="1" applyBorder="1" applyAlignment="1">
      <alignment horizontal="center" vertical="center"/>
    </xf>
    <xf numFmtId="10" fontId="8" fillId="22" borderId="64" xfId="2" applyNumberFormat="1" applyFont="1" applyFill="1" applyBorder="1" applyAlignment="1">
      <alignment horizontal="center" vertical="center"/>
    </xf>
    <xf numFmtId="1" fontId="8" fillId="2" borderId="15" xfId="1" applyNumberFormat="1" applyFont="1" applyFill="1" applyBorder="1" applyAlignment="1">
      <alignment horizontal="center" vertical="center"/>
    </xf>
    <xf numFmtId="1" fontId="8" fillId="2" borderId="30" xfId="1" applyNumberFormat="1" applyFont="1" applyFill="1" applyBorder="1" applyAlignment="1">
      <alignment horizontal="center" vertical="center"/>
    </xf>
    <xf numFmtId="1" fontId="8" fillId="16" borderId="6" xfId="1" applyNumberFormat="1" applyFont="1" applyFill="1" applyBorder="1" applyAlignment="1">
      <alignment horizontal="center" vertical="center"/>
    </xf>
    <xf numFmtId="164" fontId="8" fillId="17" borderId="6" xfId="1" applyFont="1" applyFill="1" applyBorder="1" applyAlignment="1">
      <alignment horizontal="center" vertical="center"/>
    </xf>
    <xf numFmtId="164" fontId="8" fillId="17" borderId="44" xfId="1" applyFont="1" applyFill="1" applyBorder="1" applyAlignment="1">
      <alignment horizontal="center" vertical="center"/>
    </xf>
    <xf numFmtId="164" fontId="8" fillId="17" borderId="4" xfId="1" applyFont="1" applyFill="1" applyBorder="1" applyAlignment="1">
      <alignment horizontal="center" vertical="center"/>
    </xf>
    <xf numFmtId="164" fontId="8" fillId="17" borderId="13" xfId="1" applyFont="1" applyFill="1" applyBorder="1" applyAlignment="1">
      <alignment horizontal="center" vertical="center"/>
    </xf>
    <xf numFmtId="164" fontId="8" fillId="17" borderId="13" xfId="1" applyFont="1" applyFill="1" applyBorder="1" applyAlignment="1">
      <alignment vertical="center"/>
    </xf>
    <xf numFmtId="1" fontId="8" fillId="17" borderId="4" xfId="1" applyNumberFormat="1" applyFont="1" applyFill="1" applyBorder="1" applyAlignment="1">
      <alignment horizontal="center" vertical="center"/>
    </xf>
    <xf numFmtId="10" fontId="8" fillId="17" borderId="13" xfId="2" applyNumberFormat="1" applyFont="1" applyFill="1" applyBorder="1" applyAlignment="1">
      <alignment horizontal="center" vertical="center"/>
    </xf>
    <xf numFmtId="10" fontId="8" fillId="22" borderId="13" xfId="2" applyNumberFormat="1" applyFont="1" applyFill="1" applyBorder="1" applyAlignment="1">
      <alignment horizontal="center" vertical="center"/>
    </xf>
    <xf numFmtId="10" fontId="8" fillId="2" borderId="29" xfId="1" applyNumberFormat="1" applyFont="1" applyFill="1" applyBorder="1" applyAlignment="1">
      <alignment vertical="center"/>
    </xf>
    <xf numFmtId="1" fontId="8" fillId="17" borderId="6" xfId="1" applyNumberFormat="1" applyFont="1" applyFill="1" applyBorder="1" applyAlignment="1">
      <alignment horizontal="center" vertical="center"/>
    </xf>
    <xf numFmtId="1" fontId="8" fillId="16" borderId="7" xfId="1" applyNumberFormat="1" applyFont="1" applyFill="1" applyBorder="1" applyAlignment="1">
      <alignment horizontal="center" vertical="center"/>
    </xf>
    <xf numFmtId="1" fontId="8" fillId="16" borderId="10" xfId="1" applyNumberFormat="1" applyFont="1" applyFill="1" applyBorder="1" applyAlignment="1">
      <alignment horizontal="center" vertical="center"/>
    </xf>
    <xf numFmtId="1" fontId="8" fillId="2" borderId="16" xfId="1" applyNumberFormat="1" applyFont="1" applyFill="1" applyBorder="1" applyAlignment="1">
      <alignment horizontal="center" vertical="center"/>
    </xf>
    <xf numFmtId="1" fontId="8" fillId="17" borderId="7" xfId="1" applyNumberFormat="1" applyFont="1" applyFill="1" applyBorder="1" applyAlignment="1">
      <alignment horizontal="center" vertical="center"/>
    </xf>
    <xf numFmtId="1" fontId="8" fillId="17" borderId="10" xfId="1" applyNumberFormat="1" applyFont="1" applyFill="1" applyBorder="1" applyAlignment="1">
      <alignment horizontal="center" vertical="center"/>
    </xf>
    <xf numFmtId="10" fontId="8" fillId="17" borderId="10" xfId="2" applyNumberFormat="1" applyFont="1" applyFill="1" applyBorder="1" applyAlignment="1">
      <alignment horizontal="center" vertical="center"/>
    </xf>
    <xf numFmtId="10" fontId="8" fillId="17" borderId="7" xfId="2" applyNumberFormat="1" applyFont="1" applyFill="1" applyBorder="1" applyAlignment="1">
      <alignment horizontal="center" vertical="center"/>
    </xf>
    <xf numFmtId="10" fontId="8" fillId="16" borderId="6" xfId="2" applyNumberFormat="1" applyFont="1" applyFill="1" applyBorder="1" applyAlignment="1">
      <alignment horizontal="center" vertical="center"/>
    </xf>
    <xf numFmtId="10" fontId="8" fillId="16" borderId="4" xfId="2" applyNumberFormat="1" applyFont="1" applyFill="1" applyBorder="1" applyAlignment="1">
      <alignment horizontal="center" vertical="center"/>
    </xf>
    <xf numFmtId="10" fontId="8" fillId="22" borderId="4" xfId="2" applyNumberFormat="1" applyFont="1" applyFill="1" applyBorder="1" applyAlignment="1">
      <alignment horizontal="center" vertical="center"/>
    </xf>
    <xf numFmtId="10" fontId="8" fillId="2" borderId="15" xfId="2" applyNumberFormat="1" applyFont="1" applyFill="1" applyBorder="1" applyAlignment="1">
      <alignment horizontal="center" vertical="center"/>
    </xf>
    <xf numFmtId="10" fontId="8" fillId="4" borderId="6" xfId="2" applyNumberFormat="1" applyFont="1" applyFill="1" applyBorder="1" applyAlignment="1">
      <alignment horizontal="center" vertical="center"/>
    </xf>
    <xf numFmtId="10" fontId="8" fillId="4" borderId="7" xfId="2" applyNumberFormat="1" applyFont="1" applyFill="1" applyBorder="1" applyAlignment="1">
      <alignment horizontal="center" vertical="center"/>
    </xf>
    <xf numFmtId="10" fontId="8" fillId="17" borderId="6" xfId="2" applyNumberFormat="1" applyFont="1" applyFill="1" applyBorder="1" applyAlignment="1">
      <alignment horizontal="center" vertical="center"/>
    </xf>
    <xf numFmtId="10" fontId="8" fillId="17" borderId="4" xfId="2" applyNumberFormat="1" applyFont="1" applyFill="1" applyBorder="1" applyAlignment="1">
      <alignment horizontal="center" vertical="center"/>
    </xf>
    <xf numFmtId="167" fontId="8" fillId="16" borderId="5" xfId="1" applyNumberFormat="1" applyFont="1" applyFill="1" applyBorder="1" applyAlignment="1">
      <alignment vertical="center"/>
    </xf>
    <xf numFmtId="167" fontId="8" fillId="16" borderId="9" xfId="1" applyNumberFormat="1" applyFont="1" applyFill="1" applyBorder="1" applyAlignment="1">
      <alignment vertical="center"/>
    </xf>
    <xf numFmtId="167" fontId="8" fillId="16" borderId="9" xfId="1" applyNumberFormat="1" applyFont="1" applyFill="1" applyBorder="1" applyAlignment="1">
      <alignment horizontal="center" vertical="center"/>
    </xf>
    <xf numFmtId="167" fontId="8" fillId="22" borderId="9" xfId="1" applyNumberFormat="1" applyFont="1" applyFill="1" applyBorder="1" applyAlignment="1">
      <alignment horizontal="center" vertical="center"/>
    </xf>
    <xf numFmtId="167" fontId="8" fillId="2" borderId="14" xfId="1" applyNumberFormat="1" applyFont="1" applyFill="1" applyBorder="1" applyAlignment="1">
      <alignment vertical="center"/>
    </xf>
    <xf numFmtId="167" fontId="8" fillId="4" borderId="5" xfId="1" applyNumberFormat="1" applyFont="1" applyFill="1" applyBorder="1" applyAlignment="1">
      <alignment horizontal="center" vertical="center"/>
    </xf>
    <xf numFmtId="167" fontId="8" fillId="16" borderId="7" xfId="1" applyNumberFormat="1" applyFont="1" applyFill="1" applyBorder="1" applyAlignment="1">
      <alignment vertical="center"/>
    </xf>
    <xf numFmtId="164" fontId="8" fillId="17" borderId="5" xfId="1" applyFont="1" applyFill="1" applyBorder="1" applyAlignment="1">
      <alignment vertical="center"/>
    </xf>
    <xf numFmtId="167" fontId="8" fillId="16" borderId="10" xfId="1" applyNumberFormat="1" applyFont="1" applyFill="1" applyBorder="1" applyAlignment="1">
      <alignment vertical="center"/>
    </xf>
    <xf numFmtId="164" fontId="8" fillId="17" borderId="9" xfId="1" applyFont="1" applyFill="1" applyBorder="1" applyAlignment="1">
      <alignment vertical="center"/>
    </xf>
    <xf numFmtId="164" fontId="8" fillId="17" borderId="9" xfId="1" applyFont="1" applyFill="1" applyBorder="1" applyAlignment="1">
      <alignment horizontal="center" vertical="center"/>
    </xf>
    <xf numFmtId="164" fontId="8" fillId="22" borderId="9" xfId="1" applyFont="1" applyFill="1" applyBorder="1" applyAlignment="1">
      <alignment horizontal="center" vertical="center"/>
    </xf>
    <xf numFmtId="164" fontId="8" fillId="2" borderId="14" xfId="1" applyFont="1" applyFill="1" applyBorder="1" applyAlignment="1">
      <alignment vertical="center"/>
    </xf>
    <xf numFmtId="164" fontId="8" fillId="4" borderId="5" xfId="1" applyFont="1" applyFill="1" applyBorder="1" applyAlignment="1">
      <alignment horizontal="center" vertical="center"/>
    </xf>
    <xf numFmtId="164" fontId="8" fillId="17" borderId="7" xfId="1" applyFont="1" applyFill="1" applyBorder="1" applyAlignment="1">
      <alignment horizontal="center" vertical="center"/>
    </xf>
    <xf numFmtId="164" fontId="8" fillId="17" borderId="10" xfId="1" applyFont="1" applyFill="1" applyBorder="1" applyAlignment="1">
      <alignment horizontal="center" vertical="center"/>
    </xf>
    <xf numFmtId="164" fontId="8" fillId="17" borderId="56" xfId="1" applyFont="1" applyFill="1" applyBorder="1" applyAlignment="1">
      <alignment horizontal="center" vertical="center"/>
    </xf>
    <xf numFmtId="164" fontId="8" fillId="16" borderId="5" xfId="1" applyFont="1" applyFill="1" applyBorder="1" applyAlignment="1">
      <alignment vertical="center"/>
    </xf>
    <xf numFmtId="0" fontId="8" fillId="16" borderId="10" xfId="1" applyNumberFormat="1" applyFont="1" applyFill="1" applyBorder="1" applyAlignment="1">
      <alignment horizontal="center" vertical="center"/>
    </xf>
    <xf numFmtId="0" fontId="8" fillId="17" borderId="10" xfId="1" applyNumberFormat="1" applyFont="1" applyFill="1" applyBorder="1" applyAlignment="1">
      <alignment horizontal="center" vertical="center"/>
    </xf>
    <xf numFmtId="164" fontId="8" fillId="16" borderId="9" xfId="1" applyFont="1" applyFill="1" applyBorder="1" applyAlignment="1">
      <alignment vertical="center"/>
    </xf>
    <xf numFmtId="0" fontId="8" fillId="16" borderId="35" xfId="1" applyNumberFormat="1" applyFont="1" applyFill="1" applyBorder="1" applyAlignment="1">
      <alignment horizontal="center" vertical="center"/>
    </xf>
    <xf numFmtId="0" fontId="8" fillId="17" borderId="56" xfId="1" applyNumberFormat="1" applyFont="1" applyFill="1" applyBorder="1" applyAlignment="1">
      <alignment horizontal="center" vertical="center"/>
    </xf>
    <xf numFmtId="0" fontId="8" fillId="22" borderId="35" xfId="1" applyNumberFormat="1" applyFont="1" applyFill="1" applyBorder="1" applyAlignment="1">
      <alignment horizontal="center" vertical="center"/>
    </xf>
    <xf numFmtId="0" fontId="8" fillId="22" borderId="56" xfId="1" applyNumberFormat="1" applyFont="1" applyFill="1" applyBorder="1" applyAlignment="1">
      <alignment horizontal="center" vertical="center"/>
    </xf>
    <xf numFmtId="164" fontId="8" fillId="22" borderId="9" xfId="1" applyFont="1" applyFill="1" applyBorder="1" applyAlignment="1">
      <alignment vertical="center"/>
    </xf>
    <xf numFmtId="0" fontId="8" fillId="22" borderId="10" xfId="1" applyNumberFormat="1" applyFont="1" applyFill="1" applyBorder="1" applyAlignment="1">
      <alignment horizontal="center" vertical="center"/>
    </xf>
    <xf numFmtId="164" fontId="8" fillId="2" borderId="30" xfId="1" applyFont="1" applyFill="1" applyBorder="1" applyAlignment="1">
      <alignment vertical="center"/>
    </xf>
    <xf numFmtId="164" fontId="8" fillId="2" borderId="55" xfId="1" applyFont="1" applyFill="1" applyBorder="1" applyAlignment="1">
      <alignment vertical="center"/>
    </xf>
    <xf numFmtId="164" fontId="8" fillId="4" borderId="9" xfId="1" applyFont="1" applyFill="1" applyBorder="1" applyAlignment="1">
      <alignment vertical="center"/>
    </xf>
    <xf numFmtId="10" fontId="8" fillId="4" borderId="6" xfId="0" applyNumberFormat="1" applyFont="1" applyFill="1" applyBorder="1" applyAlignment="1">
      <alignment horizontal="center" vertical="center"/>
    </xf>
    <xf numFmtId="168" fontId="5" fillId="2" borderId="15" xfId="1" applyNumberFormat="1" applyFont="1" applyFill="1" applyBorder="1" applyAlignment="1">
      <alignment horizontal="center" vertical="center"/>
    </xf>
    <xf numFmtId="164" fontId="8" fillId="18" borderId="6" xfId="1" applyFont="1" applyFill="1" applyBorder="1" applyAlignment="1">
      <alignment vertical="center" wrapText="1"/>
    </xf>
    <xf numFmtId="164" fontId="8" fillId="7" borderId="6" xfId="1" applyFont="1" applyFill="1" applyBorder="1" applyAlignment="1">
      <alignment vertical="center" wrapText="1"/>
    </xf>
    <xf numFmtId="164" fontId="8" fillId="7" borderId="7" xfId="1" applyFont="1" applyFill="1" applyBorder="1" applyAlignment="1">
      <alignment vertical="center" wrapText="1"/>
    </xf>
    <xf numFmtId="164" fontId="8" fillId="7" borderId="15" xfId="1" applyFont="1" applyFill="1" applyBorder="1" applyAlignment="1">
      <alignment vertical="center" wrapText="1"/>
    </xf>
    <xf numFmtId="164" fontId="8" fillId="18" borderId="15" xfId="1" applyFont="1" applyFill="1" applyBorder="1" applyAlignment="1">
      <alignment vertical="center" wrapText="1"/>
    </xf>
    <xf numFmtId="164" fontId="8" fillId="18" borderId="16" xfId="1" applyFont="1" applyFill="1" applyBorder="1" applyAlignment="1">
      <alignment vertical="center" wrapText="1"/>
    </xf>
    <xf numFmtId="10" fontId="8" fillId="17" borderId="6" xfId="0" applyNumberFormat="1" applyFont="1" applyFill="1" applyBorder="1" applyAlignment="1">
      <alignment horizontal="center" vertical="center"/>
    </xf>
    <xf numFmtId="43" fontId="8" fillId="17" borderId="6" xfId="0" applyNumberFormat="1" applyFont="1" applyFill="1" applyBorder="1" applyAlignment="1">
      <alignment vertical="center"/>
    </xf>
    <xf numFmtId="10" fontId="8" fillId="17" borderId="44" xfId="0" applyNumberFormat="1" applyFont="1" applyFill="1" applyBorder="1" applyAlignment="1">
      <alignment horizontal="center" vertical="center"/>
    </xf>
    <xf numFmtId="43" fontId="8" fillId="16" borderId="6" xfId="0" applyNumberFormat="1" applyFont="1" applyFill="1" applyBorder="1" applyAlignment="1">
      <alignment vertical="center"/>
    </xf>
    <xf numFmtId="10" fontId="8" fillId="16" borderId="6" xfId="0" applyNumberFormat="1" applyFont="1" applyFill="1" applyBorder="1" applyAlignment="1">
      <alignment horizontal="center" vertical="center"/>
    </xf>
    <xf numFmtId="10" fontId="8" fillId="16" borderId="44" xfId="0" applyNumberFormat="1" applyFont="1" applyFill="1" applyBorder="1" applyAlignment="1">
      <alignment horizontal="center" vertical="center"/>
    </xf>
    <xf numFmtId="10" fontId="8" fillId="16" borderId="35" xfId="0" applyNumberFormat="1" applyFont="1" applyFill="1" applyBorder="1" applyAlignment="1">
      <alignment horizontal="center" vertical="center"/>
    </xf>
    <xf numFmtId="10" fontId="8" fillId="17" borderId="35" xfId="0" applyNumberFormat="1" applyFont="1" applyFill="1" applyBorder="1" applyAlignment="1">
      <alignment horizontal="center" vertical="center"/>
    </xf>
    <xf numFmtId="164" fontId="4" fillId="17" borderId="5" xfId="1" applyFont="1" applyFill="1" applyBorder="1" applyAlignment="1">
      <alignment horizontal="center" vertical="center"/>
    </xf>
    <xf numFmtId="164" fontId="4" fillId="17" borderId="9" xfId="1" applyFont="1" applyFill="1" applyBorder="1" applyAlignment="1">
      <alignment horizontal="center" vertical="center"/>
    </xf>
    <xf numFmtId="164" fontId="4" fillId="22" borderId="9" xfId="1" applyFont="1" applyFill="1" applyBorder="1" applyAlignment="1">
      <alignment horizontal="center" vertical="center"/>
    </xf>
    <xf numFmtId="1" fontId="4" fillId="2" borderId="14" xfId="1" applyNumberFormat="1" applyFont="1" applyFill="1" applyBorder="1" applyAlignment="1">
      <alignment horizontal="center" vertical="center"/>
    </xf>
    <xf numFmtId="0" fontId="4" fillId="2" borderId="14" xfId="0" applyFont="1" applyFill="1" applyBorder="1" applyAlignment="1">
      <alignment horizontal="center" vertical="center"/>
    </xf>
    <xf numFmtId="164" fontId="8" fillId="22" borderId="10" xfId="1" applyFont="1" applyFill="1" applyBorder="1" applyAlignment="1">
      <alignment horizontal="center" vertical="center"/>
    </xf>
    <xf numFmtId="164" fontId="8" fillId="4" borderId="7" xfId="1" applyFont="1" applyFill="1" applyBorder="1" applyAlignment="1">
      <alignment horizontal="center" vertical="center"/>
    </xf>
    <xf numFmtId="10" fontId="4" fillId="17" borderId="5" xfId="2" applyNumberFormat="1" applyFont="1" applyFill="1" applyBorder="1" applyAlignment="1">
      <alignment horizontal="center" vertical="center"/>
    </xf>
    <xf numFmtId="10" fontId="5" fillId="17" borderId="5" xfId="2" applyNumberFormat="1" applyFont="1" applyFill="1" applyBorder="1" applyAlignment="1">
      <alignment horizontal="center" vertical="center"/>
    </xf>
    <xf numFmtId="10" fontId="4" fillId="22" borderId="8" xfId="2" applyNumberFormat="1" applyFont="1" applyFill="1" applyBorder="1" applyAlignment="1">
      <alignment horizontal="center" vertical="center"/>
    </xf>
    <xf numFmtId="10" fontId="4" fillId="22" borderId="5" xfId="2" applyNumberFormat="1" applyFont="1" applyFill="1" applyBorder="1" applyAlignment="1">
      <alignment horizontal="center" vertical="center"/>
    </xf>
    <xf numFmtId="43" fontId="5" fillId="16" borderId="6" xfId="0" applyNumberFormat="1" applyFont="1" applyFill="1" applyBorder="1" applyAlignment="1">
      <alignment horizontal="center" vertical="center"/>
    </xf>
    <xf numFmtId="164" fontId="5" fillId="4" borderId="7" xfId="1" applyFont="1" applyFill="1" applyBorder="1" applyAlignment="1">
      <alignment horizontal="center" vertical="center"/>
    </xf>
    <xf numFmtId="43" fontId="5" fillId="17" borderId="6" xfId="0" applyNumberFormat="1" applyFont="1" applyFill="1" applyBorder="1" applyAlignment="1">
      <alignment horizontal="center" vertical="center"/>
    </xf>
    <xf numFmtId="167" fontId="8" fillId="17" borderId="6" xfId="1" applyNumberFormat="1" applyFont="1" applyFill="1" applyBorder="1" applyAlignment="1">
      <alignment vertical="center"/>
    </xf>
    <xf numFmtId="168" fontId="5" fillId="2" borderId="17" xfId="1" applyNumberFormat="1" applyFont="1" applyFill="1" applyBorder="1" applyAlignment="1">
      <alignment horizontal="left" vertical="center"/>
    </xf>
    <xf numFmtId="167" fontId="8" fillId="16" borderId="6" xfId="1" applyNumberFormat="1" applyFont="1" applyFill="1" applyBorder="1" applyAlignment="1">
      <alignment vertical="center"/>
    </xf>
    <xf numFmtId="18" fontId="3" fillId="0" borderId="0" xfId="0" applyNumberFormat="1" applyFont="1" applyAlignment="1">
      <alignment horizontal="center" vertical="center" wrapText="1"/>
    </xf>
    <xf numFmtId="0" fontId="3" fillId="0" borderId="0" xfId="0" applyFont="1" applyAlignment="1">
      <alignment vertical="center" wrapText="1"/>
    </xf>
    <xf numFmtId="0" fontId="6" fillId="19" borderId="1" xfId="0" applyFont="1" applyFill="1" applyBorder="1" applyAlignment="1">
      <alignment horizontal="center" vertical="center"/>
    </xf>
    <xf numFmtId="167" fontId="4" fillId="0" borderId="0" xfId="0" applyNumberFormat="1" applyFont="1" applyAlignment="1">
      <alignment vertical="center"/>
    </xf>
    <xf numFmtId="164" fontId="5" fillId="0" borderId="34" xfId="1" applyFont="1" applyBorder="1" applyAlignment="1">
      <alignment vertical="center"/>
    </xf>
    <xf numFmtId="0" fontId="5" fillId="0" borderId="3" xfId="0" applyFont="1" applyBorder="1" applyAlignment="1">
      <alignment horizontal="center" vertical="center"/>
    </xf>
    <xf numFmtId="0" fontId="3" fillId="0" borderId="0" xfId="0" applyFont="1" applyAlignment="1">
      <alignment horizontal="left" vertical="center"/>
    </xf>
    <xf numFmtId="10" fontId="4" fillId="17" borderId="8" xfId="2" applyNumberFormat="1" applyFont="1" applyFill="1" applyBorder="1" applyAlignment="1">
      <alignment horizontal="center" vertical="center"/>
    </xf>
    <xf numFmtId="10" fontId="4" fillId="16" borderId="11" xfId="2" applyNumberFormat="1" applyFont="1" applyFill="1" applyBorder="1" applyAlignment="1">
      <alignment horizontal="center" vertical="center"/>
    </xf>
    <xf numFmtId="10" fontId="4" fillId="17" borderId="11" xfId="2" applyNumberFormat="1" applyFont="1" applyFill="1" applyBorder="1" applyAlignment="1">
      <alignment horizontal="center" vertical="center"/>
    </xf>
    <xf numFmtId="10" fontId="4" fillId="2" borderId="16" xfId="2" applyNumberFormat="1" applyFont="1" applyFill="1" applyBorder="1" applyAlignment="1">
      <alignment horizontal="center" vertical="center"/>
    </xf>
    <xf numFmtId="10" fontId="5" fillId="4" borderId="7" xfId="2" applyNumberFormat="1" applyFont="1" applyFill="1" applyBorder="1" applyAlignment="1">
      <alignment horizontal="center" vertical="center"/>
    </xf>
    <xf numFmtId="10" fontId="5" fillId="17" borderId="8" xfId="2" applyNumberFormat="1" applyFont="1" applyFill="1" applyBorder="1" applyAlignment="1">
      <alignment horizontal="center" vertical="center"/>
    </xf>
    <xf numFmtId="10" fontId="4" fillId="22" borderId="11" xfId="2" applyNumberFormat="1" applyFont="1" applyFill="1" applyBorder="1" applyAlignment="1">
      <alignment horizontal="center" vertical="center"/>
    </xf>
    <xf numFmtId="0" fontId="22" fillId="0" borderId="0" xfId="3" applyFont="1" applyAlignment="1">
      <alignment vertical="center"/>
    </xf>
    <xf numFmtId="22" fontId="4" fillId="0" borderId="0" xfId="0" applyNumberFormat="1" applyFont="1" applyAlignment="1">
      <alignment vertical="center"/>
    </xf>
    <xf numFmtId="0" fontId="5" fillId="0" borderId="55" xfId="0" applyFont="1" applyBorder="1" applyAlignment="1">
      <alignment horizontal="center" vertical="center"/>
    </xf>
    <xf numFmtId="164" fontId="5" fillId="0" borderId="34" xfId="1" applyFont="1" applyFill="1" applyBorder="1" applyAlignment="1">
      <alignment vertical="center"/>
    </xf>
    <xf numFmtId="164" fontId="4" fillId="0" borderId="0" xfId="1" applyFont="1" applyAlignment="1">
      <alignment vertical="center"/>
    </xf>
    <xf numFmtId="10" fontId="4" fillId="0" borderId="0" xfId="2" applyNumberFormat="1" applyFont="1" applyFill="1" applyBorder="1" applyAlignment="1">
      <alignment horizontal="center" vertical="center"/>
    </xf>
    <xf numFmtId="1" fontId="4" fillId="7" borderId="4" xfId="0" applyNumberFormat="1" applyFont="1" applyFill="1" applyBorder="1" applyAlignment="1">
      <alignment horizontal="center" vertical="center"/>
    </xf>
    <xf numFmtId="1" fontId="4" fillId="21" borderId="4" xfId="0" applyNumberFormat="1" applyFont="1" applyFill="1" applyBorder="1" applyAlignment="1">
      <alignment horizontal="center" vertical="center"/>
    </xf>
    <xf numFmtId="164" fontId="8" fillId="17" borderId="36" xfId="1" applyFont="1" applyFill="1" applyBorder="1" applyAlignment="1">
      <alignment vertical="center"/>
    </xf>
    <xf numFmtId="164" fontId="8" fillId="17" borderId="12" xfId="1" applyFont="1" applyFill="1" applyBorder="1" applyAlignment="1">
      <alignment vertical="center"/>
    </xf>
    <xf numFmtId="164" fontId="8" fillId="4" borderId="12" xfId="1" applyFont="1" applyFill="1" applyBorder="1" applyAlignment="1">
      <alignment vertical="center"/>
    </xf>
    <xf numFmtId="168" fontId="4" fillId="17" borderId="36" xfId="1" applyNumberFormat="1" applyFont="1" applyFill="1" applyBorder="1" applyAlignment="1">
      <alignment vertical="center"/>
    </xf>
    <xf numFmtId="164" fontId="4" fillId="16" borderId="9" xfId="1" applyFont="1" applyFill="1" applyBorder="1" applyAlignment="1">
      <alignment horizontal="center" vertical="center"/>
    </xf>
    <xf numFmtId="164" fontId="4" fillId="2" borderId="14" xfId="1" applyFont="1" applyFill="1" applyBorder="1" applyAlignment="1">
      <alignment horizontal="center" vertical="center"/>
    </xf>
    <xf numFmtId="164" fontId="14" fillId="0" borderId="41" xfId="1" applyFont="1" applyBorder="1" applyAlignment="1">
      <alignment vertical="center" wrapText="1"/>
    </xf>
    <xf numFmtId="2" fontId="14" fillId="0" borderId="60" xfId="2" applyNumberFormat="1" applyFont="1" applyBorder="1" applyAlignment="1">
      <alignment horizontal="center" vertical="center" wrapText="1"/>
    </xf>
    <xf numFmtId="18" fontId="3" fillId="0" borderId="45" xfId="0" applyNumberFormat="1" applyFont="1" applyBorder="1" applyAlignment="1">
      <alignment horizontal="center" vertical="center" wrapText="1"/>
    </xf>
    <xf numFmtId="165" fontId="15" fillId="7" borderId="39" xfId="0" applyNumberFormat="1" applyFont="1" applyFill="1" applyBorder="1" applyAlignment="1">
      <alignment horizontal="center" vertical="center"/>
    </xf>
    <xf numFmtId="0" fontId="5" fillId="0" borderId="0" xfId="0" applyFont="1" applyAlignment="1">
      <alignment vertical="center" wrapText="1"/>
    </xf>
    <xf numFmtId="10" fontId="4" fillId="7" borderId="4" xfId="0" applyNumberFormat="1" applyFont="1" applyFill="1" applyBorder="1" applyAlignment="1">
      <alignment horizontal="center" vertical="center"/>
    </xf>
    <xf numFmtId="10" fontId="4" fillId="21" borderId="4" xfId="0" applyNumberFormat="1" applyFont="1" applyFill="1" applyBorder="1" applyAlignment="1">
      <alignment horizontal="center" vertical="center"/>
    </xf>
    <xf numFmtId="2" fontId="4" fillId="7" borderId="4" xfId="1" applyNumberFormat="1" applyFont="1" applyFill="1" applyBorder="1" applyAlignment="1">
      <alignment horizontal="center" vertical="center"/>
    </xf>
    <xf numFmtId="2" fontId="4" fillId="21" borderId="4" xfId="1" applyNumberFormat="1" applyFont="1" applyFill="1" applyBorder="1" applyAlignment="1">
      <alignment horizontal="center" vertical="center"/>
    </xf>
    <xf numFmtId="1" fontId="4" fillId="0" borderId="4" xfId="0" applyNumberFormat="1" applyFont="1" applyBorder="1" applyAlignment="1">
      <alignment horizontal="center" vertical="center"/>
    </xf>
    <xf numFmtId="164" fontId="4" fillId="7" borderId="4" xfId="1" quotePrefix="1" applyFont="1" applyFill="1" applyBorder="1" applyAlignment="1">
      <alignment horizontal="center" vertical="center"/>
    </xf>
    <xf numFmtId="165" fontId="15" fillId="7" borderId="0" xfId="0" applyNumberFormat="1" applyFont="1" applyFill="1" applyAlignment="1">
      <alignment horizontal="center" vertical="center"/>
    </xf>
    <xf numFmtId="0" fontId="8" fillId="7" borderId="4" xfId="0" applyFont="1" applyFill="1" applyBorder="1" applyAlignment="1">
      <alignment horizontal="left" vertical="center"/>
    </xf>
    <xf numFmtId="0" fontId="8" fillId="21" borderId="4" xfId="0" applyFont="1" applyFill="1" applyBorder="1" applyAlignment="1">
      <alignment horizontal="left" vertical="center"/>
    </xf>
    <xf numFmtId="164" fontId="4" fillId="22" borderId="8" xfId="1" applyFont="1" applyFill="1" applyBorder="1" applyAlignment="1">
      <alignment vertical="center"/>
    </xf>
    <xf numFmtId="164" fontId="4" fillId="2" borderId="17" xfId="1" applyFont="1" applyFill="1" applyBorder="1" applyAlignment="1">
      <alignment vertical="center"/>
    </xf>
    <xf numFmtId="164" fontId="8" fillId="17" borderId="35" xfId="1" applyFont="1" applyFill="1" applyBorder="1" applyAlignment="1">
      <alignment vertical="center"/>
    </xf>
    <xf numFmtId="164" fontId="8" fillId="17" borderId="64" xfId="1" applyFont="1" applyFill="1" applyBorder="1" applyAlignment="1">
      <alignment vertical="center"/>
    </xf>
    <xf numFmtId="164" fontId="8" fillId="16" borderId="35" xfId="1" applyFont="1" applyFill="1" applyBorder="1" applyAlignment="1">
      <alignment vertical="center"/>
    </xf>
    <xf numFmtId="0" fontId="4" fillId="15" borderId="0" xfId="0" applyFont="1" applyFill="1" applyAlignment="1">
      <alignment vertical="center"/>
    </xf>
    <xf numFmtId="167" fontId="8" fillId="17" borderId="5" xfId="1" applyNumberFormat="1" applyFont="1" applyFill="1" applyBorder="1" applyAlignment="1">
      <alignment vertical="center"/>
    </xf>
    <xf numFmtId="167" fontId="8" fillId="17" borderId="7" xfId="1" applyNumberFormat="1" applyFont="1" applyFill="1" applyBorder="1" applyAlignment="1">
      <alignment horizontal="center" vertical="center"/>
    </xf>
    <xf numFmtId="167" fontId="8" fillId="17" borderId="9" xfId="1" applyNumberFormat="1" applyFont="1" applyFill="1" applyBorder="1" applyAlignment="1">
      <alignment vertical="center"/>
    </xf>
    <xf numFmtId="167" fontId="8" fillId="17" borderId="10" xfId="1" applyNumberFormat="1" applyFont="1" applyFill="1" applyBorder="1" applyAlignment="1">
      <alignment horizontal="center" vertical="center"/>
    </xf>
    <xf numFmtId="167" fontId="8" fillId="17" borderId="9" xfId="1" applyNumberFormat="1" applyFont="1" applyFill="1" applyBorder="1" applyAlignment="1">
      <alignment horizontal="center" vertical="center"/>
    </xf>
    <xf numFmtId="167" fontId="8" fillId="22" borderId="10" xfId="1" applyNumberFormat="1" applyFont="1" applyFill="1" applyBorder="1" applyAlignment="1">
      <alignment horizontal="center" vertical="center"/>
    </xf>
    <xf numFmtId="167" fontId="8" fillId="4" borderId="7" xfId="1" applyNumberFormat="1" applyFont="1" applyFill="1" applyBorder="1" applyAlignment="1">
      <alignment horizontal="center" vertical="center"/>
    </xf>
    <xf numFmtId="10" fontId="4" fillId="17" borderId="9" xfId="2" applyNumberFormat="1" applyFont="1" applyFill="1" applyBorder="1" applyAlignment="1">
      <alignment horizontal="center" vertical="center"/>
    </xf>
    <xf numFmtId="10" fontId="5" fillId="16" borderId="35" xfId="2" applyNumberFormat="1" applyFont="1" applyFill="1" applyBorder="1" applyAlignment="1">
      <alignment horizontal="center" vertical="center"/>
    </xf>
    <xf numFmtId="10" fontId="5" fillId="2" borderId="30" xfId="2" applyNumberFormat="1" applyFont="1" applyFill="1" applyBorder="1" applyAlignment="1">
      <alignment horizontal="center" vertical="center"/>
    </xf>
    <xf numFmtId="10" fontId="8" fillId="16" borderId="35" xfId="2" applyNumberFormat="1" applyFont="1" applyFill="1" applyBorder="1" applyAlignment="1">
      <alignment horizontal="center" vertical="center"/>
    </xf>
    <xf numFmtId="10" fontId="8" fillId="2" borderId="30" xfId="2" applyNumberFormat="1" applyFont="1" applyFill="1" applyBorder="1" applyAlignment="1">
      <alignment horizontal="center" vertical="center"/>
    </xf>
    <xf numFmtId="10" fontId="19" fillId="2" borderId="30" xfId="2" applyNumberFormat="1" applyFont="1" applyFill="1" applyBorder="1" applyAlignment="1">
      <alignment horizontal="center" vertical="center"/>
    </xf>
    <xf numFmtId="10" fontId="4" fillId="2" borderId="30" xfId="2" applyNumberFormat="1" applyFont="1" applyFill="1" applyBorder="1" applyAlignment="1">
      <alignment horizontal="center" vertical="center"/>
    </xf>
    <xf numFmtId="10" fontId="5" fillId="17" borderId="35" xfId="2" applyNumberFormat="1" applyFont="1" applyFill="1" applyBorder="1" applyAlignment="1">
      <alignment horizontal="center" vertical="center"/>
    </xf>
    <xf numFmtId="10" fontId="8" fillId="17" borderId="35" xfId="2" applyNumberFormat="1" applyFont="1" applyFill="1" applyBorder="1" applyAlignment="1">
      <alignment horizontal="center" vertical="center"/>
    </xf>
    <xf numFmtId="10" fontId="8" fillId="17" borderId="64" xfId="2" applyNumberFormat="1" applyFont="1" applyFill="1" applyBorder="1" applyAlignment="1">
      <alignment horizontal="center" vertical="center"/>
    </xf>
    <xf numFmtId="164" fontId="4" fillId="16" borderId="5" xfId="1" applyFont="1" applyFill="1" applyBorder="1" applyAlignment="1">
      <alignment horizontal="center" vertical="center"/>
    </xf>
    <xf numFmtId="175" fontId="4" fillId="0" borderId="0" xfId="2" applyNumberFormat="1" applyFont="1" applyAlignment="1">
      <alignment vertical="center"/>
    </xf>
    <xf numFmtId="10" fontId="8" fillId="4" borderId="35" xfId="2" applyNumberFormat="1" applyFont="1" applyFill="1" applyBorder="1" applyAlignment="1">
      <alignment horizontal="center" vertical="center"/>
    </xf>
    <xf numFmtId="164" fontId="4" fillId="16" borderId="4" xfId="2" applyNumberFormat="1" applyFont="1" applyFill="1" applyBorder="1" applyAlignment="1">
      <alignment horizontal="center" vertical="center"/>
    </xf>
    <xf numFmtId="0" fontId="21" fillId="0" borderId="0" xfId="3" applyAlignment="1">
      <alignment vertical="center"/>
    </xf>
    <xf numFmtId="164" fontId="8" fillId="4" borderId="6" xfId="0" applyNumberFormat="1" applyFont="1" applyFill="1" applyBorder="1" applyAlignment="1">
      <alignment horizontal="center" vertical="center"/>
    </xf>
    <xf numFmtId="43" fontId="4" fillId="0" borderId="0" xfId="0" applyNumberFormat="1" applyFont="1" applyAlignment="1">
      <alignment horizontal="center" vertical="center"/>
    </xf>
    <xf numFmtId="43" fontId="17" fillId="0" borderId="0" xfId="0" applyNumberFormat="1" applyFont="1" applyAlignment="1">
      <alignment vertical="center"/>
    </xf>
    <xf numFmtId="0" fontId="23" fillId="7" borderId="4" xfId="0" applyFont="1" applyFill="1" applyBorder="1" applyAlignment="1">
      <alignment horizontal="center" vertical="center"/>
    </xf>
    <xf numFmtId="0" fontId="5" fillId="2" borderId="4" xfId="0" applyFont="1" applyFill="1" applyBorder="1" applyAlignment="1">
      <alignment horizontal="center" vertical="center"/>
    </xf>
    <xf numFmtId="0" fontId="5" fillId="3" borderId="4" xfId="2" applyNumberFormat="1" applyFont="1" applyFill="1" applyBorder="1" applyAlignment="1">
      <alignment horizontal="center" vertical="center"/>
    </xf>
    <xf numFmtId="9" fontId="5" fillId="3" borderId="4" xfId="0" applyNumberFormat="1" applyFont="1" applyFill="1" applyBorder="1" applyAlignment="1">
      <alignment horizontal="center" vertical="center"/>
    </xf>
    <xf numFmtId="0" fontId="5" fillId="3"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34"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1"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1" xfId="0" applyFont="1" applyFill="1" applyBorder="1" applyAlignment="1">
      <alignment horizontal="center" vertical="center"/>
    </xf>
    <xf numFmtId="0" fontId="5" fillId="2" borderId="5" xfId="0" applyFont="1" applyFill="1" applyBorder="1" applyAlignment="1">
      <alignment horizontal="left" vertical="center"/>
    </xf>
    <xf numFmtId="0" fontId="5" fillId="2" borderId="36" xfId="0" applyFont="1" applyFill="1" applyBorder="1" applyAlignment="1">
      <alignment horizontal="left" vertical="center"/>
    </xf>
    <xf numFmtId="0" fontId="5" fillId="2" borderId="14" xfId="0" applyFont="1" applyFill="1" applyBorder="1" applyAlignment="1">
      <alignment horizontal="left" vertical="center"/>
    </xf>
    <xf numFmtId="0" fontId="5" fillId="2" borderId="33" xfId="0" applyFont="1" applyFill="1" applyBorder="1" applyAlignment="1">
      <alignment horizontal="left" vertical="center"/>
    </xf>
    <xf numFmtId="166" fontId="5" fillId="5" borderId="4" xfId="0" applyNumberFormat="1" applyFont="1" applyFill="1" applyBorder="1" applyAlignment="1">
      <alignment horizontal="center" vertical="center" wrapText="1"/>
    </xf>
    <xf numFmtId="0" fontId="5" fillId="6" borderId="3" xfId="0" applyFont="1" applyFill="1" applyBorder="1" applyAlignment="1">
      <alignment horizontal="center" vertical="center"/>
    </xf>
    <xf numFmtId="0" fontId="5" fillId="6" borderId="32" xfId="0" applyFont="1" applyFill="1" applyBorder="1" applyAlignment="1">
      <alignment horizontal="center" vertical="center"/>
    </xf>
    <xf numFmtId="0" fontId="5" fillId="6" borderId="22" xfId="0" applyFont="1" applyFill="1" applyBorder="1" applyAlignment="1">
      <alignment horizontal="center" vertical="center"/>
    </xf>
    <xf numFmtId="43" fontId="5" fillId="3" borderId="4" xfId="0" applyNumberFormat="1" applyFont="1" applyFill="1" applyBorder="1" applyAlignment="1">
      <alignment horizontal="center" vertical="center"/>
    </xf>
    <xf numFmtId="164" fontId="5" fillId="3" borderId="4" xfId="1" applyFont="1" applyFill="1" applyBorder="1" applyAlignment="1">
      <alignment horizontal="center" vertical="center"/>
    </xf>
    <xf numFmtId="10" fontId="5" fillId="5" borderId="4" xfId="2" applyNumberFormat="1" applyFont="1" applyFill="1" applyBorder="1" applyAlignment="1">
      <alignment horizontal="center" vertical="center"/>
    </xf>
    <xf numFmtId="10" fontId="5" fillId="3" borderId="4" xfId="1" applyNumberFormat="1" applyFont="1" applyFill="1" applyBorder="1" applyAlignment="1">
      <alignment horizontal="center" vertical="center"/>
    </xf>
    <xf numFmtId="164" fontId="5" fillId="5" borderId="4" xfId="1" applyFont="1" applyFill="1" applyBorder="1" applyAlignment="1">
      <alignment horizontal="center" vertical="center"/>
    </xf>
    <xf numFmtId="10" fontId="5" fillId="5" borderId="12" xfId="1" applyNumberFormat="1" applyFont="1" applyFill="1" applyBorder="1" applyAlignment="1">
      <alignment horizontal="center" vertical="center"/>
    </xf>
    <xf numFmtId="10" fontId="5" fillId="5" borderId="11" xfId="1" applyNumberFormat="1" applyFont="1" applyFill="1" applyBorder="1" applyAlignment="1">
      <alignment horizontal="center" vertical="center"/>
    </xf>
    <xf numFmtId="0" fontId="5" fillId="5" borderId="4" xfId="1" applyNumberFormat="1" applyFont="1" applyFill="1" applyBorder="1" applyAlignment="1">
      <alignment horizontal="center" vertical="center"/>
    </xf>
    <xf numFmtId="10" fontId="5" fillId="3" borderId="4" xfId="0" applyNumberFormat="1" applyFont="1" applyFill="1" applyBorder="1" applyAlignment="1">
      <alignment horizontal="center" vertical="center"/>
    </xf>
    <xf numFmtId="9" fontId="5" fillId="3" borderId="12"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165" fontId="15" fillId="7" borderId="36" xfId="0" applyNumberFormat="1" applyFont="1" applyFill="1" applyBorder="1" applyAlignment="1">
      <alignment horizontal="center" vertical="center" wrapText="1"/>
    </xf>
    <xf numFmtId="165" fontId="15" fillId="7" borderId="8" xfId="0" applyNumberFormat="1" applyFont="1" applyFill="1" applyBorder="1" applyAlignment="1">
      <alignment horizontal="center" vertical="center" wrapText="1"/>
    </xf>
    <xf numFmtId="0" fontId="6" fillId="12" borderId="36" xfId="0" applyFont="1" applyFill="1" applyBorder="1" applyAlignment="1">
      <alignment horizontal="center" vertical="center"/>
    </xf>
    <xf numFmtId="0" fontId="6" fillId="12" borderId="44" xfId="0" applyFont="1" applyFill="1" applyBorder="1" applyAlignment="1">
      <alignment horizontal="center" vertical="center"/>
    </xf>
    <xf numFmtId="0" fontId="5" fillId="2" borderId="39"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4" xfId="1" applyNumberFormat="1" applyFont="1" applyFill="1" applyBorder="1" applyAlignment="1">
      <alignment horizontal="center" vertical="center" wrapText="1"/>
    </xf>
    <xf numFmtId="169" fontId="5" fillId="2" borderId="4" xfId="1" applyNumberFormat="1" applyFont="1" applyFill="1" applyBorder="1" applyAlignment="1">
      <alignment horizontal="center" vertical="center" wrapText="1"/>
    </xf>
    <xf numFmtId="0" fontId="5" fillId="18" borderId="45" xfId="0" applyFont="1" applyFill="1" applyBorder="1" applyAlignment="1">
      <alignment horizontal="center" vertical="center"/>
    </xf>
    <xf numFmtId="0" fontId="5" fillId="18" borderId="62" xfId="0" applyFont="1" applyFill="1" applyBorder="1" applyAlignment="1">
      <alignment horizontal="center" vertical="center"/>
    </xf>
    <xf numFmtId="0" fontId="5" fillId="18" borderId="57" xfId="0" applyFont="1" applyFill="1" applyBorder="1" applyAlignment="1">
      <alignment horizontal="center" vertical="center"/>
    </xf>
    <xf numFmtId="0" fontId="5" fillId="7" borderId="45" xfId="0" applyFont="1" applyFill="1" applyBorder="1" applyAlignment="1">
      <alignment horizontal="center" vertical="center" wrapText="1"/>
    </xf>
    <xf numFmtId="0" fontId="5" fillId="7" borderId="57" xfId="0" applyFont="1" applyFill="1" applyBorder="1" applyAlignment="1">
      <alignment horizontal="center" vertical="center" wrapText="1"/>
    </xf>
    <xf numFmtId="0" fontId="6" fillId="10" borderId="45" xfId="0" applyFont="1" applyFill="1" applyBorder="1" applyAlignment="1">
      <alignment horizontal="center" vertical="center"/>
    </xf>
    <xf numFmtId="0" fontId="6" fillId="10" borderId="62" xfId="0" applyFont="1" applyFill="1" applyBorder="1" applyAlignment="1">
      <alignment horizontal="center" vertical="center"/>
    </xf>
    <xf numFmtId="0" fontId="6" fillId="10" borderId="57" xfId="0" applyFont="1" applyFill="1" applyBorder="1" applyAlignment="1">
      <alignment horizontal="center" vertical="center"/>
    </xf>
    <xf numFmtId="169" fontId="5" fillId="4" borderId="4" xfId="1"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8" fillId="2" borderId="4" xfId="1" applyNumberFormat="1" applyFont="1" applyFill="1" applyBorder="1" applyAlignment="1">
      <alignment horizontal="center" vertical="center" wrapText="1"/>
    </xf>
    <xf numFmtId="170" fontId="5" fillId="2" borderId="4" xfId="1" applyNumberFormat="1" applyFont="1" applyFill="1" applyBorder="1" applyAlignment="1">
      <alignment horizontal="center" vertical="center" wrapText="1"/>
    </xf>
    <xf numFmtId="0" fontId="5" fillId="4" borderId="39"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6" borderId="4" xfId="1" applyNumberFormat="1" applyFont="1" applyFill="1" applyBorder="1" applyAlignment="1">
      <alignment horizontal="center" vertical="center" wrapText="1"/>
    </xf>
    <xf numFmtId="0" fontId="6" fillId="10" borderId="4" xfId="0" applyFont="1" applyFill="1" applyBorder="1" applyAlignment="1">
      <alignment horizontal="center" vertical="center" wrapText="1"/>
    </xf>
    <xf numFmtId="0" fontId="6" fillId="10" borderId="4" xfId="1" applyNumberFormat="1" applyFont="1" applyFill="1" applyBorder="1" applyAlignment="1">
      <alignment horizontal="center" vertical="center" wrapText="1"/>
    </xf>
    <xf numFmtId="10" fontId="4" fillId="0" borderId="0" xfId="2" applyNumberFormat="1" applyFont="1" applyBorder="1" applyAlignment="1">
      <alignment horizontal="center" vertical="center"/>
    </xf>
    <xf numFmtId="10" fontId="4" fillId="0" borderId="65" xfId="2" applyNumberFormat="1" applyFont="1" applyBorder="1" applyAlignment="1">
      <alignment horizontal="center" vertical="center"/>
    </xf>
    <xf numFmtId="10" fontId="4" fillId="0" borderId="49" xfId="2" applyNumberFormat="1" applyFont="1" applyBorder="1" applyAlignment="1">
      <alignment horizontal="center" vertical="center"/>
    </xf>
    <xf numFmtId="0" fontId="5" fillId="7" borderId="4" xfId="1" applyNumberFormat="1" applyFont="1" applyFill="1" applyBorder="1" applyAlignment="1">
      <alignment horizontal="center" vertical="center" wrapText="1"/>
    </xf>
    <xf numFmtId="0" fontId="5" fillId="8" borderId="4" xfId="1" applyNumberFormat="1" applyFont="1" applyFill="1" applyBorder="1" applyAlignment="1">
      <alignment horizontal="center" vertical="center" wrapText="1"/>
    </xf>
    <xf numFmtId="0" fontId="4" fillId="0" borderId="0" xfId="0" applyFont="1" applyAlignment="1">
      <alignment horizontal="center" vertical="center"/>
    </xf>
    <xf numFmtId="43" fontId="4" fillId="0" borderId="0" xfId="0" applyNumberFormat="1" applyFont="1" applyAlignment="1">
      <alignment horizontal="center" vertical="center"/>
    </xf>
    <xf numFmtId="0" fontId="6" fillId="11" borderId="23" xfId="0" applyFont="1" applyFill="1" applyBorder="1" applyAlignment="1">
      <alignment horizontal="center" vertical="center"/>
    </xf>
    <xf numFmtId="0" fontId="6" fillId="11" borderId="25" xfId="0" applyFont="1" applyFill="1" applyBorder="1" applyAlignment="1">
      <alignment horizontal="center" vertical="center"/>
    </xf>
    <xf numFmtId="0" fontId="6" fillId="11" borderId="24" xfId="0" applyFont="1" applyFill="1" applyBorder="1" applyAlignment="1">
      <alignment horizontal="center" vertical="center"/>
    </xf>
    <xf numFmtId="0" fontId="8" fillId="9" borderId="4" xfId="0" quotePrefix="1" applyFont="1" applyFill="1" applyBorder="1" applyAlignment="1">
      <alignment horizontal="center" vertical="center" wrapText="1"/>
    </xf>
    <xf numFmtId="0" fontId="8" fillId="9" borderId="15" xfId="0" quotePrefix="1" applyFont="1" applyFill="1" applyBorder="1" applyAlignment="1">
      <alignment horizontal="center" vertical="center" wrapText="1"/>
    </xf>
    <xf numFmtId="0" fontId="5" fillId="3" borderId="9" xfId="0" quotePrefix="1" applyFont="1" applyFill="1" applyBorder="1" applyAlignment="1">
      <alignment horizontal="center" vertical="center" wrapText="1"/>
    </xf>
    <xf numFmtId="0" fontId="5" fillId="3" borderId="14" xfId="0" quotePrefix="1" applyFont="1" applyFill="1" applyBorder="1" applyAlignment="1">
      <alignment horizontal="center" vertical="center" wrapText="1"/>
    </xf>
    <xf numFmtId="0" fontId="5" fillId="9" borderId="11" xfId="0" quotePrefix="1" applyFont="1" applyFill="1" applyBorder="1" applyAlignment="1">
      <alignment horizontal="center" vertical="center" wrapText="1"/>
    </xf>
    <xf numFmtId="0" fontId="5" fillId="9" borderId="17" xfId="0" quotePrefix="1" applyFont="1" applyFill="1" applyBorder="1" applyAlignment="1">
      <alignment horizontal="center" vertical="center" wrapText="1"/>
    </xf>
    <xf numFmtId="0" fontId="5" fillId="9" borderId="4" xfId="0" quotePrefix="1" applyFont="1" applyFill="1" applyBorder="1" applyAlignment="1">
      <alignment horizontal="center" vertical="center" wrapText="1"/>
    </xf>
    <xf numFmtId="0" fontId="5" fillId="9" borderId="15" xfId="0" quotePrefix="1" applyFont="1" applyFill="1" applyBorder="1" applyAlignment="1">
      <alignment horizontal="center" vertical="center" wrapText="1"/>
    </xf>
    <xf numFmtId="0" fontId="6" fillId="12" borderId="23" xfId="0" applyFont="1" applyFill="1" applyBorder="1" applyAlignment="1">
      <alignment horizontal="center" vertical="center"/>
    </xf>
    <xf numFmtId="0" fontId="6" fillId="12" borderId="24" xfId="0" applyFont="1" applyFill="1" applyBorder="1" applyAlignment="1">
      <alignment horizontal="center" vertical="center"/>
    </xf>
    <xf numFmtId="0" fontId="6" fillId="12" borderId="25" xfId="0" applyFont="1" applyFill="1" applyBorder="1" applyAlignment="1">
      <alignment horizontal="center" vertical="center"/>
    </xf>
    <xf numFmtId="0" fontId="8" fillId="4" borderId="9"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9" borderId="66" xfId="0" applyFont="1" applyFill="1" applyBorder="1" applyAlignment="1">
      <alignment horizontal="center" vertical="center" wrapText="1"/>
    </xf>
    <xf numFmtId="0" fontId="8" fillId="9" borderId="61" xfId="0" applyFont="1" applyFill="1" applyBorder="1" applyAlignment="1">
      <alignment horizontal="center" vertical="center" wrapText="1"/>
    </xf>
    <xf numFmtId="0" fontId="8" fillId="4" borderId="39" xfId="0" quotePrefix="1" applyFont="1" applyFill="1" applyBorder="1" applyAlignment="1">
      <alignment horizontal="center" vertical="center" wrapText="1"/>
    </xf>
    <xf numFmtId="0" fontId="8" fillId="4" borderId="37" xfId="0" quotePrefix="1" applyFont="1" applyFill="1" applyBorder="1" applyAlignment="1">
      <alignment horizontal="center" vertical="center" wrapText="1"/>
    </xf>
    <xf numFmtId="0" fontId="8" fillId="3" borderId="50"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8" fillId="9" borderId="50" xfId="0" applyFont="1" applyFill="1" applyBorder="1" applyAlignment="1">
      <alignment horizontal="center" vertical="center" wrapText="1"/>
    </xf>
    <xf numFmtId="0" fontId="8" fillId="9" borderId="22" xfId="0" applyFont="1" applyFill="1" applyBorder="1" applyAlignment="1">
      <alignment horizontal="center" vertical="center" wrapText="1"/>
    </xf>
    <xf numFmtId="0" fontId="6" fillId="12" borderId="18" xfId="0" applyFont="1" applyFill="1" applyBorder="1" applyAlignment="1">
      <alignment horizontal="center" vertical="center"/>
    </xf>
    <xf numFmtId="0" fontId="6" fillId="12" borderId="19" xfId="0" applyFont="1" applyFill="1" applyBorder="1" applyAlignment="1">
      <alignment horizontal="center" vertical="center"/>
    </xf>
    <xf numFmtId="0" fontId="6" fillId="12" borderId="20" xfId="0" applyFont="1" applyFill="1" applyBorder="1" applyAlignment="1">
      <alignment horizontal="center" vertical="center"/>
    </xf>
    <xf numFmtId="0" fontId="8" fillId="3" borderId="52" xfId="0" applyFont="1" applyFill="1" applyBorder="1" applyAlignment="1">
      <alignment horizontal="center" vertical="center" wrapText="1"/>
    </xf>
    <xf numFmtId="0" fontId="8" fillId="3" borderId="53" xfId="0" applyFont="1" applyFill="1" applyBorder="1" applyAlignment="1">
      <alignment horizontal="center" vertical="center" wrapText="1"/>
    </xf>
    <xf numFmtId="0" fontId="8" fillId="4" borderId="50"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5" fillId="3" borderId="4" xfId="0" quotePrefix="1" applyFont="1" applyFill="1" applyBorder="1" applyAlignment="1">
      <alignment horizontal="center" vertical="center" wrapText="1"/>
    </xf>
    <xf numFmtId="0" fontId="5" fillId="3" borderId="15" xfId="0" quotePrefix="1"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9" borderId="15"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8" fillId="4" borderId="39" xfId="0" applyFont="1" applyFill="1" applyBorder="1" applyAlignment="1">
      <alignment horizontal="center" vertical="center" wrapText="1"/>
    </xf>
    <xf numFmtId="0" fontId="8" fillId="4" borderId="37" xfId="0" applyFont="1" applyFill="1" applyBorder="1" applyAlignment="1">
      <alignment horizontal="center" vertical="center" wrapText="1"/>
    </xf>
    <xf numFmtId="0" fontId="5" fillId="3" borderId="51"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5" fillId="9" borderId="39" xfId="0" applyFont="1" applyFill="1" applyBorder="1" applyAlignment="1">
      <alignment horizontal="center" vertical="center" wrapText="1"/>
    </xf>
    <xf numFmtId="0" fontId="5" fillId="9" borderId="37" xfId="0" applyFont="1" applyFill="1" applyBorder="1" applyAlignment="1">
      <alignment horizontal="center" vertical="center" wrapText="1"/>
    </xf>
    <xf numFmtId="0" fontId="6" fillId="11" borderId="21" xfId="0" applyFont="1" applyFill="1" applyBorder="1" applyAlignment="1">
      <alignment horizontal="center" vertical="center"/>
    </xf>
    <xf numFmtId="0" fontId="6" fillId="11" borderId="19" xfId="0" applyFont="1" applyFill="1" applyBorder="1" applyAlignment="1">
      <alignment horizontal="center" vertical="center"/>
    </xf>
    <xf numFmtId="0" fontId="6" fillId="11" borderId="20" xfId="0" applyFont="1" applyFill="1" applyBorder="1" applyAlignment="1">
      <alignment horizontal="center" vertical="center"/>
    </xf>
    <xf numFmtId="0" fontId="6" fillId="11" borderId="18" xfId="0" applyFont="1" applyFill="1" applyBorder="1" applyAlignment="1">
      <alignment horizontal="center" vertical="center"/>
    </xf>
    <xf numFmtId="0" fontId="5" fillId="9" borderId="9"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4" borderId="1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7" borderId="21" xfId="0" applyFont="1" applyFill="1" applyBorder="1" applyAlignment="1">
      <alignment horizontal="center" vertical="center"/>
    </xf>
    <xf numFmtId="0" fontId="5" fillId="7" borderId="19" xfId="0" applyFont="1" applyFill="1" applyBorder="1" applyAlignment="1">
      <alignment horizontal="center" vertical="center"/>
    </xf>
    <xf numFmtId="0" fontId="5" fillId="7" borderId="20" xfId="0" applyFont="1" applyFill="1" applyBorder="1" applyAlignment="1">
      <alignment horizontal="center" vertical="center"/>
    </xf>
    <xf numFmtId="0" fontId="6" fillId="19" borderId="62" xfId="0" applyFont="1" applyFill="1" applyBorder="1" applyAlignment="1">
      <alignment horizontal="center" vertical="center" wrapText="1"/>
    </xf>
    <xf numFmtId="0" fontId="6" fillId="19" borderId="47" xfId="0" applyFont="1" applyFill="1" applyBorder="1" applyAlignment="1">
      <alignment horizontal="center" vertical="center" wrapText="1"/>
    </xf>
    <xf numFmtId="0" fontId="8" fillId="4" borderId="40"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33" xfId="0" applyFont="1" applyFill="1" applyBorder="1" applyAlignment="1">
      <alignment horizontal="center" vertical="center" wrapText="1"/>
    </xf>
    <xf numFmtId="0" fontId="5" fillId="3" borderId="50"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9" borderId="40" xfId="0" applyFont="1" applyFill="1" applyBorder="1" applyAlignment="1">
      <alignment horizontal="center" vertical="center" wrapText="1"/>
    </xf>
    <xf numFmtId="0" fontId="5" fillId="9" borderId="31" xfId="0" applyFont="1" applyFill="1" applyBorder="1" applyAlignment="1">
      <alignment horizontal="center" vertical="center" wrapText="1"/>
    </xf>
    <xf numFmtId="0" fontId="6" fillId="19" borderId="26" xfId="0" applyFont="1" applyFill="1" applyBorder="1" applyAlignment="1">
      <alignment horizontal="left" vertical="center"/>
    </xf>
    <xf numFmtId="0" fontId="6" fillId="19" borderId="27" xfId="0" applyFont="1" applyFill="1" applyBorder="1" applyAlignment="1">
      <alignment horizontal="left" vertical="center"/>
    </xf>
    <xf numFmtId="0" fontId="6" fillId="19" borderId="42" xfId="0" applyFont="1" applyFill="1" applyBorder="1" applyAlignment="1">
      <alignment horizontal="left" vertical="center"/>
    </xf>
    <xf numFmtId="0" fontId="6" fillId="10" borderId="21" xfId="0" applyFont="1" applyFill="1" applyBorder="1" applyAlignment="1">
      <alignment horizontal="center" vertical="center"/>
    </xf>
    <xf numFmtId="0" fontId="6" fillId="10" borderId="20" xfId="0" applyFont="1" applyFill="1" applyBorder="1" applyAlignment="1">
      <alignment horizontal="center" vertical="center"/>
    </xf>
    <xf numFmtId="0" fontId="5" fillId="7" borderId="18" xfId="0" applyFont="1" applyFill="1" applyBorder="1" applyAlignment="1">
      <alignment horizontal="center" vertical="center"/>
    </xf>
    <xf numFmtId="0" fontId="5" fillId="9" borderId="50"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5" fillId="2" borderId="4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49" xfId="0" applyFont="1" applyFill="1" applyBorder="1" applyAlignment="1">
      <alignment horizontal="center" vertical="center" wrapText="1"/>
    </xf>
    <xf numFmtId="0" fontId="5" fillId="2" borderId="46" xfId="0" applyFont="1" applyFill="1" applyBorder="1" applyAlignment="1">
      <alignment horizontal="center" vertical="center" wrapText="1"/>
    </xf>
    <xf numFmtId="0" fontId="5" fillId="2" borderId="47" xfId="0" applyFont="1" applyFill="1" applyBorder="1" applyAlignment="1">
      <alignment horizontal="center" vertical="center" wrapText="1"/>
    </xf>
    <xf numFmtId="0" fontId="6" fillId="19" borderId="57" xfId="0" applyFont="1" applyFill="1" applyBorder="1" applyAlignment="1">
      <alignment horizontal="center" vertical="center" wrapText="1"/>
    </xf>
    <xf numFmtId="0" fontId="6" fillId="19" borderId="61" xfId="0" applyFont="1" applyFill="1" applyBorder="1" applyAlignment="1">
      <alignment horizontal="center" vertical="center" wrapText="1"/>
    </xf>
    <xf numFmtId="0" fontId="6" fillId="19" borderId="26" xfId="0" applyFont="1" applyFill="1" applyBorder="1" applyAlignment="1">
      <alignment horizontal="center" vertical="center"/>
    </xf>
    <xf numFmtId="0" fontId="6" fillId="19" borderId="43" xfId="0" applyFont="1" applyFill="1" applyBorder="1" applyAlignment="1">
      <alignment horizontal="center" vertical="center"/>
    </xf>
    <xf numFmtId="0" fontId="5" fillId="9" borderId="10" xfId="0" applyFont="1" applyFill="1" applyBorder="1" applyAlignment="1">
      <alignment horizontal="center" vertical="center" wrapText="1"/>
    </xf>
    <xf numFmtId="0" fontId="5" fillId="9" borderId="16" xfId="0" applyFont="1" applyFill="1" applyBorder="1" applyAlignment="1">
      <alignment horizontal="center" vertical="center" wrapText="1"/>
    </xf>
    <xf numFmtId="0" fontId="6" fillId="19" borderId="45" xfId="0" applyFont="1" applyFill="1" applyBorder="1" applyAlignment="1">
      <alignment horizontal="center" vertical="center" wrapText="1"/>
    </xf>
    <xf numFmtId="0" fontId="6" fillId="19" borderId="46" xfId="0" applyFont="1" applyFill="1" applyBorder="1" applyAlignment="1">
      <alignment horizontal="center" vertical="center" wrapText="1"/>
    </xf>
    <xf numFmtId="0" fontId="5" fillId="7" borderId="45" xfId="0" applyFont="1" applyFill="1" applyBorder="1" applyAlignment="1">
      <alignment horizontal="center" vertical="center"/>
    </xf>
    <xf numFmtId="0" fontId="5" fillId="7" borderId="57" xfId="0" applyFont="1" applyFill="1" applyBorder="1" applyAlignment="1">
      <alignment horizontal="center" vertical="center"/>
    </xf>
    <xf numFmtId="0" fontId="5" fillId="5" borderId="11" xfId="0" applyFont="1" applyFill="1" applyBorder="1" applyAlignment="1">
      <alignment horizontal="center" vertical="center" wrapText="1"/>
    </xf>
    <xf numFmtId="0" fontId="5" fillId="5" borderId="17"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23" xfId="0" applyFont="1" applyFill="1" applyBorder="1" applyAlignment="1">
      <alignment horizontal="center" vertical="center" wrapText="1"/>
    </xf>
    <xf numFmtId="0" fontId="5" fillId="5" borderId="48" xfId="0" applyFont="1" applyFill="1" applyBorder="1" applyAlignment="1">
      <alignment horizontal="center" vertical="center" wrapText="1"/>
    </xf>
    <xf numFmtId="0" fontId="5" fillId="5" borderId="28" xfId="0" applyFont="1" applyFill="1" applyBorder="1" applyAlignment="1">
      <alignment horizontal="center" vertical="center" wrapText="1"/>
    </xf>
    <xf numFmtId="0" fontId="6" fillId="19" borderId="1" xfId="0" applyFont="1" applyFill="1" applyBorder="1" applyAlignment="1">
      <alignment horizontal="center" vertical="center"/>
    </xf>
    <xf numFmtId="0" fontId="6" fillId="19" borderId="2" xfId="0" applyFont="1" applyFill="1" applyBorder="1" applyAlignment="1">
      <alignment horizontal="center" vertical="center"/>
    </xf>
    <xf numFmtId="0" fontId="5" fillId="7" borderId="23" xfId="0" applyFont="1" applyFill="1" applyBorder="1" applyAlignment="1">
      <alignment horizontal="left" vertical="center"/>
    </xf>
    <xf numFmtId="0" fontId="5" fillId="7" borderId="24" xfId="0" applyFont="1" applyFill="1" applyBorder="1" applyAlignment="1">
      <alignment horizontal="left" vertical="center"/>
    </xf>
    <xf numFmtId="0" fontId="5" fillId="7" borderId="28" xfId="0" applyFont="1" applyFill="1" applyBorder="1" applyAlignment="1">
      <alignment horizontal="left" vertical="center"/>
    </xf>
    <xf numFmtId="0" fontId="5" fillId="7" borderId="29" xfId="0" applyFont="1" applyFill="1" applyBorder="1" applyAlignment="1">
      <alignment horizontal="left" vertical="center"/>
    </xf>
    <xf numFmtId="43" fontId="5" fillId="0" borderId="38" xfId="0" applyNumberFormat="1" applyFont="1" applyBorder="1" applyAlignment="1">
      <alignment horizontal="center" vertical="center"/>
    </xf>
    <xf numFmtId="0" fontId="5" fillId="0" borderId="31" xfId="0" applyFont="1" applyBorder="1" applyAlignment="1">
      <alignment horizontal="center" vertical="center"/>
    </xf>
    <xf numFmtId="0" fontId="8" fillId="9" borderId="10" xfId="0" applyFont="1" applyFill="1" applyBorder="1" applyAlignment="1">
      <alignment horizontal="center" vertical="center" wrapText="1"/>
    </xf>
    <xf numFmtId="0" fontId="8" fillId="9" borderId="16" xfId="0" applyFont="1" applyFill="1" applyBorder="1" applyAlignment="1">
      <alignment horizontal="center" vertical="center" wrapText="1"/>
    </xf>
    <xf numFmtId="0" fontId="8" fillId="3" borderId="39" xfId="0" applyFont="1" applyFill="1" applyBorder="1" applyAlignment="1">
      <alignment horizontal="center" vertical="center" wrapText="1"/>
    </xf>
    <xf numFmtId="0" fontId="8" fillId="3" borderId="37" xfId="0" applyFont="1" applyFill="1" applyBorder="1" applyAlignment="1">
      <alignment horizontal="center" vertical="center" wrapText="1"/>
    </xf>
    <xf numFmtId="0" fontId="8" fillId="3" borderId="4" xfId="0" quotePrefix="1" applyFont="1" applyFill="1" applyBorder="1" applyAlignment="1">
      <alignment horizontal="center" vertical="center" wrapText="1"/>
    </xf>
    <xf numFmtId="0" fontId="8" fillId="3" borderId="15" xfId="0" quotePrefix="1" applyFont="1" applyFill="1" applyBorder="1" applyAlignment="1">
      <alignment horizontal="center" vertical="center" wrapText="1"/>
    </xf>
    <xf numFmtId="0" fontId="8" fillId="4" borderId="50" xfId="0" quotePrefix="1" applyFont="1" applyFill="1" applyBorder="1" applyAlignment="1">
      <alignment horizontal="center" vertical="center" wrapText="1"/>
    </xf>
    <xf numFmtId="0" fontId="8" fillId="4" borderId="22" xfId="0" quotePrefix="1" applyFont="1" applyFill="1" applyBorder="1" applyAlignment="1">
      <alignment horizontal="center" vertical="center" wrapText="1"/>
    </xf>
    <xf numFmtId="0" fontId="5" fillId="9" borderId="11" xfId="0" applyFont="1" applyFill="1" applyBorder="1" applyAlignment="1">
      <alignment horizontal="center" vertical="center" wrapText="1"/>
    </xf>
    <xf numFmtId="0" fontId="5" fillId="9" borderId="17" xfId="0" applyFont="1" applyFill="1" applyBorder="1" applyAlignment="1">
      <alignment horizontal="center" vertical="center" wrapText="1"/>
    </xf>
    <xf numFmtId="0" fontId="6" fillId="12" borderId="21" xfId="0" applyFont="1" applyFill="1" applyBorder="1" applyAlignment="1">
      <alignment horizontal="center" vertical="center"/>
    </xf>
    <xf numFmtId="0" fontId="8" fillId="3" borderId="67" xfId="0" applyFont="1" applyFill="1" applyBorder="1" applyAlignment="1">
      <alignment horizontal="center" vertical="center" wrapText="1"/>
    </xf>
    <xf numFmtId="0" fontId="8" fillId="3" borderId="47" xfId="0" applyFont="1" applyFill="1" applyBorder="1" applyAlignment="1">
      <alignment horizontal="center" vertical="center" wrapText="1"/>
    </xf>
    <xf numFmtId="0" fontId="8" fillId="9" borderId="39" xfId="0" applyFont="1" applyFill="1" applyBorder="1" applyAlignment="1">
      <alignment horizontal="center" vertical="center" wrapText="1"/>
    </xf>
    <xf numFmtId="0" fontId="8" fillId="9" borderId="37" xfId="0" applyFont="1" applyFill="1" applyBorder="1" applyAlignment="1">
      <alignment horizontal="center" vertical="center" wrapText="1"/>
    </xf>
    <xf numFmtId="0" fontId="5" fillId="9" borderId="51" xfId="0" applyFont="1" applyFill="1" applyBorder="1" applyAlignment="1">
      <alignment horizontal="center" vertical="center" wrapText="1"/>
    </xf>
    <xf numFmtId="0" fontId="5" fillId="9" borderId="32" xfId="0" applyFont="1" applyFill="1" applyBorder="1" applyAlignment="1">
      <alignment horizontal="center" vertical="center" wrapText="1"/>
    </xf>
    <xf numFmtId="0" fontId="8" fillId="4" borderId="66" xfId="0" applyFont="1" applyFill="1" applyBorder="1" applyAlignment="1">
      <alignment horizontal="center" vertical="center" wrapText="1"/>
    </xf>
    <xf numFmtId="0" fontId="8" fillId="4" borderId="61"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8" fillId="9" borderId="12" xfId="0" applyFont="1" applyFill="1" applyBorder="1" applyAlignment="1">
      <alignment horizontal="center" vertical="center" wrapText="1"/>
    </xf>
    <xf numFmtId="0" fontId="8" fillId="9" borderId="33" xfId="0" applyFont="1" applyFill="1" applyBorder="1" applyAlignment="1">
      <alignment horizontal="center" vertical="center" wrapText="1"/>
    </xf>
    <xf numFmtId="0" fontId="6" fillId="11" borderId="1"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3" xfId="0" applyFont="1" applyFill="1" applyBorder="1" applyAlignment="1">
      <alignment horizontal="center" vertical="center"/>
    </xf>
    <xf numFmtId="0" fontId="6" fillId="12" borderId="1" xfId="0" applyFont="1" applyFill="1" applyBorder="1" applyAlignment="1">
      <alignment horizontal="center" vertical="center"/>
    </xf>
    <xf numFmtId="0" fontId="6" fillId="12" borderId="2" xfId="0" applyFont="1" applyFill="1" applyBorder="1" applyAlignment="1">
      <alignment horizontal="center" vertical="center"/>
    </xf>
    <xf numFmtId="0" fontId="6" fillId="12" borderId="3" xfId="0" applyFont="1" applyFill="1" applyBorder="1" applyAlignment="1">
      <alignment horizontal="center" vertical="center"/>
    </xf>
    <xf numFmtId="0" fontId="6" fillId="11" borderId="44" xfId="0" applyFont="1" applyFill="1" applyBorder="1" applyAlignment="1">
      <alignment horizontal="center" vertical="center"/>
    </xf>
    <xf numFmtId="0" fontId="6" fillId="11" borderId="35" xfId="0" applyFont="1" applyFill="1" applyBorder="1" applyAlignment="1">
      <alignment horizontal="center" vertical="center"/>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3" borderId="5" xfId="0" applyFont="1" applyFill="1" applyBorder="1" applyAlignment="1">
      <alignment horizontal="center" vertical="center" wrapText="1"/>
    </xf>
  </cellXfs>
  <cellStyles count="6">
    <cellStyle name="Comma" xfId="1" builtinId="3"/>
    <cellStyle name="Hyperlink" xfId="3" builtinId="8"/>
    <cellStyle name="Hyperlink 2" xfId="5" xr:uid="{124D0CEF-E1B0-41EF-9ADB-0198AA101093}"/>
    <cellStyle name="Normal" xfId="0" builtinId="0"/>
    <cellStyle name="Normal 2" xfId="4" xr:uid="{94751A0A-CAA1-4E3B-B5D8-7A95673BB9DC}"/>
    <cellStyle name="Percent" xfId="2" builtinId="5"/>
  </cellStyles>
  <dxfs count="174">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1"/>
      </font>
      <fill>
        <patternFill>
          <bgColor rgb="FF00FFFF"/>
        </patternFill>
      </fill>
    </dxf>
    <dxf>
      <font>
        <b/>
        <i val="0"/>
        <color theme="0"/>
      </font>
      <fill>
        <patternFill>
          <bgColor rgb="FF0000CC"/>
        </patternFill>
      </fill>
    </dxf>
    <dxf>
      <font>
        <b/>
        <i val="0"/>
        <color theme="0"/>
      </font>
      <fill>
        <patternFill>
          <bgColor rgb="FFFF0000"/>
        </patternFill>
      </fill>
    </dxf>
    <dxf>
      <font>
        <b/>
        <i val="0"/>
        <color theme="0"/>
      </font>
      <fill>
        <patternFill>
          <bgColor rgb="FF0000CC"/>
        </patternFill>
      </fill>
    </dxf>
    <dxf>
      <font>
        <b/>
        <i val="0"/>
        <color theme="1"/>
      </font>
      <fill>
        <patternFill>
          <bgColor rgb="FF00FFFF"/>
        </patternFill>
      </fill>
    </dxf>
    <dxf>
      <font>
        <b/>
        <i val="0"/>
        <color theme="1"/>
      </font>
      <fill>
        <patternFill>
          <bgColor rgb="FF00FFFF"/>
        </patternFill>
      </fill>
    </dxf>
    <dxf>
      <font>
        <b/>
        <i val="0"/>
        <color theme="0"/>
      </font>
      <fill>
        <patternFill>
          <bgColor rgb="FF0000CC"/>
        </patternFill>
      </fill>
    </dxf>
    <dxf>
      <font>
        <b/>
        <i val="0"/>
        <color theme="0"/>
      </font>
      <fill>
        <patternFill>
          <bgColor rgb="FFFF0000"/>
        </patternFill>
      </fill>
    </dxf>
    <dxf>
      <font>
        <b/>
        <i val="0"/>
        <color theme="1"/>
      </font>
      <fill>
        <patternFill>
          <bgColor rgb="FF00FFFF"/>
        </patternFill>
      </fill>
    </dxf>
    <dxf>
      <font>
        <b/>
        <i val="0"/>
        <color theme="0"/>
      </font>
      <fill>
        <patternFill>
          <bgColor rgb="FFFF0000"/>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0"/>
      </font>
      <fill>
        <patternFill>
          <bgColor rgb="FF0000CC"/>
        </patternFill>
      </fill>
    </dxf>
    <dxf>
      <font>
        <b/>
        <i val="0"/>
        <color theme="0"/>
      </font>
      <fill>
        <patternFill>
          <bgColor rgb="FF0000CC"/>
        </patternFill>
      </fill>
    </dxf>
    <dxf>
      <font>
        <b/>
        <i val="0"/>
        <color theme="1"/>
      </font>
      <fill>
        <patternFill>
          <bgColor rgb="FFFF00FF"/>
        </patternFill>
      </fill>
    </dxf>
    <dxf>
      <font>
        <b/>
        <i val="0"/>
        <color theme="0"/>
      </font>
      <fill>
        <patternFill>
          <bgColor rgb="FFFF0000"/>
        </patternFill>
      </fill>
    </dxf>
    <dxf>
      <font>
        <b/>
        <i val="0"/>
        <color theme="0"/>
      </font>
      <fill>
        <patternFill>
          <bgColor rgb="FFFF0000"/>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FF0000"/>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00"/>
        </patternFill>
      </fill>
    </dxf>
    <dxf>
      <font>
        <b/>
        <i val="0"/>
        <color theme="0"/>
      </font>
      <fill>
        <patternFill>
          <bgColor rgb="FFFF0000"/>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00"/>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00"/>
        </patternFill>
      </fill>
    </dxf>
    <dxf>
      <font>
        <b/>
        <i val="0"/>
        <color theme="0"/>
      </font>
      <fill>
        <patternFill>
          <bgColor rgb="FF0000CC"/>
        </patternFill>
      </fill>
    </dxf>
    <dxf>
      <font>
        <b/>
        <i val="0"/>
        <color theme="0"/>
      </font>
      <fill>
        <patternFill>
          <bgColor rgb="FFFF0000"/>
        </patternFill>
      </fill>
    </dxf>
    <dxf>
      <font>
        <b/>
        <i val="0"/>
        <color theme="1"/>
      </font>
      <fill>
        <patternFill>
          <bgColor rgb="FFFF00FF"/>
        </patternFill>
      </fill>
    </dxf>
    <dxf>
      <font>
        <b/>
        <i val="0"/>
        <color theme="0"/>
      </font>
      <fill>
        <patternFill>
          <bgColor theme="5" tint="-0.499984740745262"/>
        </patternFill>
      </fill>
    </dxf>
    <dxf>
      <font>
        <b/>
        <i val="0"/>
        <color theme="1"/>
      </font>
      <fill>
        <patternFill>
          <bgColor rgb="FFFFFF00"/>
        </patternFill>
      </fill>
    </dxf>
    <dxf>
      <font>
        <b/>
        <i val="0"/>
        <color theme="1"/>
      </font>
      <fill>
        <patternFill>
          <bgColor rgb="FF00FF00"/>
        </patternFill>
      </fill>
    </dxf>
    <dxf>
      <font>
        <b/>
        <i val="0"/>
        <color theme="1"/>
      </font>
      <fill>
        <patternFill>
          <bgColor rgb="FF00FF00"/>
        </patternFill>
      </fill>
    </dxf>
    <dxf>
      <font>
        <b/>
        <i val="0"/>
        <color theme="1"/>
      </font>
      <fill>
        <patternFill>
          <bgColor rgb="FFFFFF00"/>
        </patternFill>
      </fill>
    </dxf>
    <dxf>
      <font>
        <b/>
        <i val="0"/>
        <color theme="0"/>
      </font>
      <fill>
        <patternFill>
          <bgColor theme="5" tint="-0.499984740745262"/>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theme="5" tint="-0.499984740745262"/>
        </patternFill>
      </fill>
    </dxf>
    <dxf>
      <font>
        <b/>
        <i val="0"/>
        <color theme="1"/>
      </font>
      <fill>
        <patternFill>
          <bgColor rgb="FF00FF00"/>
        </patternFill>
      </fill>
    </dxf>
    <dxf>
      <font>
        <b/>
        <i val="0"/>
        <color theme="1"/>
      </font>
      <fill>
        <patternFill>
          <bgColor rgb="FFFFFF00"/>
        </patternFill>
      </fill>
    </dxf>
    <dxf>
      <font>
        <b/>
        <i val="0"/>
        <color theme="1"/>
      </font>
      <fill>
        <patternFill>
          <bgColor rgb="FF00FF00"/>
        </patternFill>
      </fill>
    </dxf>
    <dxf>
      <font>
        <b/>
        <i val="0"/>
        <color theme="0"/>
      </font>
      <fill>
        <patternFill>
          <bgColor theme="5" tint="-0.499984740745262"/>
        </patternFill>
      </fill>
    </dxf>
    <dxf>
      <font>
        <b/>
        <i val="0"/>
        <color theme="1"/>
      </font>
      <fill>
        <patternFill>
          <bgColor rgb="FFFFFF00"/>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00"/>
        </patternFill>
      </fill>
    </dxf>
    <dxf>
      <font>
        <b/>
        <i val="0"/>
        <color theme="0"/>
      </font>
      <fill>
        <patternFill>
          <bgColor rgb="FF0000CC"/>
        </patternFill>
      </fill>
    </dxf>
    <dxf>
      <font>
        <b/>
        <i val="0"/>
        <color theme="0"/>
      </font>
      <fill>
        <patternFill>
          <bgColor rgb="FFFF0000"/>
        </patternFill>
      </fill>
    </dxf>
    <dxf>
      <font>
        <b/>
        <i val="0"/>
        <color theme="0"/>
      </font>
      <fill>
        <patternFill>
          <bgColor rgb="FFFF0000"/>
        </patternFill>
      </fill>
    </dxf>
    <dxf>
      <font>
        <b/>
        <i val="0"/>
        <color theme="0"/>
      </font>
      <fill>
        <patternFill>
          <bgColor rgb="FF0000CC"/>
        </patternFill>
      </fill>
    </dxf>
    <dxf>
      <font>
        <b/>
        <i val="0"/>
        <color theme="0"/>
      </font>
      <fill>
        <patternFill>
          <bgColor rgb="FF0000CC"/>
        </patternFill>
      </fill>
    </dxf>
    <dxf>
      <font>
        <b/>
        <i val="0"/>
        <color theme="0"/>
      </font>
      <fill>
        <patternFill>
          <bgColor rgb="FFFF0000"/>
        </patternFill>
      </fill>
    </dxf>
    <dxf>
      <font>
        <b/>
        <i val="0"/>
        <color theme="0"/>
      </font>
      <fill>
        <patternFill>
          <bgColor rgb="FFFF0000"/>
        </patternFill>
      </fill>
    </dxf>
    <dxf>
      <font>
        <b/>
        <i val="0"/>
        <color theme="0"/>
      </font>
      <fill>
        <patternFill>
          <bgColor rgb="FF0000CC"/>
        </patternFill>
      </fill>
    </dxf>
    <dxf>
      <font>
        <b/>
        <i val="0"/>
        <color theme="0"/>
      </font>
      <fill>
        <patternFill>
          <bgColor rgb="FFFF0000"/>
        </patternFill>
      </fill>
    </dxf>
    <dxf>
      <font>
        <b/>
        <i val="0"/>
        <color theme="0"/>
      </font>
      <fill>
        <patternFill>
          <bgColor rgb="FF0000CC"/>
        </patternFill>
      </fill>
    </dxf>
    <dxf>
      <font>
        <b/>
        <i val="0"/>
        <color theme="0"/>
      </font>
      <fill>
        <patternFill>
          <bgColor rgb="FF0000CC"/>
        </patternFill>
      </fill>
    </dxf>
    <dxf>
      <font>
        <b/>
        <i val="0"/>
        <color theme="0"/>
      </font>
      <fill>
        <patternFill>
          <bgColor rgb="FFFF0000"/>
        </patternFill>
      </fill>
    </dxf>
    <dxf>
      <font>
        <b/>
        <i val="0"/>
        <color theme="0"/>
      </font>
      <fill>
        <patternFill>
          <bgColor rgb="FFFF0000"/>
        </patternFill>
      </fill>
    </dxf>
    <dxf>
      <font>
        <b/>
        <i val="0"/>
        <color theme="0"/>
      </font>
      <fill>
        <patternFill>
          <bgColor rgb="FF0000CC"/>
        </patternFill>
      </fill>
    </dxf>
    <dxf>
      <font>
        <b/>
        <i val="0"/>
        <color theme="0"/>
      </font>
      <fill>
        <patternFill>
          <bgColor rgb="FFFF0000"/>
        </patternFill>
      </fill>
    </dxf>
    <dxf>
      <font>
        <b/>
        <i val="0"/>
        <color theme="0"/>
      </font>
      <fill>
        <patternFill>
          <bgColor rgb="FF0000CC"/>
        </patternFill>
      </fill>
    </dxf>
    <dxf>
      <font>
        <b/>
        <i val="0"/>
        <color theme="0"/>
      </font>
      <fill>
        <patternFill>
          <bgColor rgb="FF0000CC"/>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theme="5" tint="-0.499984740745262"/>
        </patternFill>
      </fill>
    </dxf>
    <dxf>
      <font>
        <b/>
        <i val="0"/>
        <color theme="0"/>
      </font>
      <fill>
        <patternFill>
          <bgColor theme="5" tint="-0.499984740745262"/>
        </patternFill>
      </fill>
    </dxf>
    <dxf>
      <font>
        <b/>
        <i val="0"/>
        <color theme="0"/>
      </font>
      <fill>
        <patternFill>
          <bgColor theme="5" tint="-0.499984740745262"/>
        </patternFill>
      </fill>
    </dxf>
    <dxf>
      <font>
        <b/>
        <i val="0"/>
        <color theme="0"/>
      </font>
      <fill>
        <patternFill>
          <bgColor theme="5" tint="-0.499984740745262"/>
        </patternFill>
      </fill>
    </dxf>
    <dxf>
      <font>
        <b/>
        <i val="0"/>
        <color theme="0"/>
      </font>
      <fill>
        <patternFill>
          <bgColor rgb="FFFF0000"/>
        </patternFill>
      </fill>
    </dxf>
    <dxf>
      <font>
        <b/>
        <i val="0"/>
        <color theme="1"/>
      </font>
      <fill>
        <patternFill>
          <bgColor rgb="FF00FF00"/>
        </patternFill>
      </fill>
    </dxf>
    <dxf>
      <font>
        <b/>
        <i val="0"/>
        <color theme="0"/>
      </font>
      <fill>
        <patternFill>
          <bgColor rgb="FFFF0000"/>
        </patternFill>
      </fill>
    </dxf>
    <dxf>
      <font>
        <b/>
        <i val="0"/>
        <color theme="1"/>
      </font>
      <fill>
        <patternFill>
          <bgColor rgb="FF00FF00"/>
        </patternFill>
      </fill>
    </dxf>
    <dxf>
      <font>
        <b/>
        <i val="0"/>
        <color theme="0"/>
      </font>
      <fill>
        <patternFill>
          <bgColor rgb="FFFF0000"/>
        </patternFill>
      </fill>
    </dxf>
    <dxf>
      <font>
        <b/>
        <i val="0"/>
        <color theme="1"/>
      </font>
      <fill>
        <patternFill>
          <bgColor rgb="FF00FF00"/>
        </patternFill>
      </fill>
    </dxf>
    <dxf>
      <font>
        <b/>
        <i val="0"/>
        <color theme="1"/>
      </font>
      <fill>
        <patternFill>
          <bgColor rgb="FF00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theme="5" tint="-0.499984740745262"/>
        </patternFill>
      </fill>
    </dxf>
    <dxf>
      <font>
        <b/>
        <i val="0"/>
        <color theme="0"/>
      </font>
      <fill>
        <patternFill>
          <bgColor theme="5" tint="-0.499984740745262"/>
        </patternFill>
      </fill>
    </dxf>
    <dxf>
      <font>
        <b/>
        <i val="0"/>
        <color theme="0"/>
      </font>
      <fill>
        <patternFill>
          <bgColor theme="5" tint="-0.499984740745262"/>
        </patternFill>
      </fill>
    </dxf>
    <dxf>
      <font>
        <b/>
        <i val="0"/>
        <color theme="0"/>
      </font>
      <fill>
        <patternFill>
          <bgColor theme="5" tint="-0.499984740745262"/>
        </patternFill>
      </fill>
    </dxf>
    <dxf>
      <font>
        <b/>
        <i val="0"/>
        <color theme="1"/>
      </font>
      <fill>
        <patternFill>
          <bgColor rgb="FF00FF00"/>
        </patternFill>
      </fill>
    </dxf>
    <dxf>
      <font>
        <b/>
        <i val="0"/>
        <color theme="0"/>
      </font>
      <fill>
        <patternFill>
          <bgColor rgb="FFFF0000"/>
        </patternFill>
      </fill>
    </dxf>
    <dxf>
      <font>
        <b/>
        <i val="0"/>
        <color theme="1"/>
      </font>
      <fill>
        <patternFill>
          <bgColor rgb="FF00FF00"/>
        </patternFill>
      </fill>
    </dxf>
    <dxf>
      <font>
        <b/>
        <i val="0"/>
        <color theme="0"/>
      </font>
      <fill>
        <patternFill>
          <bgColor rgb="FFFF0000"/>
        </patternFill>
      </fill>
    </dxf>
    <dxf>
      <font>
        <b/>
        <i val="0"/>
        <color theme="0"/>
      </font>
      <fill>
        <patternFill>
          <bgColor rgb="FFFF0000"/>
        </patternFill>
      </fill>
    </dxf>
    <dxf>
      <font>
        <b/>
        <i val="0"/>
        <color theme="1"/>
      </font>
      <fill>
        <patternFill>
          <bgColor rgb="FF00FF00"/>
        </patternFill>
      </fill>
    </dxf>
    <dxf>
      <font>
        <b/>
        <i val="0"/>
        <color theme="0"/>
      </font>
      <fill>
        <patternFill>
          <bgColor rgb="FFFF0000"/>
        </patternFill>
      </fill>
    </dxf>
    <dxf>
      <font>
        <b/>
        <i val="0"/>
        <color theme="1"/>
      </font>
      <fill>
        <patternFill>
          <bgColor rgb="FF00FF00"/>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1"/>
      </font>
      <fill>
        <patternFill>
          <bgColor rgb="FFFF00FF"/>
        </patternFill>
      </fill>
    </dxf>
    <dxf>
      <font>
        <b/>
        <i val="0"/>
        <color theme="0"/>
      </font>
      <fill>
        <patternFill>
          <bgColor rgb="FF0000CC"/>
        </patternFill>
      </fill>
    </dxf>
    <dxf>
      <font>
        <b/>
        <i val="0"/>
        <color theme="0"/>
      </font>
      <fill>
        <patternFill>
          <bgColor rgb="FF0000CC"/>
        </patternFill>
      </fill>
    </dxf>
    <dxf>
      <font>
        <b/>
        <i val="0"/>
        <color theme="0"/>
      </font>
      <fill>
        <patternFill>
          <bgColor rgb="FFFF0000"/>
        </patternFill>
      </fill>
    </dxf>
    <dxf>
      <font>
        <b/>
        <i val="0"/>
        <color theme="1"/>
      </font>
      <fill>
        <patternFill>
          <bgColor rgb="FFFF00FF"/>
        </patternFill>
      </fill>
    </dxf>
    <dxf>
      <font>
        <b/>
        <i val="0"/>
        <color theme="0"/>
      </font>
      <fill>
        <patternFill>
          <bgColor rgb="FFFF0000"/>
        </patternFill>
      </fill>
    </dxf>
    <dxf>
      <font>
        <b/>
        <i val="0"/>
        <color theme="1"/>
      </font>
      <fill>
        <patternFill>
          <bgColor rgb="FFFF00FF"/>
        </patternFill>
      </fill>
    </dxf>
    <dxf>
      <font>
        <b/>
        <i val="0"/>
        <color theme="0"/>
      </font>
      <fill>
        <patternFill>
          <bgColor rgb="FF0000CC"/>
        </patternFill>
      </fill>
    </dxf>
    <dxf>
      <font>
        <b/>
        <i val="0"/>
        <color theme="0"/>
      </font>
      <fill>
        <patternFill>
          <bgColor rgb="FFFF0066"/>
        </patternFill>
      </fill>
    </dxf>
    <dxf>
      <font>
        <b/>
        <i val="0"/>
        <color theme="1"/>
      </font>
      <fill>
        <patternFill>
          <bgColor rgb="FF00FFFF"/>
        </patternFill>
      </fill>
    </dxf>
    <dxf>
      <font>
        <b/>
        <i val="0"/>
        <color theme="0"/>
      </font>
      <fill>
        <patternFill>
          <bgColor rgb="FFFF0066"/>
        </patternFill>
      </fill>
    </dxf>
    <dxf>
      <font>
        <b/>
        <i val="0"/>
        <color theme="1"/>
      </font>
      <fill>
        <patternFill>
          <bgColor rgb="FF00FFFF"/>
        </patternFill>
      </fill>
    </dxf>
  </dxfs>
  <tableStyles count="0" defaultTableStyle="TableStyleMedium2" defaultPivotStyle="PivotStyleLight16"/>
  <colors>
    <mruColors>
      <color rgb="FF0000CC"/>
      <color rgb="FF00FF00"/>
      <color rgb="FFA50021"/>
      <color rgb="FF00FFFF"/>
      <color rgb="FFCC33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3.%20Master%20Data%20-%20NO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01.%20Master%20Data%20-%20NOW%20(New).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4.%20Master%20Data%20-%20Margin%20Requiremen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pplications\NSE%20F&amp;O%20-%20Individual%20Scrips\BANKNIFTY-I.csv"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Applications\NSE%20F&amp;O%20-%20Individual%20Scrips\NIFTY-I.csv"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pplications\NSE%20F&amp;O%20-%20Individual%20Scrips\ASHOKLEY-I.csv"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Applications\NSE%20F&amp;O%20-%20Individual%20Scrips\ASIANPAINT-I.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W"/>
      <sheetName val="Sheet3"/>
    </sheetNames>
    <sheetDataSet>
      <sheetData sheetId="0">
        <row r="1">
          <cell r="A1" t="str">
            <v>NSE NOW Real Time Data Feed :-</v>
          </cell>
        </row>
        <row r="6">
          <cell r="C6">
            <v>9345</v>
          </cell>
          <cell r="E6">
            <v>28.3</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A1" t="str">
            <v>NSE NOW Real Time Data Feed :-</v>
          </cell>
          <cell r="B1"/>
          <cell r="C1"/>
          <cell r="D1"/>
          <cell r="E1" t="str">
            <v>Right Click the Mouse + Shift =&gt; Run as Administrator</v>
          </cell>
          <cell r="F1"/>
          <cell r="G1"/>
          <cell r="I1"/>
          <cell r="J1" t="str">
            <v>Margin :</v>
          </cell>
          <cell r="K1" t="str">
            <v>https://fyers.in/margin-calculator/equity-futures/</v>
          </cell>
          <cell r="L1"/>
          <cell r="M1"/>
          <cell r="N1"/>
          <cell r="O1"/>
          <cell r="P1"/>
        </row>
        <row r="2">
          <cell r="A2" t="str">
            <v>Trading Symbol</v>
          </cell>
          <cell r="B2" t="str">
            <v>Best Buy Rate</v>
          </cell>
          <cell r="C2" t="str">
            <v>Last Traded Price</v>
          </cell>
          <cell r="D2" t="str">
            <v>Best Sell Rate</v>
          </cell>
          <cell r="E2" t="str">
            <v>Net Change</v>
          </cell>
          <cell r="F2" t="str">
            <v>Percentage Change</v>
          </cell>
          <cell r="G2" t="str">
            <v>ATP</v>
          </cell>
          <cell r="H2" t="str">
            <v>Symbol</v>
          </cell>
          <cell r="I2" t="str">
            <v>Open</v>
          </cell>
          <cell r="J2" t="str">
            <v>High Price</v>
          </cell>
          <cell r="K2" t="str">
            <v>Low Price</v>
          </cell>
          <cell r="L2" t="str">
            <v>Prev Close Price</v>
          </cell>
          <cell r="M2" t="str">
            <v>Min Lot Qty</v>
          </cell>
          <cell r="N2" t="str">
            <v>Open Interest</v>
          </cell>
          <cell r="O2" t="str">
            <v>Volume</v>
          </cell>
          <cell r="P2" t="str">
            <v>Last Trade Time</v>
          </cell>
        </row>
        <row r="3">
          <cell r="A3" t="str">
            <v>Indices &amp; Financial Services :</v>
          </cell>
          <cell r="B3"/>
          <cell r="C3"/>
          <cell r="D3"/>
          <cell r="E3"/>
          <cell r="F3"/>
          <cell r="G3"/>
          <cell r="H3"/>
          <cell r="I3"/>
          <cell r="J3"/>
          <cell r="K3"/>
          <cell r="L3"/>
          <cell r="M3"/>
          <cell r="N3"/>
          <cell r="O3"/>
          <cell r="P3"/>
        </row>
        <row r="4">
          <cell r="A4" t="str">
            <v>Trading Symbol</v>
          </cell>
          <cell r="B4" t="str">
            <v>Bid Rate</v>
          </cell>
          <cell r="C4" t="str">
            <v>LTP</v>
          </cell>
          <cell r="D4" t="str">
            <v>Ask Rate</v>
          </cell>
          <cell r="E4" t="str">
            <v>Net Change</v>
          </cell>
          <cell r="F4" t="str">
            <v>% Change</v>
          </cell>
          <cell r="G4" t="str">
            <v>ATP</v>
          </cell>
          <cell r="H4" t="str">
            <v>Symbol</v>
          </cell>
          <cell r="I4" t="str">
            <v>Open</v>
          </cell>
          <cell r="J4" t="str">
            <v>High</v>
          </cell>
          <cell r="K4" t="str">
            <v xml:space="preserve">Low </v>
          </cell>
          <cell r="L4" t="str">
            <v>Prev Close</v>
          </cell>
          <cell r="M4" t="str">
            <v>Lot Qty</v>
          </cell>
          <cell r="N4" t="str">
            <v>Open Interest</v>
          </cell>
          <cell r="O4" t="str">
            <v>Volume Traded Today</v>
          </cell>
          <cell r="P4" t="str">
            <v>LTT</v>
          </cell>
        </row>
        <row r="5">
          <cell r="A5" t="str">
            <v>BANKNIFTY18NOVFUT</v>
          </cell>
          <cell r="B5">
            <v>25845</v>
          </cell>
          <cell r="C5">
            <v>25845.55</v>
          </cell>
          <cell r="D5">
            <v>25848</v>
          </cell>
          <cell r="E5">
            <v>83.35</v>
          </cell>
          <cell r="F5">
            <v>0.32</v>
          </cell>
          <cell r="G5">
            <v>25793.33</v>
          </cell>
          <cell r="H5" t="str">
            <v>BANKNIFTY</v>
          </cell>
          <cell r="I5">
            <v>25730</v>
          </cell>
          <cell r="J5">
            <v>25880</v>
          </cell>
          <cell r="K5">
            <v>25630.1</v>
          </cell>
          <cell r="L5">
            <v>25762.2</v>
          </cell>
          <cell r="M5">
            <v>20</v>
          </cell>
          <cell r="N5">
            <v>1598280</v>
          </cell>
          <cell r="O5">
            <v>2158360</v>
          </cell>
          <cell r="P5" t="str">
            <v>15:29:59</v>
          </cell>
        </row>
        <row r="6">
          <cell r="A6" t="str">
            <v>NIFTY18NOVFUT</v>
          </cell>
          <cell r="B6">
            <v>10618</v>
          </cell>
          <cell r="C6">
            <v>10619.8</v>
          </cell>
          <cell r="D6">
            <v>10619.8</v>
          </cell>
          <cell r="E6">
            <v>5.25</v>
          </cell>
          <cell r="F6">
            <v>0.05</v>
          </cell>
          <cell r="G6">
            <v>10611.4</v>
          </cell>
          <cell r="H6" t="str">
            <v>NIFTY</v>
          </cell>
          <cell r="I6">
            <v>10601</v>
          </cell>
          <cell r="J6">
            <v>10643.95</v>
          </cell>
          <cell r="K6">
            <v>10571.1</v>
          </cell>
          <cell r="L6">
            <v>10614.55</v>
          </cell>
          <cell r="M6">
            <v>75</v>
          </cell>
          <cell r="N6">
            <v>24097875</v>
          </cell>
          <cell r="O6">
            <v>9008475</v>
          </cell>
          <cell r="P6" t="str">
            <v>15:29:59</v>
          </cell>
        </row>
        <row r="7">
          <cell r="A7" t="str">
            <v>GBPINR</v>
          </cell>
          <cell r="B7">
            <v>94.36</v>
          </cell>
          <cell r="C7">
            <v>94.381</v>
          </cell>
          <cell r="D7">
            <v>94.402000000000001</v>
          </cell>
          <cell r="E7">
            <v>-0.79700000000000004</v>
          </cell>
          <cell r="F7">
            <v>-0.84</v>
          </cell>
          <cell r="G7">
            <v>0</v>
          </cell>
          <cell r="H7" t="str">
            <v>GBPINR</v>
          </cell>
          <cell r="I7">
            <v>0</v>
          </cell>
          <cell r="J7">
            <v>0</v>
          </cell>
          <cell r="K7">
            <v>0</v>
          </cell>
          <cell r="L7">
            <v>95.177999999999997</v>
          </cell>
          <cell r="M7">
            <v>1</v>
          </cell>
          <cell r="N7">
            <v>0</v>
          </cell>
          <cell r="O7">
            <v>0</v>
          </cell>
          <cell r="P7" t="str">
            <v/>
          </cell>
        </row>
        <row r="8">
          <cell r="A8" t="str">
            <v>EURINR</v>
          </cell>
          <cell r="B8">
            <v>82.254000000000005</v>
          </cell>
          <cell r="C8">
            <v>82.275000000000006</v>
          </cell>
          <cell r="D8">
            <v>82.295000000000002</v>
          </cell>
          <cell r="E8">
            <v>-0.89400000000000002</v>
          </cell>
          <cell r="F8">
            <v>-1.07</v>
          </cell>
          <cell r="G8">
            <v>0</v>
          </cell>
          <cell r="H8" t="str">
            <v>EURINR</v>
          </cell>
          <cell r="I8">
            <v>0</v>
          </cell>
          <cell r="J8">
            <v>0</v>
          </cell>
          <cell r="K8">
            <v>0</v>
          </cell>
          <cell r="L8">
            <v>83.168999999999997</v>
          </cell>
          <cell r="M8">
            <v>1</v>
          </cell>
          <cell r="N8">
            <v>0</v>
          </cell>
          <cell r="O8">
            <v>0</v>
          </cell>
          <cell r="P8" t="str">
            <v/>
          </cell>
        </row>
        <row r="9">
          <cell r="A9" t="str">
            <v>USDINR</v>
          </cell>
          <cell r="B9">
            <v>72.489999999999995</v>
          </cell>
          <cell r="C9">
            <v>72.495000000000005</v>
          </cell>
          <cell r="D9">
            <v>72.5</v>
          </cell>
          <cell r="E9">
            <v>-0.51</v>
          </cell>
          <cell r="F9">
            <v>-0.7</v>
          </cell>
          <cell r="G9">
            <v>0</v>
          </cell>
          <cell r="H9" t="str">
            <v>USDINR</v>
          </cell>
          <cell r="I9">
            <v>0</v>
          </cell>
          <cell r="J9">
            <v>0</v>
          </cell>
          <cell r="K9">
            <v>0</v>
          </cell>
          <cell r="L9">
            <v>73.004999999999995</v>
          </cell>
          <cell r="M9">
            <v>1</v>
          </cell>
          <cell r="N9">
            <v>0</v>
          </cell>
          <cell r="O9">
            <v>0</v>
          </cell>
          <cell r="P9" t="str">
            <v/>
          </cell>
        </row>
        <row r="10">
          <cell r="A10" t="str">
            <v>JPYINR</v>
          </cell>
          <cell r="B10">
            <v>63.677100000000003</v>
          </cell>
          <cell r="C10">
            <v>63.6843</v>
          </cell>
          <cell r="D10">
            <v>63.691499999999998</v>
          </cell>
          <cell r="E10">
            <v>-0.82330000000000003</v>
          </cell>
          <cell r="F10">
            <v>-1.28</v>
          </cell>
          <cell r="G10">
            <v>0</v>
          </cell>
          <cell r="H10" t="str">
            <v>JPYINR</v>
          </cell>
          <cell r="I10">
            <v>0</v>
          </cell>
          <cell r="J10">
            <v>0</v>
          </cell>
          <cell r="K10">
            <v>0</v>
          </cell>
          <cell r="L10">
            <v>64.507599999999996</v>
          </cell>
          <cell r="M10">
            <v>1</v>
          </cell>
          <cell r="N10">
            <v>0</v>
          </cell>
          <cell r="O10">
            <v>0</v>
          </cell>
          <cell r="P10" t="str">
            <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gin - NSE Fut (5Paisa)"/>
      <sheetName val="New Pairs"/>
      <sheetName val="Sector"/>
      <sheetName val="Old Pairs"/>
      <sheetName val="Pairs - Sep 14"/>
      <sheetName val="Pairs - August 14"/>
      <sheetName val="Pairs - July 14"/>
      <sheetName val="Pairs-May 14"/>
      <sheetName val="Pairs-March 14"/>
      <sheetName val="Pairs-February 14"/>
      <sheetName val="Pairs-June 13"/>
      <sheetName val="Pairs-December 12"/>
      <sheetName val="Pairs-October 12"/>
      <sheetName val="Margin - NSE Fut (Balaji)"/>
      <sheetName val="Margin - MCX (Balaji)"/>
      <sheetName val="Current Pairs"/>
    </sheetNames>
    <sheetDataSet>
      <sheetData sheetId="0">
        <row r="1">
          <cell r="A1" t="str">
            <v>Span Margin Requirement - NSE Futures :</v>
          </cell>
          <cell r="D1" t="str">
            <v>http://www.5paisa.com/5pit/spma.asp</v>
          </cell>
          <cell r="K1"/>
        </row>
        <row r="2">
          <cell r="A2" t="str">
            <v>Margin Calculator</v>
          </cell>
          <cell r="B2" t="str">
            <v>Span Margin Nov 22, 2018</v>
          </cell>
          <cell r="C2"/>
          <cell r="D2"/>
          <cell r="E2"/>
          <cell r="F2"/>
          <cell r="G2"/>
          <cell r="H2"/>
          <cell r="I2"/>
          <cell r="J2"/>
          <cell r="K2"/>
        </row>
        <row r="3">
          <cell r="A3"/>
          <cell r="B3"/>
          <cell r="C3"/>
          <cell r="D3"/>
          <cell r="E3"/>
          <cell r="F3"/>
          <cell r="G3"/>
          <cell r="H3"/>
          <cell r="I3"/>
          <cell r="J3"/>
          <cell r="K3"/>
        </row>
        <row r="4">
          <cell r="A4" t="str">
            <v>Symbol</v>
          </cell>
          <cell r="B4" t="str">
            <v>Mlot</v>
          </cell>
          <cell r="C4" t="str">
            <v>SpMgn%</v>
          </cell>
          <cell r="D4" t="str">
            <v>ExpMgn%</v>
          </cell>
          <cell r="E4" t="str">
            <v>TotMgn%</v>
          </cell>
          <cell r="F4" t="str">
            <v>SpMgnPerShare</v>
          </cell>
          <cell r="G4" t="str">
            <v>ExpMgnPerShr</v>
          </cell>
          <cell r="H4" t="str">
            <v>TotMgnPerShr</v>
          </cell>
          <cell r="I4" t="str">
            <v>SpMgnPerLt</v>
          </cell>
          <cell r="J4" t="str">
            <v>ExpMgnPerLt</v>
          </cell>
          <cell r="K4" t="str">
            <v>TotMgnPerLt</v>
          </cell>
        </row>
        <row r="5">
          <cell r="A5" t="str">
            <v>ACC</v>
          </cell>
          <cell r="B5">
            <v>400</v>
          </cell>
          <cell r="C5">
            <v>11.25</v>
          </cell>
          <cell r="D5">
            <v>5</v>
          </cell>
          <cell r="E5">
            <v>16.25</v>
          </cell>
          <cell r="F5">
            <v>165.95</v>
          </cell>
          <cell r="G5">
            <v>73.75</v>
          </cell>
          <cell r="H5">
            <v>239.7</v>
          </cell>
          <cell r="I5">
            <v>66380</v>
          </cell>
          <cell r="J5">
            <v>29500</v>
          </cell>
          <cell r="K5">
            <v>95880</v>
          </cell>
        </row>
        <row r="6">
          <cell r="A6" t="str">
            <v>ADANIENT</v>
          </cell>
          <cell r="B6">
            <v>4000</v>
          </cell>
          <cell r="C6">
            <v>11.25</v>
          </cell>
          <cell r="D6">
            <v>5.38</v>
          </cell>
          <cell r="E6">
            <v>16.63</v>
          </cell>
          <cell r="F6">
            <v>18.079999999999998</v>
          </cell>
          <cell r="G6">
            <v>8.6456999999999997</v>
          </cell>
          <cell r="H6">
            <v>26.7257</v>
          </cell>
          <cell r="I6">
            <v>72320</v>
          </cell>
          <cell r="J6">
            <v>34582.639999999999</v>
          </cell>
          <cell r="K6">
            <v>106902.64</v>
          </cell>
        </row>
        <row r="7">
          <cell r="A7" t="str">
            <v>ADANIPORTS</v>
          </cell>
          <cell r="B7">
            <v>2500</v>
          </cell>
          <cell r="C7">
            <v>11.3</v>
          </cell>
          <cell r="D7">
            <v>5</v>
          </cell>
          <cell r="E7">
            <v>16.3</v>
          </cell>
          <cell r="F7">
            <v>40.11</v>
          </cell>
          <cell r="G7">
            <v>17.739999999999998</v>
          </cell>
          <cell r="H7">
            <v>57.85</v>
          </cell>
          <cell r="I7">
            <v>100275</v>
          </cell>
          <cell r="J7">
            <v>44350</v>
          </cell>
          <cell r="K7">
            <v>144625</v>
          </cell>
        </row>
        <row r="8">
          <cell r="A8" t="str">
            <v>ADANIPOWER</v>
          </cell>
          <cell r="B8">
            <v>20000</v>
          </cell>
          <cell r="C8">
            <v>17.739999999999998</v>
          </cell>
          <cell r="D8">
            <v>17.54</v>
          </cell>
          <cell r="E8">
            <v>35.28</v>
          </cell>
          <cell r="F8">
            <v>8.42</v>
          </cell>
          <cell r="G8">
            <v>8.3226999999999993</v>
          </cell>
          <cell r="H8">
            <v>16.742699999999999</v>
          </cell>
          <cell r="I8">
            <v>168400</v>
          </cell>
          <cell r="J8">
            <v>166454.6</v>
          </cell>
          <cell r="K8">
            <v>334854.59999999998</v>
          </cell>
        </row>
        <row r="9">
          <cell r="A9" t="str">
            <v>AJANTPHARM</v>
          </cell>
          <cell r="B9">
            <v>500</v>
          </cell>
          <cell r="C9">
            <v>11.27</v>
          </cell>
          <cell r="D9">
            <v>5</v>
          </cell>
          <cell r="E9">
            <v>16.27</v>
          </cell>
          <cell r="F9">
            <v>125.08</v>
          </cell>
          <cell r="G9">
            <v>55.454999999999998</v>
          </cell>
          <cell r="H9">
            <v>180.535</v>
          </cell>
          <cell r="I9">
            <v>62540</v>
          </cell>
          <cell r="J9">
            <v>27727.5</v>
          </cell>
          <cell r="K9">
            <v>90267.5</v>
          </cell>
        </row>
        <row r="10">
          <cell r="A10" t="str">
            <v>ALBK</v>
          </cell>
          <cell r="B10">
            <v>11000</v>
          </cell>
          <cell r="C10">
            <v>17.25</v>
          </cell>
          <cell r="D10">
            <v>5</v>
          </cell>
          <cell r="E10">
            <v>22.25</v>
          </cell>
          <cell r="F10">
            <v>7.72</v>
          </cell>
          <cell r="G10">
            <v>2.2374999999999998</v>
          </cell>
          <cell r="H10">
            <v>9.9574999999999996</v>
          </cell>
          <cell r="I10">
            <v>84920</v>
          </cell>
          <cell r="J10">
            <v>24612.5</v>
          </cell>
          <cell r="K10">
            <v>109532.5</v>
          </cell>
        </row>
        <row r="11">
          <cell r="A11" t="str">
            <v>AMARAJABAT</v>
          </cell>
          <cell r="B11">
            <v>700</v>
          </cell>
          <cell r="C11">
            <v>11.3</v>
          </cell>
          <cell r="D11">
            <v>5</v>
          </cell>
          <cell r="E11">
            <v>16.3</v>
          </cell>
          <cell r="F11">
            <v>81.95</v>
          </cell>
          <cell r="G11">
            <v>36.24</v>
          </cell>
          <cell r="H11">
            <v>118.19</v>
          </cell>
          <cell r="I11">
            <v>57365</v>
          </cell>
          <cell r="J11">
            <v>25368</v>
          </cell>
          <cell r="K11">
            <v>82733</v>
          </cell>
        </row>
        <row r="12">
          <cell r="A12" t="str">
            <v>AMBUJACEM</v>
          </cell>
          <cell r="B12">
            <v>2500</v>
          </cell>
          <cell r="C12">
            <v>11.27</v>
          </cell>
          <cell r="D12">
            <v>5</v>
          </cell>
          <cell r="E12">
            <v>16.27</v>
          </cell>
          <cell r="F12">
            <v>24.27</v>
          </cell>
          <cell r="G12">
            <v>10.765000000000001</v>
          </cell>
          <cell r="H12">
            <v>35.034999999999997</v>
          </cell>
          <cell r="I12">
            <v>60675</v>
          </cell>
          <cell r="J12">
            <v>26912.5</v>
          </cell>
          <cell r="K12">
            <v>87587.5</v>
          </cell>
        </row>
        <row r="13">
          <cell r="A13" t="str">
            <v>APOLLOHOSP</v>
          </cell>
          <cell r="B13">
            <v>500</v>
          </cell>
          <cell r="C13">
            <v>11.24</v>
          </cell>
          <cell r="D13">
            <v>5</v>
          </cell>
          <cell r="E13">
            <v>16.239999999999998</v>
          </cell>
          <cell r="F13">
            <v>134.66</v>
          </cell>
          <cell r="G13">
            <v>59.872500000000002</v>
          </cell>
          <cell r="H13">
            <v>194.5325</v>
          </cell>
          <cell r="I13">
            <v>67330</v>
          </cell>
          <cell r="J13">
            <v>29936.25</v>
          </cell>
          <cell r="K13">
            <v>97266.25</v>
          </cell>
        </row>
        <row r="14">
          <cell r="A14" t="str">
            <v>APOLLOTYRE</v>
          </cell>
          <cell r="B14">
            <v>3000</v>
          </cell>
          <cell r="C14">
            <v>11.26</v>
          </cell>
          <cell r="D14">
            <v>5</v>
          </cell>
          <cell r="E14">
            <v>16.260000000000002</v>
          </cell>
          <cell r="F14">
            <v>25.43</v>
          </cell>
          <cell r="G14">
            <v>11.29</v>
          </cell>
          <cell r="H14">
            <v>36.72</v>
          </cell>
          <cell r="I14">
            <v>76290</v>
          </cell>
          <cell r="J14">
            <v>33870</v>
          </cell>
          <cell r="K14">
            <v>110160</v>
          </cell>
        </row>
        <row r="15">
          <cell r="A15" t="str">
            <v>ASHOKLEY</v>
          </cell>
          <cell r="B15">
            <v>4000</v>
          </cell>
          <cell r="C15">
            <v>11.46</v>
          </cell>
          <cell r="D15">
            <v>5</v>
          </cell>
          <cell r="E15">
            <v>16.46</v>
          </cell>
          <cell r="F15">
            <v>12.34</v>
          </cell>
          <cell r="G15">
            <v>5.3825000000000003</v>
          </cell>
          <cell r="H15">
            <v>17.7225</v>
          </cell>
          <cell r="I15">
            <v>49360</v>
          </cell>
          <cell r="J15">
            <v>21530</v>
          </cell>
          <cell r="K15">
            <v>70890</v>
          </cell>
        </row>
        <row r="16">
          <cell r="A16" t="str">
            <v>ASIANPAINT</v>
          </cell>
          <cell r="B16">
            <v>600</v>
          </cell>
          <cell r="C16">
            <v>11.25</v>
          </cell>
          <cell r="D16">
            <v>5</v>
          </cell>
          <cell r="E16">
            <v>16.25</v>
          </cell>
          <cell r="F16">
            <v>147.53</v>
          </cell>
          <cell r="G16">
            <v>65.55</v>
          </cell>
          <cell r="H16">
            <v>213.08</v>
          </cell>
          <cell r="I16">
            <v>88518</v>
          </cell>
          <cell r="J16">
            <v>39330</v>
          </cell>
          <cell r="K16">
            <v>127848</v>
          </cell>
        </row>
        <row r="17">
          <cell r="A17" t="str">
            <v>AUROPHARMA</v>
          </cell>
          <cell r="B17">
            <v>1000</v>
          </cell>
          <cell r="C17">
            <v>11.3</v>
          </cell>
          <cell r="D17">
            <v>5</v>
          </cell>
          <cell r="E17">
            <v>16.3</v>
          </cell>
          <cell r="F17">
            <v>87.93</v>
          </cell>
          <cell r="G17">
            <v>38.887500000000003</v>
          </cell>
          <cell r="H17">
            <v>126.8175</v>
          </cell>
          <cell r="I17">
            <v>87930</v>
          </cell>
          <cell r="J17">
            <v>38887.5</v>
          </cell>
          <cell r="K17">
            <v>126817.5</v>
          </cell>
        </row>
        <row r="18">
          <cell r="A18" t="str">
            <v>AXISBANK</v>
          </cell>
          <cell r="B18">
            <v>1200</v>
          </cell>
          <cell r="C18">
            <v>11.27</v>
          </cell>
          <cell r="D18">
            <v>5</v>
          </cell>
          <cell r="E18">
            <v>16.27</v>
          </cell>
          <cell r="F18">
            <v>69.16</v>
          </cell>
          <cell r="G18">
            <v>30.677499999999998</v>
          </cell>
          <cell r="H18">
            <v>99.837500000000006</v>
          </cell>
          <cell r="I18">
            <v>82992</v>
          </cell>
          <cell r="J18">
            <v>36813</v>
          </cell>
          <cell r="K18">
            <v>119805</v>
          </cell>
        </row>
        <row r="19">
          <cell r="A19" t="str">
            <v>BAJAJ-AUTO</v>
          </cell>
          <cell r="B19">
            <v>250</v>
          </cell>
          <cell r="C19">
            <v>11.26</v>
          </cell>
          <cell r="D19">
            <v>5</v>
          </cell>
          <cell r="E19">
            <v>16.260000000000002</v>
          </cell>
          <cell r="F19">
            <v>301.02999999999997</v>
          </cell>
          <cell r="G19">
            <v>133.66749999999999</v>
          </cell>
          <cell r="H19">
            <v>434.69749999999999</v>
          </cell>
          <cell r="I19">
            <v>75258</v>
          </cell>
          <cell r="J19">
            <v>33416.875</v>
          </cell>
          <cell r="K19">
            <v>108674.875</v>
          </cell>
        </row>
        <row r="20">
          <cell r="A20" t="str">
            <v>BAJAJFINSV</v>
          </cell>
          <cell r="B20">
            <v>125</v>
          </cell>
          <cell r="C20">
            <v>11.3</v>
          </cell>
          <cell r="D20">
            <v>5</v>
          </cell>
          <cell r="E20">
            <v>16.3</v>
          </cell>
          <cell r="F20">
            <v>642.20000000000005</v>
          </cell>
          <cell r="G20">
            <v>283.92750000000001</v>
          </cell>
          <cell r="H20">
            <v>926.12750000000005</v>
          </cell>
          <cell r="I20">
            <v>80275</v>
          </cell>
          <cell r="J20">
            <v>35490.9375</v>
          </cell>
          <cell r="K20">
            <v>115765.9375</v>
          </cell>
        </row>
        <row r="21">
          <cell r="A21" t="str">
            <v>BAJFINANCE</v>
          </cell>
          <cell r="B21">
            <v>250</v>
          </cell>
          <cell r="C21">
            <v>11.25</v>
          </cell>
          <cell r="D21">
            <v>6</v>
          </cell>
          <cell r="E21">
            <v>17.25</v>
          </cell>
          <cell r="F21">
            <v>268.7</v>
          </cell>
          <cell r="G21">
            <v>143.19300000000001</v>
          </cell>
          <cell r="H21">
            <v>411.89299999999997</v>
          </cell>
          <cell r="I21">
            <v>67175</v>
          </cell>
          <cell r="J21">
            <v>35798.25</v>
          </cell>
          <cell r="K21">
            <v>102973.25</v>
          </cell>
        </row>
        <row r="22">
          <cell r="A22" t="str">
            <v>BALKRISIND</v>
          </cell>
          <cell r="B22">
            <v>800</v>
          </cell>
          <cell r="C22">
            <v>11.28</v>
          </cell>
          <cell r="D22">
            <v>5</v>
          </cell>
          <cell r="E22">
            <v>16.28</v>
          </cell>
          <cell r="F22">
            <v>107.63</v>
          </cell>
          <cell r="G22">
            <v>47.685000000000002</v>
          </cell>
          <cell r="H22">
            <v>155.315</v>
          </cell>
          <cell r="I22">
            <v>86104</v>
          </cell>
          <cell r="J22">
            <v>38148</v>
          </cell>
          <cell r="K22">
            <v>124252</v>
          </cell>
        </row>
        <row r="23">
          <cell r="A23" t="str">
            <v>BANKBARODA</v>
          </cell>
          <cell r="B23">
            <v>4000</v>
          </cell>
          <cell r="C23">
            <v>11.24</v>
          </cell>
          <cell r="D23">
            <v>5</v>
          </cell>
          <cell r="E23">
            <v>16.239999999999998</v>
          </cell>
          <cell r="F23">
            <v>12.44</v>
          </cell>
          <cell r="G23">
            <v>5.53</v>
          </cell>
          <cell r="H23">
            <v>17.97</v>
          </cell>
          <cell r="I23">
            <v>49760</v>
          </cell>
          <cell r="J23">
            <v>22120</v>
          </cell>
          <cell r="K23">
            <v>71880</v>
          </cell>
        </row>
        <row r="24">
          <cell r="A24" t="str">
            <v>BANKINDIA</v>
          </cell>
          <cell r="B24">
            <v>6000</v>
          </cell>
          <cell r="C24">
            <v>12.13</v>
          </cell>
          <cell r="D24">
            <v>5</v>
          </cell>
          <cell r="E24">
            <v>17.13</v>
          </cell>
          <cell r="F24">
            <v>10.44</v>
          </cell>
          <cell r="G24">
            <v>4.3025000000000002</v>
          </cell>
          <cell r="H24">
            <v>14.7425</v>
          </cell>
          <cell r="I24">
            <v>62640</v>
          </cell>
          <cell r="J24">
            <v>25815</v>
          </cell>
          <cell r="K24">
            <v>88455</v>
          </cell>
        </row>
        <row r="25">
          <cell r="A25" t="str">
            <v>BANKNIFTY</v>
          </cell>
          <cell r="B25">
            <v>20</v>
          </cell>
          <cell r="C25">
            <v>6.52</v>
          </cell>
          <cell r="D25">
            <v>3</v>
          </cell>
          <cell r="E25">
            <v>9.52</v>
          </cell>
          <cell r="F25">
            <v>1705.6</v>
          </cell>
          <cell r="G25">
            <v>784.73699999999997</v>
          </cell>
          <cell r="H25">
            <v>2490.337</v>
          </cell>
          <cell r="I25">
            <v>34112</v>
          </cell>
          <cell r="J25">
            <v>15694.74</v>
          </cell>
          <cell r="K25">
            <v>49806.74</v>
          </cell>
        </row>
        <row r="26">
          <cell r="A26" t="str">
            <v>BATAINDIA</v>
          </cell>
          <cell r="B26">
            <v>550</v>
          </cell>
          <cell r="C26">
            <v>11.25</v>
          </cell>
          <cell r="D26">
            <v>5</v>
          </cell>
          <cell r="E26">
            <v>16.25</v>
          </cell>
          <cell r="F26">
            <v>111.18</v>
          </cell>
          <cell r="G26">
            <v>49.375</v>
          </cell>
          <cell r="H26">
            <v>160.55500000000001</v>
          </cell>
          <cell r="I26">
            <v>61149</v>
          </cell>
          <cell r="J26">
            <v>27156.25</v>
          </cell>
          <cell r="K26">
            <v>88305.25</v>
          </cell>
        </row>
        <row r="27">
          <cell r="A27" t="str">
            <v>BEL</v>
          </cell>
          <cell r="B27">
            <v>4950</v>
          </cell>
          <cell r="C27">
            <v>11.32</v>
          </cell>
          <cell r="D27">
            <v>5</v>
          </cell>
          <cell r="E27">
            <v>16.32</v>
          </cell>
          <cell r="F27">
            <v>10.49</v>
          </cell>
          <cell r="G27">
            <v>4.63</v>
          </cell>
          <cell r="H27">
            <v>15.12</v>
          </cell>
          <cell r="I27">
            <v>51926</v>
          </cell>
          <cell r="J27">
            <v>22918.5</v>
          </cell>
          <cell r="K27">
            <v>74844.5</v>
          </cell>
        </row>
        <row r="28">
          <cell r="A28" t="str">
            <v>BEML</v>
          </cell>
          <cell r="B28">
            <v>500</v>
          </cell>
          <cell r="C28">
            <v>12.6</v>
          </cell>
          <cell r="D28">
            <v>5</v>
          </cell>
          <cell r="E28">
            <v>17.600000000000001</v>
          </cell>
          <cell r="F28">
            <v>95.31</v>
          </cell>
          <cell r="G28">
            <v>37.797499999999999</v>
          </cell>
          <cell r="H28">
            <v>133.10749999999999</v>
          </cell>
          <cell r="I28">
            <v>47655</v>
          </cell>
          <cell r="J28">
            <v>18898.75</v>
          </cell>
          <cell r="K28">
            <v>66553.75</v>
          </cell>
        </row>
        <row r="29">
          <cell r="A29" t="str">
            <v>BERGEPAINT</v>
          </cell>
          <cell r="B29">
            <v>2200</v>
          </cell>
          <cell r="C29">
            <v>11.26</v>
          </cell>
          <cell r="D29">
            <v>5</v>
          </cell>
          <cell r="E29">
            <v>16.260000000000002</v>
          </cell>
          <cell r="F29">
            <v>35.32</v>
          </cell>
          <cell r="G29">
            <v>15.6775</v>
          </cell>
          <cell r="H29">
            <v>50.997500000000002</v>
          </cell>
          <cell r="I29">
            <v>77704</v>
          </cell>
          <cell r="J29">
            <v>34490.5</v>
          </cell>
          <cell r="K29">
            <v>112194.5</v>
          </cell>
        </row>
        <row r="30">
          <cell r="A30" t="str">
            <v>BHARATFIN</v>
          </cell>
          <cell r="B30">
            <v>500</v>
          </cell>
          <cell r="C30">
            <v>11.31</v>
          </cell>
          <cell r="D30">
            <v>5</v>
          </cell>
          <cell r="E30">
            <v>16.309999999999999</v>
          </cell>
          <cell r="F30">
            <v>108.96</v>
          </cell>
          <cell r="G30">
            <v>48.152500000000003</v>
          </cell>
          <cell r="H30">
            <v>157.11250000000001</v>
          </cell>
          <cell r="I30">
            <v>54480</v>
          </cell>
          <cell r="J30">
            <v>24076.25</v>
          </cell>
          <cell r="K30">
            <v>78556.25</v>
          </cell>
        </row>
        <row r="31">
          <cell r="A31" t="str">
            <v>BHARATFORG</v>
          </cell>
          <cell r="B31">
            <v>1200</v>
          </cell>
          <cell r="C31">
            <v>11.27</v>
          </cell>
          <cell r="D31">
            <v>5</v>
          </cell>
          <cell r="E31">
            <v>16.27</v>
          </cell>
          <cell r="F31">
            <v>65.150000000000006</v>
          </cell>
          <cell r="G31">
            <v>28.897500000000001</v>
          </cell>
          <cell r="H31">
            <v>94.047499999999999</v>
          </cell>
          <cell r="I31">
            <v>78180</v>
          </cell>
          <cell r="J31">
            <v>34677</v>
          </cell>
          <cell r="K31">
            <v>112857</v>
          </cell>
        </row>
        <row r="32">
          <cell r="A32" t="str">
            <v>BHARTIARTL</v>
          </cell>
          <cell r="B32">
            <v>1700</v>
          </cell>
          <cell r="C32">
            <v>11.29</v>
          </cell>
          <cell r="D32">
            <v>5</v>
          </cell>
          <cell r="E32">
            <v>16.29</v>
          </cell>
          <cell r="F32">
            <v>37.479999999999997</v>
          </cell>
          <cell r="G32">
            <v>16.585000000000001</v>
          </cell>
          <cell r="H32">
            <v>54.064999999999998</v>
          </cell>
          <cell r="I32">
            <v>63716</v>
          </cell>
          <cell r="J32">
            <v>28194.5</v>
          </cell>
          <cell r="K32">
            <v>91910.5</v>
          </cell>
        </row>
        <row r="33">
          <cell r="A33" t="str">
            <v>BHEL</v>
          </cell>
          <cell r="B33">
            <v>7500</v>
          </cell>
          <cell r="C33">
            <v>11.34</v>
          </cell>
          <cell r="D33">
            <v>5</v>
          </cell>
          <cell r="E33">
            <v>16.34</v>
          </cell>
          <cell r="F33">
            <v>7.61</v>
          </cell>
          <cell r="G33">
            <v>3.3525</v>
          </cell>
          <cell r="H33">
            <v>10.9625</v>
          </cell>
          <cell r="I33">
            <v>57075</v>
          </cell>
          <cell r="J33">
            <v>25143.75</v>
          </cell>
          <cell r="K33">
            <v>82218.75</v>
          </cell>
        </row>
        <row r="34">
          <cell r="A34" t="str">
            <v>BIOCON</v>
          </cell>
          <cell r="B34">
            <v>900</v>
          </cell>
          <cell r="C34">
            <v>11.27</v>
          </cell>
          <cell r="D34">
            <v>5</v>
          </cell>
          <cell r="E34">
            <v>16.27</v>
          </cell>
          <cell r="F34">
            <v>69.150000000000006</v>
          </cell>
          <cell r="G34">
            <v>30.657499999999999</v>
          </cell>
          <cell r="H34">
            <v>99.807500000000005</v>
          </cell>
          <cell r="I34">
            <v>62235</v>
          </cell>
          <cell r="J34">
            <v>27591.75</v>
          </cell>
          <cell r="K34">
            <v>89826.75</v>
          </cell>
        </row>
        <row r="35">
          <cell r="A35" t="str">
            <v>BOSCHLTD</v>
          </cell>
          <cell r="B35">
            <v>30</v>
          </cell>
          <cell r="C35">
            <v>11.27</v>
          </cell>
          <cell r="D35">
            <v>5</v>
          </cell>
          <cell r="E35">
            <v>16.27</v>
          </cell>
          <cell r="F35">
            <v>2099.3000000000002</v>
          </cell>
          <cell r="G35">
            <v>930.93</v>
          </cell>
          <cell r="H35">
            <v>3030.23</v>
          </cell>
          <cell r="I35">
            <v>62979</v>
          </cell>
          <cell r="J35">
            <v>27927.9</v>
          </cell>
          <cell r="K35">
            <v>90906.9</v>
          </cell>
        </row>
        <row r="36">
          <cell r="A36" t="str">
            <v>BPCL</v>
          </cell>
          <cell r="B36">
            <v>1800</v>
          </cell>
          <cell r="C36">
            <v>13.4</v>
          </cell>
          <cell r="D36">
            <v>5</v>
          </cell>
          <cell r="E36">
            <v>18.399999999999999</v>
          </cell>
          <cell r="F36">
            <v>43.24</v>
          </cell>
          <cell r="G36">
            <v>16.13</v>
          </cell>
          <cell r="H36">
            <v>59.37</v>
          </cell>
          <cell r="I36">
            <v>77832</v>
          </cell>
          <cell r="J36">
            <v>29034</v>
          </cell>
          <cell r="K36">
            <v>106866</v>
          </cell>
        </row>
        <row r="37">
          <cell r="A37" t="str">
            <v>BRITANNIA</v>
          </cell>
          <cell r="B37">
            <v>100</v>
          </cell>
          <cell r="C37">
            <v>11.26</v>
          </cell>
          <cell r="D37">
            <v>5</v>
          </cell>
          <cell r="E37">
            <v>16.260000000000002</v>
          </cell>
          <cell r="F37">
            <v>664.8</v>
          </cell>
          <cell r="G37">
            <v>295.0625</v>
          </cell>
          <cell r="H37">
            <v>959.86249999999995</v>
          </cell>
          <cell r="I37">
            <v>66480</v>
          </cell>
          <cell r="J37">
            <v>29506.25</v>
          </cell>
          <cell r="K37">
            <v>95986.25</v>
          </cell>
        </row>
        <row r="38">
          <cell r="A38" t="str">
            <v>CADILAHC</v>
          </cell>
          <cell r="B38">
            <v>1600</v>
          </cell>
          <cell r="C38">
            <v>11.27</v>
          </cell>
          <cell r="D38">
            <v>5</v>
          </cell>
          <cell r="E38">
            <v>16.27</v>
          </cell>
          <cell r="F38">
            <v>40.08</v>
          </cell>
          <cell r="G38">
            <v>17.774999999999999</v>
          </cell>
          <cell r="H38">
            <v>57.854999999999997</v>
          </cell>
          <cell r="I38">
            <v>64128</v>
          </cell>
          <cell r="J38">
            <v>28440</v>
          </cell>
          <cell r="K38">
            <v>92568</v>
          </cell>
        </row>
        <row r="39">
          <cell r="A39" t="str">
            <v>CANBK</v>
          </cell>
          <cell r="B39">
            <v>2000</v>
          </cell>
          <cell r="C39">
            <v>11.89</v>
          </cell>
          <cell r="D39">
            <v>5</v>
          </cell>
          <cell r="E39">
            <v>16.89</v>
          </cell>
          <cell r="F39">
            <v>30.6</v>
          </cell>
          <cell r="G39">
            <v>12.865</v>
          </cell>
          <cell r="H39">
            <v>43.465000000000003</v>
          </cell>
          <cell r="I39">
            <v>61200</v>
          </cell>
          <cell r="J39">
            <v>25730</v>
          </cell>
          <cell r="K39">
            <v>86930</v>
          </cell>
        </row>
        <row r="40">
          <cell r="A40" t="str">
            <v>CANFINHOME</v>
          </cell>
          <cell r="B40">
            <v>1250</v>
          </cell>
          <cell r="C40">
            <v>11.87</v>
          </cell>
          <cell r="D40">
            <v>5</v>
          </cell>
          <cell r="E40">
            <v>16.87</v>
          </cell>
          <cell r="F40">
            <v>30.6</v>
          </cell>
          <cell r="G40">
            <v>12.8825</v>
          </cell>
          <cell r="H40">
            <v>43.482500000000002</v>
          </cell>
          <cell r="I40">
            <v>38250</v>
          </cell>
          <cell r="J40">
            <v>16103.125</v>
          </cell>
          <cell r="K40">
            <v>54353.125</v>
          </cell>
        </row>
        <row r="41">
          <cell r="A41" t="str">
            <v>CAPF</v>
          </cell>
          <cell r="B41">
            <v>800</v>
          </cell>
          <cell r="C41">
            <v>11.27</v>
          </cell>
          <cell r="D41">
            <v>5</v>
          </cell>
          <cell r="E41">
            <v>16.27</v>
          </cell>
          <cell r="F41">
            <v>54.22</v>
          </cell>
          <cell r="G41">
            <v>24.05</v>
          </cell>
          <cell r="H41">
            <v>78.27</v>
          </cell>
          <cell r="I41">
            <v>43376</v>
          </cell>
          <cell r="J41">
            <v>19240</v>
          </cell>
          <cell r="K41">
            <v>62616</v>
          </cell>
        </row>
        <row r="42">
          <cell r="A42" t="str">
            <v>CASTROLIND</v>
          </cell>
          <cell r="B42">
            <v>2800</v>
          </cell>
          <cell r="C42">
            <v>11.39</v>
          </cell>
          <cell r="D42">
            <v>5</v>
          </cell>
          <cell r="E42">
            <v>16.39</v>
          </cell>
          <cell r="F42">
            <v>17.3</v>
          </cell>
          <cell r="G42">
            <v>7.5925000000000002</v>
          </cell>
          <cell r="H42">
            <v>24.892499999999998</v>
          </cell>
          <cell r="I42">
            <v>48440</v>
          </cell>
          <cell r="J42">
            <v>21259</v>
          </cell>
          <cell r="K42">
            <v>69699</v>
          </cell>
        </row>
        <row r="43">
          <cell r="A43" t="str">
            <v>CEATLTD</v>
          </cell>
          <cell r="B43">
            <v>350</v>
          </cell>
          <cell r="C43">
            <v>11.28</v>
          </cell>
          <cell r="D43">
            <v>5</v>
          </cell>
          <cell r="E43">
            <v>16.28</v>
          </cell>
          <cell r="F43">
            <v>140.5</v>
          </cell>
          <cell r="G43">
            <v>62.227499999999999</v>
          </cell>
          <cell r="H43">
            <v>202.72749999999999</v>
          </cell>
          <cell r="I43">
            <v>49175</v>
          </cell>
          <cell r="J43">
            <v>21779.625</v>
          </cell>
          <cell r="K43">
            <v>70954.625</v>
          </cell>
        </row>
        <row r="44">
          <cell r="A44" t="str">
            <v>CENTURYTEX</v>
          </cell>
          <cell r="B44">
            <v>550</v>
          </cell>
          <cell r="C44">
            <v>11.28</v>
          </cell>
          <cell r="D44">
            <v>5</v>
          </cell>
          <cell r="E44">
            <v>16.28</v>
          </cell>
          <cell r="F44">
            <v>101.43</v>
          </cell>
          <cell r="G44">
            <v>44.924999999999997</v>
          </cell>
          <cell r="H44">
            <v>146.35499999999999</v>
          </cell>
          <cell r="I44">
            <v>55787</v>
          </cell>
          <cell r="J44">
            <v>24708.75</v>
          </cell>
          <cell r="K44">
            <v>80495.75</v>
          </cell>
        </row>
        <row r="45">
          <cell r="A45" t="str">
            <v>CESC</v>
          </cell>
          <cell r="B45">
            <v>550</v>
          </cell>
          <cell r="C45">
            <v>11.28</v>
          </cell>
          <cell r="D45">
            <v>5</v>
          </cell>
          <cell r="E45">
            <v>16.28</v>
          </cell>
          <cell r="F45">
            <v>77.069999999999993</v>
          </cell>
          <cell r="G45">
            <v>34.142499999999998</v>
          </cell>
          <cell r="H45">
            <v>111.21250000000001</v>
          </cell>
          <cell r="I45">
            <v>42389</v>
          </cell>
          <cell r="J45">
            <v>18778.375</v>
          </cell>
          <cell r="K45">
            <v>61167.375</v>
          </cell>
        </row>
        <row r="46">
          <cell r="A46" t="str">
            <v>CGPOWER</v>
          </cell>
          <cell r="B46">
            <v>12000</v>
          </cell>
          <cell r="C46">
            <v>11.24</v>
          </cell>
          <cell r="D46">
            <v>5.14</v>
          </cell>
          <cell r="E46">
            <v>16.38</v>
          </cell>
          <cell r="F46">
            <v>4.28</v>
          </cell>
          <cell r="G46">
            <v>1.9558</v>
          </cell>
          <cell r="H46">
            <v>6.2358000000000002</v>
          </cell>
          <cell r="I46">
            <v>51360</v>
          </cell>
          <cell r="J46">
            <v>23469.24</v>
          </cell>
          <cell r="K46">
            <v>74829.240000000005</v>
          </cell>
        </row>
        <row r="47">
          <cell r="A47" t="str">
            <v>CHENNPETRO</v>
          </cell>
          <cell r="B47">
            <v>1500</v>
          </cell>
          <cell r="C47">
            <v>11.25</v>
          </cell>
          <cell r="D47">
            <v>5</v>
          </cell>
          <cell r="E47">
            <v>16.25</v>
          </cell>
          <cell r="F47">
            <v>29.59</v>
          </cell>
          <cell r="G47">
            <v>13.14</v>
          </cell>
          <cell r="H47">
            <v>42.73</v>
          </cell>
          <cell r="I47">
            <v>44385</v>
          </cell>
          <cell r="J47">
            <v>19710</v>
          </cell>
          <cell r="K47">
            <v>64095</v>
          </cell>
        </row>
        <row r="48">
          <cell r="A48" t="str">
            <v>CHOLAFIN</v>
          </cell>
          <cell r="B48">
            <v>500</v>
          </cell>
          <cell r="C48">
            <v>11.28</v>
          </cell>
          <cell r="D48">
            <v>5</v>
          </cell>
          <cell r="E48">
            <v>16.28</v>
          </cell>
          <cell r="F48">
            <v>142.27000000000001</v>
          </cell>
          <cell r="G48">
            <v>63.055</v>
          </cell>
          <cell r="H48">
            <v>205.32499999999999</v>
          </cell>
          <cell r="I48">
            <v>71135</v>
          </cell>
          <cell r="J48">
            <v>31527.5</v>
          </cell>
          <cell r="K48">
            <v>102662.5</v>
          </cell>
        </row>
        <row r="49">
          <cell r="A49" t="str">
            <v>CIPLA</v>
          </cell>
          <cell r="B49">
            <v>1000</v>
          </cell>
          <cell r="C49">
            <v>11.25</v>
          </cell>
          <cell r="D49">
            <v>5</v>
          </cell>
          <cell r="E49">
            <v>16.25</v>
          </cell>
          <cell r="F49">
            <v>58.78</v>
          </cell>
          <cell r="G49">
            <v>26.102499999999999</v>
          </cell>
          <cell r="H49">
            <v>84.882499999999993</v>
          </cell>
          <cell r="I49">
            <v>58780</v>
          </cell>
          <cell r="J49">
            <v>26102.5</v>
          </cell>
          <cell r="K49">
            <v>84882.5</v>
          </cell>
        </row>
        <row r="50">
          <cell r="A50" t="str">
            <v>COALINDIA</v>
          </cell>
          <cell r="B50">
            <v>2200</v>
          </cell>
          <cell r="C50">
            <v>11.31</v>
          </cell>
          <cell r="D50">
            <v>5</v>
          </cell>
          <cell r="E50">
            <v>16.309999999999999</v>
          </cell>
          <cell r="F50">
            <v>29.52</v>
          </cell>
          <cell r="G50">
            <v>13.05</v>
          </cell>
          <cell r="H50">
            <v>42.57</v>
          </cell>
          <cell r="I50">
            <v>64944</v>
          </cell>
          <cell r="J50">
            <v>28710</v>
          </cell>
          <cell r="K50">
            <v>93654</v>
          </cell>
        </row>
        <row r="51">
          <cell r="A51" t="str">
            <v>COLPAL</v>
          </cell>
          <cell r="B51">
            <v>700</v>
          </cell>
          <cell r="C51">
            <v>11.32</v>
          </cell>
          <cell r="D51">
            <v>5</v>
          </cell>
          <cell r="E51">
            <v>16.32</v>
          </cell>
          <cell r="F51">
            <v>130.72999999999999</v>
          </cell>
          <cell r="G51">
            <v>57.72</v>
          </cell>
          <cell r="H51">
            <v>188.45</v>
          </cell>
          <cell r="I51">
            <v>91511</v>
          </cell>
          <cell r="J51">
            <v>40404</v>
          </cell>
          <cell r="K51">
            <v>131915</v>
          </cell>
        </row>
        <row r="52">
          <cell r="A52" t="str">
            <v>CONCOR</v>
          </cell>
          <cell r="B52">
            <v>1250</v>
          </cell>
          <cell r="C52">
            <v>11.24</v>
          </cell>
          <cell r="D52">
            <v>5</v>
          </cell>
          <cell r="E52">
            <v>16.239999999999998</v>
          </cell>
          <cell r="F52">
            <v>76.36</v>
          </cell>
          <cell r="G52">
            <v>33.942500000000003</v>
          </cell>
          <cell r="H52">
            <v>110.30249999999999</v>
          </cell>
          <cell r="I52">
            <v>95450</v>
          </cell>
          <cell r="J52">
            <v>42428.125</v>
          </cell>
          <cell r="K52">
            <v>137878.125</v>
          </cell>
        </row>
        <row r="53">
          <cell r="A53" t="str">
            <v>CUMMINSIND</v>
          </cell>
          <cell r="B53">
            <v>700</v>
          </cell>
          <cell r="C53">
            <v>11.26</v>
          </cell>
          <cell r="D53">
            <v>5</v>
          </cell>
          <cell r="E53">
            <v>16.260000000000002</v>
          </cell>
          <cell r="F53">
            <v>88.65</v>
          </cell>
          <cell r="G53">
            <v>39.352499999999999</v>
          </cell>
          <cell r="H53">
            <v>128.0025</v>
          </cell>
          <cell r="I53">
            <v>62055</v>
          </cell>
          <cell r="J53">
            <v>27546.75</v>
          </cell>
          <cell r="K53">
            <v>89601.75</v>
          </cell>
        </row>
        <row r="54">
          <cell r="A54" t="str">
            <v>DABUR</v>
          </cell>
          <cell r="B54">
            <v>1250</v>
          </cell>
          <cell r="C54">
            <v>11.25</v>
          </cell>
          <cell r="D54">
            <v>5</v>
          </cell>
          <cell r="E54">
            <v>16.25</v>
          </cell>
          <cell r="F54">
            <v>44.49</v>
          </cell>
          <cell r="G54">
            <v>19.760000000000002</v>
          </cell>
          <cell r="H54">
            <v>64.25</v>
          </cell>
          <cell r="I54">
            <v>55613</v>
          </cell>
          <cell r="J54">
            <v>24700</v>
          </cell>
          <cell r="K54">
            <v>80313</v>
          </cell>
        </row>
        <row r="55">
          <cell r="A55" t="str">
            <v>DALMIABHA</v>
          </cell>
          <cell r="B55">
            <v>300</v>
          </cell>
          <cell r="C55">
            <v>11.3</v>
          </cell>
          <cell r="D55">
            <v>5</v>
          </cell>
          <cell r="E55">
            <v>16.3</v>
          </cell>
          <cell r="F55">
            <v>254.98</v>
          </cell>
          <cell r="G55">
            <v>112.82250000000001</v>
          </cell>
          <cell r="H55">
            <v>367.80250000000001</v>
          </cell>
          <cell r="I55">
            <v>76494</v>
          </cell>
          <cell r="J55">
            <v>33846.75</v>
          </cell>
          <cell r="K55">
            <v>110340.75</v>
          </cell>
        </row>
        <row r="56">
          <cell r="A56" t="str">
            <v>DCBBANK</v>
          </cell>
          <cell r="B56">
            <v>4500</v>
          </cell>
          <cell r="C56">
            <v>11.25</v>
          </cell>
          <cell r="D56">
            <v>5</v>
          </cell>
          <cell r="E56">
            <v>16.25</v>
          </cell>
          <cell r="F56">
            <v>17.68</v>
          </cell>
          <cell r="G56">
            <v>7.8525</v>
          </cell>
          <cell r="H56">
            <v>25.532499999999999</v>
          </cell>
          <cell r="I56">
            <v>79560</v>
          </cell>
          <cell r="J56">
            <v>35336.25</v>
          </cell>
          <cell r="K56">
            <v>114896.25</v>
          </cell>
        </row>
        <row r="57">
          <cell r="A57" t="str">
            <v>DHFL</v>
          </cell>
          <cell r="B57">
            <v>1500</v>
          </cell>
          <cell r="C57">
            <v>26.11</v>
          </cell>
          <cell r="D57">
            <v>29.28</v>
          </cell>
          <cell r="E57">
            <v>55.39</v>
          </cell>
          <cell r="F57">
            <v>58.24</v>
          </cell>
          <cell r="G57">
            <v>65.294399999999996</v>
          </cell>
          <cell r="H57">
            <v>123.53440000000001</v>
          </cell>
          <cell r="I57">
            <v>87360</v>
          </cell>
          <cell r="J57">
            <v>97941.6</v>
          </cell>
          <cell r="K57">
            <v>185301.6</v>
          </cell>
        </row>
        <row r="58">
          <cell r="A58" t="str">
            <v>DISHTV</v>
          </cell>
          <cell r="B58">
            <v>8000</v>
          </cell>
          <cell r="C58">
            <v>15.33</v>
          </cell>
          <cell r="D58">
            <v>7</v>
          </cell>
          <cell r="E58">
            <v>22.33</v>
          </cell>
          <cell r="F58">
            <v>5.82</v>
          </cell>
          <cell r="G58">
            <v>2.6564999999999999</v>
          </cell>
          <cell r="H58">
            <v>8.4764999999999997</v>
          </cell>
          <cell r="I58">
            <v>46560</v>
          </cell>
          <cell r="J58">
            <v>21252</v>
          </cell>
          <cell r="K58">
            <v>67812</v>
          </cell>
        </row>
        <row r="59">
          <cell r="A59" t="str">
            <v>DIVISLAB</v>
          </cell>
          <cell r="B59">
            <v>400</v>
          </cell>
          <cell r="C59">
            <v>11.28</v>
          </cell>
          <cell r="D59">
            <v>5</v>
          </cell>
          <cell r="E59">
            <v>16.28</v>
          </cell>
          <cell r="F59">
            <v>173.21</v>
          </cell>
          <cell r="G59">
            <v>76.752499999999998</v>
          </cell>
          <cell r="H59">
            <v>249.96250000000001</v>
          </cell>
          <cell r="I59">
            <v>69284</v>
          </cell>
          <cell r="J59">
            <v>30701</v>
          </cell>
          <cell r="K59">
            <v>99985</v>
          </cell>
        </row>
        <row r="60">
          <cell r="A60" t="str">
            <v>DLF</v>
          </cell>
          <cell r="B60">
            <v>2500</v>
          </cell>
          <cell r="C60">
            <v>11.29</v>
          </cell>
          <cell r="D60">
            <v>5</v>
          </cell>
          <cell r="E60">
            <v>16.29</v>
          </cell>
          <cell r="F60">
            <v>19.75</v>
          </cell>
          <cell r="G60">
            <v>8.74</v>
          </cell>
          <cell r="H60">
            <v>28.49</v>
          </cell>
          <cell r="I60">
            <v>49375</v>
          </cell>
          <cell r="J60">
            <v>21850</v>
          </cell>
          <cell r="K60">
            <v>71225</v>
          </cell>
        </row>
        <row r="61">
          <cell r="A61" t="str">
            <v>DRREDDY</v>
          </cell>
          <cell r="B61">
            <v>250</v>
          </cell>
          <cell r="C61">
            <v>11.27</v>
          </cell>
          <cell r="D61">
            <v>5</v>
          </cell>
          <cell r="E61">
            <v>16.27</v>
          </cell>
          <cell r="F61">
            <v>275.82</v>
          </cell>
          <cell r="G61">
            <v>122.33499999999999</v>
          </cell>
          <cell r="H61">
            <v>398.15499999999997</v>
          </cell>
          <cell r="I61">
            <v>68955</v>
          </cell>
          <cell r="J61">
            <v>30583.75</v>
          </cell>
          <cell r="K61">
            <v>99538.75</v>
          </cell>
        </row>
        <row r="62">
          <cell r="A62" t="str">
            <v>EICHERMOT</v>
          </cell>
          <cell r="B62">
            <v>25</v>
          </cell>
          <cell r="C62">
            <v>11.28</v>
          </cell>
          <cell r="D62">
            <v>5</v>
          </cell>
          <cell r="E62">
            <v>16.28</v>
          </cell>
          <cell r="F62">
            <v>2776.72</v>
          </cell>
          <cell r="G62">
            <v>1230.6324999999999</v>
          </cell>
          <cell r="H62">
            <v>4007.3525</v>
          </cell>
          <cell r="I62">
            <v>69418</v>
          </cell>
          <cell r="J62">
            <v>30765.8125</v>
          </cell>
          <cell r="K62">
            <v>100183.8125</v>
          </cell>
        </row>
        <row r="63">
          <cell r="A63" t="str">
            <v>ENGINERSIN</v>
          </cell>
          <cell r="B63">
            <v>3500</v>
          </cell>
          <cell r="C63">
            <v>11.26</v>
          </cell>
          <cell r="D63">
            <v>5</v>
          </cell>
          <cell r="E63">
            <v>16.260000000000002</v>
          </cell>
          <cell r="F63">
            <v>13.18</v>
          </cell>
          <cell r="G63">
            <v>5.85</v>
          </cell>
          <cell r="H63">
            <v>19.03</v>
          </cell>
          <cell r="I63">
            <v>46130</v>
          </cell>
          <cell r="J63">
            <v>20475</v>
          </cell>
          <cell r="K63">
            <v>66605</v>
          </cell>
        </row>
        <row r="64">
          <cell r="A64" t="str">
            <v>EQUITAS</v>
          </cell>
          <cell r="B64">
            <v>4000</v>
          </cell>
          <cell r="C64">
            <v>17.37</v>
          </cell>
          <cell r="D64">
            <v>16.059999999999999</v>
          </cell>
          <cell r="E64">
            <v>33.43</v>
          </cell>
          <cell r="F64">
            <v>18.850000000000001</v>
          </cell>
          <cell r="G64">
            <v>17.4251</v>
          </cell>
          <cell r="H64">
            <v>36.275100000000002</v>
          </cell>
          <cell r="I64">
            <v>75400</v>
          </cell>
          <cell r="J64">
            <v>69700.399999999994</v>
          </cell>
          <cell r="K64">
            <v>145100.4</v>
          </cell>
        </row>
        <row r="65">
          <cell r="A65" t="str">
            <v>ESCORTS</v>
          </cell>
          <cell r="B65">
            <v>1100</v>
          </cell>
          <cell r="C65">
            <v>11.27</v>
          </cell>
          <cell r="D65">
            <v>5</v>
          </cell>
          <cell r="E65">
            <v>16.27</v>
          </cell>
          <cell r="F65">
            <v>74.47</v>
          </cell>
          <cell r="G65">
            <v>33.017499999999998</v>
          </cell>
          <cell r="H65">
            <v>107.4875</v>
          </cell>
          <cell r="I65">
            <v>81917</v>
          </cell>
          <cell r="J65">
            <v>36319.25</v>
          </cell>
          <cell r="K65">
            <v>118236.25</v>
          </cell>
        </row>
        <row r="66">
          <cell r="A66" t="str">
            <v>EXIDEIND</v>
          </cell>
          <cell r="B66">
            <v>2000</v>
          </cell>
          <cell r="C66">
            <v>11.26</v>
          </cell>
          <cell r="D66">
            <v>5</v>
          </cell>
          <cell r="E66">
            <v>16.260000000000002</v>
          </cell>
          <cell r="F66">
            <v>26.97</v>
          </cell>
          <cell r="G66">
            <v>11.967499999999999</v>
          </cell>
          <cell r="H66">
            <v>38.9375</v>
          </cell>
          <cell r="I66">
            <v>53940</v>
          </cell>
          <cell r="J66">
            <v>23935</v>
          </cell>
          <cell r="K66">
            <v>77875</v>
          </cell>
        </row>
        <row r="67">
          <cell r="A67" t="str">
            <v>FEDERALBNK</v>
          </cell>
          <cell r="B67">
            <v>5500</v>
          </cell>
          <cell r="C67">
            <v>11.34</v>
          </cell>
          <cell r="D67">
            <v>5</v>
          </cell>
          <cell r="E67">
            <v>16.34</v>
          </cell>
          <cell r="F67">
            <v>9.0299999999999994</v>
          </cell>
          <cell r="G67">
            <v>3.98</v>
          </cell>
          <cell r="H67">
            <v>13.01</v>
          </cell>
          <cell r="I67">
            <v>49665</v>
          </cell>
          <cell r="J67">
            <v>21890</v>
          </cell>
          <cell r="K67">
            <v>71555</v>
          </cell>
        </row>
        <row r="68">
          <cell r="A68" t="str">
            <v>GAIL</v>
          </cell>
          <cell r="B68">
            <v>2667</v>
          </cell>
          <cell r="C68">
            <v>11.29</v>
          </cell>
          <cell r="D68">
            <v>5</v>
          </cell>
          <cell r="E68">
            <v>16.29</v>
          </cell>
          <cell r="F68">
            <v>38.840000000000003</v>
          </cell>
          <cell r="G68">
            <v>17.190000000000001</v>
          </cell>
          <cell r="H68">
            <v>56.03</v>
          </cell>
          <cell r="I68">
            <v>103586</v>
          </cell>
          <cell r="J68">
            <v>45845.73</v>
          </cell>
          <cell r="K68">
            <v>149431.73000000001</v>
          </cell>
        </row>
        <row r="69">
          <cell r="A69" t="str">
            <v>GLENMARK</v>
          </cell>
          <cell r="B69">
            <v>1000</v>
          </cell>
          <cell r="C69">
            <v>11.27</v>
          </cell>
          <cell r="D69">
            <v>5</v>
          </cell>
          <cell r="E69">
            <v>16.27</v>
          </cell>
          <cell r="F69">
            <v>71.73</v>
          </cell>
          <cell r="G69">
            <v>31.822500000000002</v>
          </cell>
          <cell r="H69">
            <v>103.55249999999999</v>
          </cell>
          <cell r="I69">
            <v>71730</v>
          </cell>
          <cell r="J69">
            <v>31822.5</v>
          </cell>
          <cell r="K69">
            <v>103552.5</v>
          </cell>
        </row>
        <row r="70">
          <cell r="A70" t="str">
            <v>GMRINFRA</v>
          </cell>
          <cell r="B70">
            <v>45000</v>
          </cell>
          <cell r="C70">
            <v>11.26</v>
          </cell>
          <cell r="D70">
            <v>5</v>
          </cell>
          <cell r="E70">
            <v>16.260000000000002</v>
          </cell>
          <cell r="F70">
            <v>1.83</v>
          </cell>
          <cell r="G70">
            <v>0.8125</v>
          </cell>
          <cell r="H70">
            <v>2.6425000000000001</v>
          </cell>
          <cell r="I70">
            <v>82350</v>
          </cell>
          <cell r="J70">
            <v>36562.5</v>
          </cell>
          <cell r="K70">
            <v>118912.5</v>
          </cell>
        </row>
        <row r="71">
          <cell r="A71" t="str">
            <v>GODFRYPHLP</v>
          </cell>
          <cell r="B71">
            <v>700</v>
          </cell>
          <cell r="C71">
            <v>11.25</v>
          </cell>
          <cell r="D71">
            <v>5</v>
          </cell>
          <cell r="E71">
            <v>16.25</v>
          </cell>
          <cell r="F71">
            <v>96.29</v>
          </cell>
          <cell r="G71">
            <v>42.762500000000003</v>
          </cell>
          <cell r="H71">
            <v>139.05250000000001</v>
          </cell>
          <cell r="I71">
            <v>67403</v>
          </cell>
          <cell r="J71">
            <v>29933.75</v>
          </cell>
          <cell r="K71">
            <v>97336.75</v>
          </cell>
        </row>
        <row r="72">
          <cell r="A72" t="str">
            <v>GODREJCP</v>
          </cell>
          <cell r="B72">
            <v>600</v>
          </cell>
          <cell r="C72">
            <v>11.26</v>
          </cell>
          <cell r="D72">
            <v>5</v>
          </cell>
          <cell r="E72">
            <v>16.260000000000002</v>
          </cell>
          <cell r="F72">
            <v>79.95</v>
          </cell>
          <cell r="G72">
            <v>35.494999999999997</v>
          </cell>
          <cell r="H72">
            <v>115.44499999999999</v>
          </cell>
          <cell r="I72">
            <v>47970</v>
          </cell>
          <cell r="J72">
            <v>21297</v>
          </cell>
          <cell r="K72">
            <v>69267</v>
          </cell>
        </row>
        <row r="73">
          <cell r="A73" t="str">
            <v>GODREJIND</v>
          </cell>
          <cell r="B73">
            <v>1500</v>
          </cell>
          <cell r="C73">
            <v>11.29</v>
          </cell>
          <cell r="D73">
            <v>5</v>
          </cell>
          <cell r="E73">
            <v>16.29</v>
          </cell>
          <cell r="F73">
            <v>59.2</v>
          </cell>
          <cell r="G73">
            <v>26.202500000000001</v>
          </cell>
          <cell r="H73">
            <v>85.402500000000003</v>
          </cell>
          <cell r="I73">
            <v>88800</v>
          </cell>
          <cell r="J73">
            <v>39303.75</v>
          </cell>
          <cell r="K73">
            <v>128103.75</v>
          </cell>
        </row>
        <row r="74">
          <cell r="A74" t="str">
            <v>GRANULES</v>
          </cell>
          <cell r="B74">
            <v>5000</v>
          </cell>
          <cell r="C74">
            <v>11.27</v>
          </cell>
          <cell r="D74">
            <v>5.08</v>
          </cell>
          <cell r="E74">
            <v>16.350000000000001</v>
          </cell>
          <cell r="F74">
            <v>11.08</v>
          </cell>
          <cell r="G74">
            <v>4.9935999999999998</v>
          </cell>
          <cell r="H74">
            <v>16.073599999999999</v>
          </cell>
          <cell r="I74">
            <v>55400</v>
          </cell>
          <cell r="J74">
            <v>24968.2</v>
          </cell>
          <cell r="K74">
            <v>80368.2</v>
          </cell>
        </row>
        <row r="75">
          <cell r="A75" t="str">
            <v>GRASIM</v>
          </cell>
          <cell r="B75">
            <v>750</v>
          </cell>
          <cell r="C75">
            <v>11.25</v>
          </cell>
          <cell r="D75">
            <v>5</v>
          </cell>
          <cell r="E75">
            <v>16.25</v>
          </cell>
          <cell r="F75">
            <v>94.6</v>
          </cell>
          <cell r="G75">
            <v>42.0075</v>
          </cell>
          <cell r="H75">
            <v>136.60749999999999</v>
          </cell>
          <cell r="I75">
            <v>70950</v>
          </cell>
          <cell r="J75">
            <v>31505.625</v>
          </cell>
          <cell r="K75">
            <v>102455.625</v>
          </cell>
        </row>
        <row r="76">
          <cell r="A76" t="str">
            <v>GSFC</v>
          </cell>
          <cell r="B76">
            <v>4500</v>
          </cell>
          <cell r="C76">
            <v>11.27</v>
          </cell>
          <cell r="D76">
            <v>5</v>
          </cell>
          <cell r="E76">
            <v>16.27</v>
          </cell>
          <cell r="F76">
            <v>11.77</v>
          </cell>
          <cell r="G76">
            <v>5.2175000000000002</v>
          </cell>
          <cell r="H76">
            <v>16.987500000000001</v>
          </cell>
          <cell r="I76">
            <v>52965</v>
          </cell>
          <cell r="J76">
            <v>23478.75</v>
          </cell>
          <cell r="K76">
            <v>76443.75</v>
          </cell>
        </row>
        <row r="77">
          <cell r="A77" t="str">
            <v>HAVELLS</v>
          </cell>
          <cell r="B77">
            <v>1000</v>
          </cell>
          <cell r="C77">
            <v>11.28</v>
          </cell>
          <cell r="D77">
            <v>5</v>
          </cell>
          <cell r="E77">
            <v>16.28</v>
          </cell>
          <cell r="F77">
            <v>76.510000000000005</v>
          </cell>
          <cell r="G77">
            <v>33.884999999999998</v>
          </cell>
          <cell r="H77">
            <v>110.395</v>
          </cell>
          <cell r="I77">
            <v>76510</v>
          </cell>
          <cell r="J77">
            <v>33885</v>
          </cell>
          <cell r="K77">
            <v>110395</v>
          </cell>
        </row>
        <row r="78">
          <cell r="A78" t="str">
            <v>HCC</v>
          </cell>
          <cell r="B78">
            <v>20063</v>
          </cell>
          <cell r="C78">
            <v>14.42</v>
          </cell>
          <cell r="D78">
            <v>7.88</v>
          </cell>
          <cell r="E78">
            <v>22.3</v>
          </cell>
          <cell r="F78">
            <v>1.81</v>
          </cell>
          <cell r="G78">
            <v>0.9889</v>
          </cell>
          <cell r="H78">
            <v>2.7989000000000002</v>
          </cell>
          <cell r="I78">
            <v>36314</v>
          </cell>
          <cell r="J78">
            <v>19841.103200000001</v>
          </cell>
          <cell r="K78">
            <v>56155.103199999998</v>
          </cell>
        </row>
        <row r="79">
          <cell r="A79" t="str">
            <v>HCLTECH</v>
          </cell>
          <cell r="B79">
            <v>700</v>
          </cell>
          <cell r="C79">
            <v>11.25</v>
          </cell>
          <cell r="D79">
            <v>5</v>
          </cell>
          <cell r="E79">
            <v>16.25</v>
          </cell>
          <cell r="F79">
            <v>113.9</v>
          </cell>
          <cell r="G79">
            <v>50.59</v>
          </cell>
          <cell r="H79">
            <v>164.49</v>
          </cell>
          <cell r="I79">
            <v>79730</v>
          </cell>
          <cell r="J79">
            <v>35413</v>
          </cell>
          <cell r="K79">
            <v>115143</v>
          </cell>
        </row>
        <row r="80">
          <cell r="A80" t="str">
            <v>HDFC</v>
          </cell>
          <cell r="B80">
            <v>500</v>
          </cell>
          <cell r="C80">
            <v>11.26</v>
          </cell>
          <cell r="D80">
            <v>5</v>
          </cell>
          <cell r="E80">
            <v>16.260000000000002</v>
          </cell>
          <cell r="F80">
            <v>211.88</v>
          </cell>
          <cell r="G80">
            <v>94.03</v>
          </cell>
          <cell r="H80">
            <v>305.91000000000003</v>
          </cell>
          <cell r="I80">
            <v>105940</v>
          </cell>
          <cell r="J80">
            <v>47015</v>
          </cell>
          <cell r="K80">
            <v>152955</v>
          </cell>
        </row>
        <row r="81">
          <cell r="A81" t="str">
            <v>HDFCBANK</v>
          </cell>
          <cell r="B81">
            <v>250</v>
          </cell>
          <cell r="C81">
            <v>11.27</v>
          </cell>
          <cell r="D81">
            <v>5</v>
          </cell>
          <cell r="E81">
            <v>16.27</v>
          </cell>
          <cell r="F81">
            <v>227.19</v>
          </cell>
          <cell r="G81">
            <v>100.78</v>
          </cell>
          <cell r="H81">
            <v>327.97</v>
          </cell>
          <cell r="I81">
            <v>56798</v>
          </cell>
          <cell r="J81">
            <v>25195</v>
          </cell>
          <cell r="K81">
            <v>81993</v>
          </cell>
        </row>
        <row r="82">
          <cell r="A82" t="str">
            <v>HEROMOTOCO</v>
          </cell>
          <cell r="B82">
            <v>200</v>
          </cell>
          <cell r="C82">
            <v>11.26</v>
          </cell>
          <cell r="D82">
            <v>5</v>
          </cell>
          <cell r="E82">
            <v>16.260000000000002</v>
          </cell>
          <cell r="F82">
            <v>334.18</v>
          </cell>
          <cell r="G82">
            <v>148.26750000000001</v>
          </cell>
          <cell r="H82">
            <v>482.44749999999999</v>
          </cell>
          <cell r="I82">
            <v>66836</v>
          </cell>
          <cell r="J82">
            <v>29653.5</v>
          </cell>
          <cell r="K82">
            <v>96489.5</v>
          </cell>
        </row>
        <row r="83">
          <cell r="A83" t="str">
            <v>HEXAWARE</v>
          </cell>
          <cell r="B83">
            <v>1500</v>
          </cell>
          <cell r="C83">
            <v>11.3</v>
          </cell>
          <cell r="D83">
            <v>5</v>
          </cell>
          <cell r="E83">
            <v>16.3</v>
          </cell>
          <cell r="F83">
            <v>34.86</v>
          </cell>
          <cell r="G83">
            <v>15.4125</v>
          </cell>
          <cell r="H83">
            <v>50.272500000000001</v>
          </cell>
          <cell r="I83">
            <v>52290</v>
          </cell>
          <cell r="J83">
            <v>23118.75</v>
          </cell>
          <cell r="K83">
            <v>75408.75</v>
          </cell>
        </row>
        <row r="84">
          <cell r="A84" t="str">
            <v>HINDALCO</v>
          </cell>
          <cell r="B84">
            <v>3500</v>
          </cell>
          <cell r="C84">
            <v>11.27</v>
          </cell>
          <cell r="D84">
            <v>5</v>
          </cell>
          <cell r="E84">
            <v>16.27</v>
          </cell>
          <cell r="F84">
            <v>25.06</v>
          </cell>
          <cell r="G84">
            <v>11.11</v>
          </cell>
          <cell r="H84">
            <v>36.17</v>
          </cell>
          <cell r="I84">
            <v>87710</v>
          </cell>
          <cell r="J84">
            <v>38885</v>
          </cell>
          <cell r="K84">
            <v>126595</v>
          </cell>
        </row>
        <row r="85">
          <cell r="A85" t="str">
            <v>HINDPETRO</v>
          </cell>
          <cell r="B85">
            <v>1575</v>
          </cell>
          <cell r="C85">
            <v>17.059999999999999</v>
          </cell>
          <cell r="D85">
            <v>8.09</v>
          </cell>
          <cell r="E85">
            <v>25.15</v>
          </cell>
          <cell r="F85">
            <v>41.62</v>
          </cell>
          <cell r="G85">
            <v>19.7315</v>
          </cell>
          <cell r="H85">
            <v>61.351500000000001</v>
          </cell>
          <cell r="I85">
            <v>65552</v>
          </cell>
          <cell r="J85">
            <v>31077.1283</v>
          </cell>
          <cell r="K85">
            <v>96629.128299999997</v>
          </cell>
        </row>
        <row r="86">
          <cell r="A86" t="str">
            <v>HINDUNILVR</v>
          </cell>
          <cell r="B86">
            <v>600</v>
          </cell>
          <cell r="C86">
            <v>11.26</v>
          </cell>
          <cell r="D86">
            <v>5</v>
          </cell>
          <cell r="E86">
            <v>16.260000000000002</v>
          </cell>
          <cell r="F86">
            <v>191.24</v>
          </cell>
          <cell r="G86">
            <v>84.89</v>
          </cell>
          <cell r="H86">
            <v>276.13</v>
          </cell>
          <cell r="I86">
            <v>114744</v>
          </cell>
          <cell r="J86">
            <v>50934</v>
          </cell>
          <cell r="K86">
            <v>165678</v>
          </cell>
        </row>
        <row r="87">
          <cell r="A87" t="str">
            <v>HINDZINC</v>
          </cell>
          <cell r="B87">
            <v>3200</v>
          </cell>
          <cell r="C87">
            <v>11.27</v>
          </cell>
          <cell r="D87">
            <v>5</v>
          </cell>
          <cell r="E87">
            <v>16.27</v>
          </cell>
          <cell r="F87">
            <v>29.75</v>
          </cell>
          <cell r="G87">
            <v>13.192500000000001</v>
          </cell>
          <cell r="H87">
            <v>42.942500000000003</v>
          </cell>
          <cell r="I87">
            <v>95200</v>
          </cell>
          <cell r="J87">
            <v>42216</v>
          </cell>
          <cell r="K87">
            <v>137416</v>
          </cell>
        </row>
        <row r="88">
          <cell r="A88" t="str">
            <v>IBULHSGFIN</v>
          </cell>
          <cell r="B88">
            <v>500</v>
          </cell>
          <cell r="C88">
            <v>18.260000000000002</v>
          </cell>
          <cell r="D88">
            <v>17.72</v>
          </cell>
          <cell r="E88">
            <v>35.979999999999997</v>
          </cell>
          <cell r="F88">
            <v>129.46</v>
          </cell>
          <cell r="G88">
            <v>125.5639</v>
          </cell>
          <cell r="H88">
            <v>255.0239</v>
          </cell>
          <cell r="I88">
            <v>64730</v>
          </cell>
          <cell r="J88">
            <v>62781.96</v>
          </cell>
          <cell r="K88">
            <v>127511.96</v>
          </cell>
        </row>
        <row r="89">
          <cell r="A89" t="str">
            <v>ICICIBANK</v>
          </cell>
          <cell r="B89">
            <v>2750</v>
          </cell>
          <cell r="C89">
            <v>11.25</v>
          </cell>
          <cell r="D89">
            <v>5</v>
          </cell>
          <cell r="E89">
            <v>16.25</v>
          </cell>
          <cell r="F89">
            <v>40.4</v>
          </cell>
          <cell r="G89">
            <v>17.947500000000002</v>
          </cell>
          <cell r="H89">
            <v>58.347499999999997</v>
          </cell>
          <cell r="I89">
            <v>111100</v>
          </cell>
          <cell r="J89">
            <v>49355.625</v>
          </cell>
          <cell r="K89">
            <v>160455.625</v>
          </cell>
        </row>
        <row r="90">
          <cell r="A90" t="str">
            <v>ICICIPRULI</v>
          </cell>
          <cell r="B90">
            <v>1300</v>
          </cell>
          <cell r="C90">
            <v>11.27</v>
          </cell>
          <cell r="D90">
            <v>5</v>
          </cell>
          <cell r="E90">
            <v>16.27</v>
          </cell>
          <cell r="F90">
            <v>36.24</v>
          </cell>
          <cell r="G90">
            <v>16.067499999999999</v>
          </cell>
          <cell r="H90">
            <v>52.307499999999997</v>
          </cell>
          <cell r="I90">
            <v>47112</v>
          </cell>
          <cell r="J90">
            <v>20887.75</v>
          </cell>
          <cell r="K90">
            <v>67999.75</v>
          </cell>
        </row>
        <row r="91">
          <cell r="A91" t="str">
            <v>IDBI</v>
          </cell>
          <cell r="B91">
            <v>10000</v>
          </cell>
          <cell r="C91">
            <v>11.27</v>
          </cell>
          <cell r="D91">
            <v>5</v>
          </cell>
          <cell r="E91">
            <v>16.27</v>
          </cell>
          <cell r="F91">
            <v>6.8</v>
          </cell>
          <cell r="G91">
            <v>3.0150000000000001</v>
          </cell>
          <cell r="H91">
            <v>9.8149999999999995</v>
          </cell>
          <cell r="I91">
            <v>68000</v>
          </cell>
          <cell r="J91">
            <v>30150</v>
          </cell>
          <cell r="K91">
            <v>98150</v>
          </cell>
        </row>
        <row r="92">
          <cell r="A92" t="str">
            <v>IDEA</v>
          </cell>
          <cell r="B92">
            <v>7000</v>
          </cell>
          <cell r="C92">
            <v>17.71</v>
          </cell>
          <cell r="D92">
            <v>5</v>
          </cell>
          <cell r="E92">
            <v>22.71</v>
          </cell>
          <cell r="F92">
            <v>7.52</v>
          </cell>
          <cell r="G92">
            <v>2.1225000000000001</v>
          </cell>
          <cell r="H92">
            <v>9.6425000000000001</v>
          </cell>
          <cell r="I92">
            <v>52640</v>
          </cell>
          <cell r="J92">
            <v>14857.5</v>
          </cell>
          <cell r="K92">
            <v>67497.5</v>
          </cell>
        </row>
        <row r="93">
          <cell r="A93" t="str">
            <v>IDFC</v>
          </cell>
          <cell r="B93">
            <v>13200</v>
          </cell>
          <cell r="C93">
            <v>11.26</v>
          </cell>
          <cell r="D93">
            <v>5</v>
          </cell>
          <cell r="E93">
            <v>16.260000000000002</v>
          </cell>
          <cell r="F93">
            <v>4.3099999999999996</v>
          </cell>
          <cell r="G93">
            <v>1.9125000000000001</v>
          </cell>
          <cell r="H93">
            <v>6.2225000000000001</v>
          </cell>
          <cell r="I93">
            <v>56892</v>
          </cell>
          <cell r="J93">
            <v>25245</v>
          </cell>
          <cell r="K93">
            <v>82137</v>
          </cell>
        </row>
        <row r="94">
          <cell r="A94" t="str">
            <v>IDFCBANK</v>
          </cell>
          <cell r="B94">
            <v>11000</v>
          </cell>
          <cell r="C94">
            <v>11.29</v>
          </cell>
          <cell r="D94">
            <v>5</v>
          </cell>
          <cell r="E94">
            <v>16.29</v>
          </cell>
          <cell r="F94">
            <v>4.01</v>
          </cell>
          <cell r="G94">
            <v>1.7749999999999999</v>
          </cell>
          <cell r="H94">
            <v>5.7850000000000001</v>
          </cell>
          <cell r="I94">
            <v>44110</v>
          </cell>
          <cell r="J94">
            <v>19525</v>
          </cell>
          <cell r="K94">
            <v>63635</v>
          </cell>
        </row>
        <row r="95">
          <cell r="A95" t="str">
            <v>IFCI</v>
          </cell>
          <cell r="B95">
            <v>25000</v>
          </cell>
          <cell r="C95">
            <v>11.21</v>
          </cell>
          <cell r="D95">
            <v>5</v>
          </cell>
          <cell r="E95">
            <v>16.21</v>
          </cell>
          <cell r="F95">
            <v>1.57</v>
          </cell>
          <cell r="G95">
            <v>0.7</v>
          </cell>
          <cell r="H95">
            <v>2.27</v>
          </cell>
          <cell r="I95">
            <v>39250</v>
          </cell>
          <cell r="J95">
            <v>17500</v>
          </cell>
          <cell r="K95">
            <v>56750</v>
          </cell>
        </row>
        <row r="96">
          <cell r="A96" t="str">
            <v>IGL</v>
          </cell>
          <cell r="B96">
            <v>2750</v>
          </cell>
          <cell r="C96">
            <v>11.34</v>
          </cell>
          <cell r="D96">
            <v>5</v>
          </cell>
          <cell r="E96">
            <v>16.34</v>
          </cell>
          <cell r="F96">
            <v>30.06</v>
          </cell>
          <cell r="G96">
            <v>13.2525</v>
          </cell>
          <cell r="H96">
            <v>43.3125</v>
          </cell>
          <cell r="I96">
            <v>82665</v>
          </cell>
          <cell r="J96">
            <v>36444.375</v>
          </cell>
          <cell r="K96">
            <v>119109.375</v>
          </cell>
        </row>
        <row r="97">
          <cell r="A97" t="str">
            <v>INDIACEM</v>
          </cell>
          <cell r="B97">
            <v>3500</v>
          </cell>
          <cell r="C97">
            <v>11.29</v>
          </cell>
          <cell r="D97">
            <v>5</v>
          </cell>
          <cell r="E97">
            <v>16.29</v>
          </cell>
          <cell r="F97">
            <v>10.39</v>
          </cell>
          <cell r="G97">
            <v>4.5975000000000001</v>
          </cell>
          <cell r="H97">
            <v>14.987500000000001</v>
          </cell>
          <cell r="I97">
            <v>36365</v>
          </cell>
          <cell r="J97">
            <v>16091.25</v>
          </cell>
          <cell r="K97">
            <v>52456.25</v>
          </cell>
        </row>
        <row r="98">
          <cell r="A98" t="str">
            <v>INDIANB</v>
          </cell>
          <cell r="B98">
            <v>2000</v>
          </cell>
          <cell r="C98">
            <v>13.93</v>
          </cell>
          <cell r="D98">
            <v>5</v>
          </cell>
          <cell r="E98">
            <v>18.93</v>
          </cell>
          <cell r="F98">
            <v>31.8</v>
          </cell>
          <cell r="G98">
            <v>11.4125</v>
          </cell>
          <cell r="H98">
            <v>43.212499999999999</v>
          </cell>
          <cell r="I98">
            <v>63600</v>
          </cell>
          <cell r="J98">
            <v>22825</v>
          </cell>
          <cell r="K98">
            <v>86425</v>
          </cell>
        </row>
        <row r="99">
          <cell r="A99" t="str">
            <v>INDIGO</v>
          </cell>
          <cell r="B99">
            <v>600</v>
          </cell>
          <cell r="C99">
            <v>11.28</v>
          </cell>
          <cell r="D99">
            <v>5</v>
          </cell>
          <cell r="E99">
            <v>16.28</v>
          </cell>
          <cell r="F99">
            <v>117.01</v>
          </cell>
          <cell r="G99">
            <v>51.852499999999999</v>
          </cell>
          <cell r="H99">
            <v>168.86250000000001</v>
          </cell>
          <cell r="I99">
            <v>70206</v>
          </cell>
          <cell r="J99">
            <v>31111.5</v>
          </cell>
          <cell r="K99">
            <v>101317.5</v>
          </cell>
        </row>
        <row r="100">
          <cell r="A100" t="str">
            <v>INDUSINDBK</v>
          </cell>
          <cell r="B100">
            <v>300</v>
          </cell>
          <cell r="C100">
            <v>11.29</v>
          </cell>
          <cell r="D100">
            <v>5</v>
          </cell>
          <cell r="E100">
            <v>16.29</v>
          </cell>
          <cell r="F100">
            <v>175.87</v>
          </cell>
          <cell r="G100">
            <v>77.882499999999993</v>
          </cell>
          <cell r="H100">
            <v>253.7525</v>
          </cell>
          <cell r="I100">
            <v>52761</v>
          </cell>
          <cell r="J100">
            <v>23364.75</v>
          </cell>
          <cell r="K100">
            <v>76125.75</v>
          </cell>
        </row>
        <row r="101">
          <cell r="A101" t="str">
            <v>INFIBEAM</v>
          </cell>
          <cell r="B101">
            <v>4000</v>
          </cell>
          <cell r="C101">
            <v>48.56</v>
          </cell>
          <cell r="D101">
            <v>37.39</v>
          </cell>
          <cell r="E101">
            <v>85.95</v>
          </cell>
          <cell r="F101">
            <v>22.85</v>
          </cell>
          <cell r="G101">
            <v>17.591999999999999</v>
          </cell>
          <cell r="H101">
            <v>40.442</v>
          </cell>
          <cell r="I101">
            <v>91400</v>
          </cell>
          <cell r="J101">
            <v>70367.98</v>
          </cell>
          <cell r="K101">
            <v>161767.98000000001</v>
          </cell>
        </row>
        <row r="102">
          <cell r="A102" t="str">
            <v>INFRATEL</v>
          </cell>
          <cell r="B102">
            <v>1700</v>
          </cell>
          <cell r="C102">
            <v>11.25</v>
          </cell>
          <cell r="D102">
            <v>5</v>
          </cell>
          <cell r="E102">
            <v>16.25</v>
          </cell>
          <cell r="F102">
            <v>29.39</v>
          </cell>
          <cell r="G102">
            <v>13.055</v>
          </cell>
          <cell r="H102">
            <v>42.445</v>
          </cell>
          <cell r="I102">
            <v>49963</v>
          </cell>
          <cell r="J102">
            <v>22193.5</v>
          </cell>
          <cell r="K102">
            <v>72156.5</v>
          </cell>
        </row>
        <row r="103">
          <cell r="A103" t="str">
            <v>INFY</v>
          </cell>
          <cell r="B103">
            <v>1200</v>
          </cell>
          <cell r="C103">
            <v>11.27</v>
          </cell>
          <cell r="D103">
            <v>5</v>
          </cell>
          <cell r="E103">
            <v>16.27</v>
          </cell>
          <cell r="F103">
            <v>72.41</v>
          </cell>
          <cell r="G103">
            <v>32.1175</v>
          </cell>
          <cell r="H103">
            <v>104.5275</v>
          </cell>
          <cell r="I103">
            <v>86892</v>
          </cell>
          <cell r="J103">
            <v>38541</v>
          </cell>
          <cell r="K103">
            <v>125433</v>
          </cell>
        </row>
        <row r="104">
          <cell r="A104" t="str">
            <v>IOC</v>
          </cell>
          <cell r="B104">
            <v>3000</v>
          </cell>
          <cell r="C104">
            <v>12.47</v>
          </cell>
          <cell r="D104">
            <v>8</v>
          </cell>
          <cell r="E104">
            <v>20.47</v>
          </cell>
          <cell r="F104">
            <v>17.36</v>
          </cell>
          <cell r="G104">
            <v>11.135999999999999</v>
          </cell>
          <cell r="H104">
            <v>28.495999999999999</v>
          </cell>
          <cell r="I104">
            <v>52080</v>
          </cell>
          <cell r="J104">
            <v>33408</v>
          </cell>
          <cell r="K104">
            <v>85488</v>
          </cell>
        </row>
        <row r="105">
          <cell r="A105" t="str">
            <v>IRB</v>
          </cell>
          <cell r="B105">
            <v>2500</v>
          </cell>
          <cell r="C105">
            <v>12.39</v>
          </cell>
          <cell r="D105">
            <v>5</v>
          </cell>
          <cell r="E105">
            <v>17.39</v>
          </cell>
          <cell r="F105">
            <v>16.96</v>
          </cell>
          <cell r="G105">
            <v>6.84</v>
          </cell>
          <cell r="H105">
            <v>23.8</v>
          </cell>
          <cell r="I105">
            <v>42400</v>
          </cell>
          <cell r="J105">
            <v>17100</v>
          </cell>
          <cell r="K105">
            <v>59500</v>
          </cell>
        </row>
        <row r="106">
          <cell r="A106" t="str">
            <v>ITC</v>
          </cell>
          <cell r="B106">
            <v>2400</v>
          </cell>
          <cell r="C106">
            <v>11.28</v>
          </cell>
          <cell r="D106">
            <v>5</v>
          </cell>
          <cell r="E106">
            <v>16.28</v>
          </cell>
          <cell r="F106">
            <v>32.04</v>
          </cell>
          <cell r="G106">
            <v>14.192500000000001</v>
          </cell>
          <cell r="H106">
            <v>46.232500000000002</v>
          </cell>
          <cell r="I106">
            <v>76896</v>
          </cell>
          <cell r="J106">
            <v>34062</v>
          </cell>
          <cell r="K106">
            <v>110958</v>
          </cell>
        </row>
        <row r="107">
          <cell r="A107" t="str">
            <v>JETAIRWAYS</v>
          </cell>
          <cell r="B107">
            <v>1200</v>
          </cell>
          <cell r="C107">
            <v>24.91</v>
          </cell>
          <cell r="D107">
            <v>6.03</v>
          </cell>
          <cell r="E107">
            <v>30.94</v>
          </cell>
          <cell r="F107">
            <v>76.09</v>
          </cell>
          <cell r="G107">
            <v>18.418600000000001</v>
          </cell>
          <cell r="H107">
            <v>94.508600000000001</v>
          </cell>
          <cell r="I107">
            <v>91308</v>
          </cell>
          <cell r="J107">
            <v>22102.362000000001</v>
          </cell>
          <cell r="K107">
            <v>113410.36199999999</v>
          </cell>
        </row>
        <row r="108">
          <cell r="A108" t="str">
            <v>JINDALSTEL</v>
          </cell>
          <cell r="B108">
            <v>2250</v>
          </cell>
          <cell r="C108">
            <v>12.38</v>
          </cell>
          <cell r="D108">
            <v>8.0399999999999991</v>
          </cell>
          <cell r="E108">
            <v>20.420000000000002</v>
          </cell>
          <cell r="F108">
            <v>21.17</v>
          </cell>
          <cell r="G108">
            <v>13.7484</v>
          </cell>
          <cell r="H108">
            <v>34.918399999999998</v>
          </cell>
          <cell r="I108">
            <v>47633</v>
          </cell>
          <cell r="J108">
            <v>30933.9</v>
          </cell>
          <cell r="K108">
            <v>78566.899999999994</v>
          </cell>
        </row>
        <row r="109">
          <cell r="A109" t="str">
            <v>JISLJALEQS</v>
          </cell>
          <cell r="B109">
            <v>9000</v>
          </cell>
          <cell r="C109">
            <v>11.3</v>
          </cell>
          <cell r="D109">
            <v>8</v>
          </cell>
          <cell r="E109">
            <v>19.3</v>
          </cell>
          <cell r="F109">
            <v>7.9</v>
          </cell>
          <cell r="G109">
            <v>5.5919999999999996</v>
          </cell>
          <cell r="H109">
            <v>13.492000000000001</v>
          </cell>
          <cell r="I109">
            <v>71100</v>
          </cell>
          <cell r="J109">
            <v>50328</v>
          </cell>
          <cell r="K109">
            <v>121428</v>
          </cell>
        </row>
        <row r="110">
          <cell r="A110" t="str">
            <v>JPASSOCIAT</v>
          </cell>
          <cell r="B110">
            <v>34000</v>
          </cell>
          <cell r="C110">
            <v>14.92</v>
          </cell>
          <cell r="D110">
            <v>6.8</v>
          </cell>
          <cell r="E110">
            <v>21.72</v>
          </cell>
          <cell r="F110">
            <v>1</v>
          </cell>
          <cell r="G110">
            <v>0.4556</v>
          </cell>
          <cell r="H110">
            <v>1.4556</v>
          </cell>
          <cell r="I110">
            <v>34000</v>
          </cell>
          <cell r="J110">
            <v>15490.4</v>
          </cell>
          <cell r="K110">
            <v>49490.400000000001</v>
          </cell>
        </row>
        <row r="111">
          <cell r="A111" t="str">
            <v>JSWSTEEL</v>
          </cell>
          <cell r="B111">
            <v>1500</v>
          </cell>
          <cell r="C111">
            <v>11.26</v>
          </cell>
          <cell r="D111">
            <v>5</v>
          </cell>
          <cell r="E111">
            <v>16.260000000000002</v>
          </cell>
          <cell r="F111">
            <v>37.06</v>
          </cell>
          <cell r="G111">
            <v>16.45</v>
          </cell>
          <cell r="H111">
            <v>53.51</v>
          </cell>
          <cell r="I111">
            <v>55590</v>
          </cell>
          <cell r="J111">
            <v>24675</v>
          </cell>
          <cell r="K111">
            <v>80265</v>
          </cell>
        </row>
        <row r="112">
          <cell r="A112" t="str">
            <v>JUBLFOOD</v>
          </cell>
          <cell r="B112">
            <v>500</v>
          </cell>
          <cell r="C112">
            <v>11.33</v>
          </cell>
          <cell r="D112">
            <v>5</v>
          </cell>
          <cell r="E112">
            <v>16.329999999999998</v>
          </cell>
          <cell r="F112">
            <v>137.08000000000001</v>
          </cell>
          <cell r="G112">
            <v>60.457500000000003</v>
          </cell>
          <cell r="H112">
            <v>197.53749999999999</v>
          </cell>
          <cell r="I112">
            <v>68540</v>
          </cell>
          <cell r="J112">
            <v>30228.75</v>
          </cell>
          <cell r="K112">
            <v>98768.75</v>
          </cell>
        </row>
        <row r="113">
          <cell r="A113" t="str">
            <v>JUSTDIAL</v>
          </cell>
          <cell r="B113">
            <v>1400</v>
          </cell>
          <cell r="C113">
            <v>13.97</v>
          </cell>
          <cell r="D113">
            <v>7.07</v>
          </cell>
          <cell r="E113">
            <v>21.04</v>
          </cell>
          <cell r="F113">
            <v>71.42</v>
          </cell>
          <cell r="G113">
            <v>36.138300000000001</v>
          </cell>
          <cell r="H113">
            <v>107.5583</v>
          </cell>
          <cell r="I113">
            <v>99988</v>
          </cell>
          <cell r="J113">
            <v>50593.627</v>
          </cell>
          <cell r="K113">
            <v>150581.62700000001</v>
          </cell>
        </row>
        <row r="114">
          <cell r="A114" t="str">
            <v>KAJARIACER</v>
          </cell>
          <cell r="B114">
            <v>1000</v>
          </cell>
          <cell r="C114">
            <v>11.28</v>
          </cell>
          <cell r="D114">
            <v>8</v>
          </cell>
          <cell r="E114">
            <v>19.28</v>
          </cell>
          <cell r="F114">
            <v>50.48</v>
          </cell>
          <cell r="G114">
            <v>35.795999999999999</v>
          </cell>
          <cell r="H114">
            <v>86.275999999999996</v>
          </cell>
          <cell r="I114">
            <v>50480</v>
          </cell>
          <cell r="J114">
            <v>35796</v>
          </cell>
          <cell r="K114">
            <v>86276</v>
          </cell>
        </row>
        <row r="115">
          <cell r="A115" t="str">
            <v>KOTAKBANK</v>
          </cell>
          <cell r="B115">
            <v>800</v>
          </cell>
          <cell r="C115">
            <v>11.26</v>
          </cell>
          <cell r="D115">
            <v>5</v>
          </cell>
          <cell r="E115">
            <v>16.260000000000002</v>
          </cell>
          <cell r="F115">
            <v>132.08000000000001</v>
          </cell>
          <cell r="G115">
            <v>58.612499999999997</v>
          </cell>
          <cell r="H115">
            <v>190.6925</v>
          </cell>
          <cell r="I115">
            <v>105664</v>
          </cell>
          <cell r="J115">
            <v>46890</v>
          </cell>
          <cell r="K115">
            <v>152554</v>
          </cell>
        </row>
        <row r="116">
          <cell r="A116" t="str">
            <v>KPIT</v>
          </cell>
          <cell r="B116">
            <v>2250</v>
          </cell>
          <cell r="C116">
            <v>11.31</v>
          </cell>
          <cell r="D116">
            <v>6</v>
          </cell>
          <cell r="E116">
            <v>17.309999999999999</v>
          </cell>
          <cell r="F116">
            <v>23.24</v>
          </cell>
          <cell r="G116">
            <v>12.321</v>
          </cell>
          <cell r="H116">
            <v>35.561</v>
          </cell>
          <cell r="I116">
            <v>52290</v>
          </cell>
          <cell r="J116">
            <v>27722.25</v>
          </cell>
          <cell r="K116">
            <v>80012.25</v>
          </cell>
        </row>
        <row r="117">
          <cell r="A117" t="str">
            <v>KSCL</v>
          </cell>
          <cell r="B117">
            <v>1500</v>
          </cell>
          <cell r="C117">
            <v>11.5</v>
          </cell>
          <cell r="D117">
            <v>6</v>
          </cell>
          <cell r="E117">
            <v>17.5</v>
          </cell>
          <cell r="F117">
            <v>58.2</v>
          </cell>
          <cell r="G117">
            <v>30.36</v>
          </cell>
          <cell r="H117">
            <v>88.56</v>
          </cell>
          <cell r="I117">
            <v>87300</v>
          </cell>
          <cell r="J117">
            <v>45540</v>
          </cell>
          <cell r="K117">
            <v>132840</v>
          </cell>
        </row>
        <row r="118">
          <cell r="A118" t="str">
            <v>KTKBANK</v>
          </cell>
          <cell r="B118">
            <v>4500</v>
          </cell>
          <cell r="C118">
            <v>11.27</v>
          </cell>
          <cell r="D118">
            <v>5</v>
          </cell>
          <cell r="E118">
            <v>16.27</v>
          </cell>
          <cell r="F118">
            <v>11.75</v>
          </cell>
          <cell r="G118">
            <v>5.21</v>
          </cell>
          <cell r="H118">
            <v>16.96</v>
          </cell>
          <cell r="I118">
            <v>52875</v>
          </cell>
          <cell r="J118">
            <v>23445</v>
          </cell>
          <cell r="K118">
            <v>76320</v>
          </cell>
        </row>
        <row r="119">
          <cell r="A119" t="str">
            <v>L&amp;TFH</v>
          </cell>
          <cell r="B119">
            <v>4500</v>
          </cell>
          <cell r="C119">
            <v>11.27</v>
          </cell>
          <cell r="D119">
            <v>7</v>
          </cell>
          <cell r="E119">
            <v>18.27</v>
          </cell>
          <cell r="F119">
            <v>14.86</v>
          </cell>
          <cell r="G119">
            <v>9.2225000000000001</v>
          </cell>
          <cell r="H119">
            <v>24.0825</v>
          </cell>
          <cell r="I119">
            <v>66870</v>
          </cell>
          <cell r="J119">
            <v>41501.25</v>
          </cell>
          <cell r="K119">
            <v>108371.25</v>
          </cell>
        </row>
        <row r="120">
          <cell r="A120" t="str">
            <v>LICHSGFIN</v>
          </cell>
          <cell r="B120">
            <v>1100</v>
          </cell>
          <cell r="C120">
            <v>11.3</v>
          </cell>
          <cell r="D120">
            <v>5</v>
          </cell>
          <cell r="E120">
            <v>16.3</v>
          </cell>
          <cell r="F120">
            <v>51.76</v>
          </cell>
          <cell r="G120">
            <v>22.885000000000002</v>
          </cell>
          <cell r="H120">
            <v>74.644999999999996</v>
          </cell>
          <cell r="I120">
            <v>56936</v>
          </cell>
          <cell r="J120">
            <v>25173.5</v>
          </cell>
          <cell r="K120">
            <v>82109.5</v>
          </cell>
        </row>
        <row r="121">
          <cell r="A121" t="str">
            <v>LT</v>
          </cell>
          <cell r="B121">
            <v>375</v>
          </cell>
          <cell r="C121">
            <v>11.27</v>
          </cell>
          <cell r="D121">
            <v>5</v>
          </cell>
          <cell r="E121">
            <v>16.27</v>
          </cell>
          <cell r="F121">
            <v>159.53</v>
          </cell>
          <cell r="G121">
            <v>70.734999999999999</v>
          </cell>
          <cell r="H121">
            <v>230.26499999999999</v>
          </cell>
          <cell r="I121">
            <v>59824</v>
          </cell>
          <cell r="J121">
            <v>26525.625</v>
          </cell>
          <cell r="K121">
            <v>86349.625</v>
          </cell>
        </row>
        <row r="122">
          <cell r="A122" t="str">
            <v>LUPIN</v>
          </cell>
          <cell r="B122">
            <v>700</v>
          </cell>
          <cell r="C122">
            <v>11.28</v>
          </cell>
          <cell r="D122">
            <v>5</v>
          </cell>
          <cell r="E122">
            <v>16.28</v>
          </cell>
          <cell r="F122">
            <v>95.8</v>
          </cell>
          <cell r="G122">
            <v>42.457500000000003</v>
          </cell>
          <cell r="H122">
            <v>138.25749999999999</v>
          </cell>
          <cell r="I122">
            <v>67060</v>
          </cell>
          <cell r="J122">
            <v>29720.25</v>
          </cell>
          <cell r="K122">
            <v>96780.25</v>
          </cell>
        </row>
        <row r="123">
          <cell r="A123" t="str">
            <v>M&amp;M</v>
          </cell>
          <cell r="B123">
            <v>1000</v>
          </cell>
          <cell r="C123">
            <v>11.29</v>
          </cell>
          <cell r="D123">
            <v>5</v>
          </cell>
          <cell r="E123">
            <v>16.29</v>
          </cell>
          <cell r="F123">
            <v>88.35</v>
          </cell>
          <cell r="G123">
            <v>39.122500000000002</v>
          </cell>
          <cell r="H123">
            <v>127.4725</v>
          </cell>
          <cell r="I123">
            <v>88350</v>
          </cell>
          <cell r="J123">
            <v>39122.5</v>
          </cell>
          <cell r="K123">
            <v>127472.5</v>
          </cell>
        </row>
        <row r="124">
          <cell r="A124" t="str">
            <v>M&amp;MFIN</v>
          </cell>
          <cell r="B124">
            <v>1250</v>
          </cell>
          <cell r="C124">
            <v>11.26</v>
          </cell>
          <cell r="D124">
            <v>7</v>
          </cell>
          <cell r="E124">
            <v>18.260000000000002</v>
          </cell>
          <cell r="F124">
            <v>48.1</v>
          </cell>
          <cell r="G124">
            <v>29.8795</v>
          </cell>
          <cell r="H124">
            <v>77.979500000000002</v>
          </cell>
          <cell r="I124">
            <v>60125</v>
          </cell>
          <cell r="J124">
            <v>37349.375</v>
          </cell>
          <cell r="K124">
            <v>97474.375</v>
          </cell>
        </row>
        <row r="125">
          <cell r="A125" t="str">
            <v>MANAPPURAM</v>
          </cell>
          <cell r="B125">
            <v>6000</v>
          </cell>
          <cell r="C125">
            <v>11.27</v>
          </cell>
          <cell r="D125">
            <v>5</v>
          </cell>
          <cell r="E125">
            <v>16.27</v>
          </cell>
          <cell r="F125">
            <v>9.58</v>
          </cell>
          <cell r="G125">
            <v>4.2474999999999996</v>
          </cell>
          <cell r="H125">
            <v>13.827500000000001</v>
          </cell>
          <cell r="I125">
            <v>57480</v>
          </cell>
          <cell r="J125">
            <v>25485</v>
          </cell>
          <cell r="K125">
            <v>82965</v>
          </cell>
        </row>
        <row r="126">
          <cell r="A126" t="str">
            <v>MARICO</v>
          </cell>
          <cell r="B126">
            <v>2600</v>
          </cell>
          <cell r="C126">
            <v>11.28</v>
          </cell>
          <cell r="D126">
            <v>5</v>
          </cell>
          <cell r="E126">
            <v>16.28</v>
          </cell>
          <cell r="F126">
            <v>39.64</v>
          </cell>
          <cell r="G126">
            <v>17.5625</v>
          </cell>
          <cell r="H126">
            <v>57.202500000000001</v>
          </cell>
          <cell r="I126">
            <v>103064</v>
          </cell>
          <cell r="J126">
            <v>45662.5</v>
          </cell>
          <cell r="K126">
            <v>148726.5</v>
          </cell>
        </row>
        <row r="127">
          <cell r="A127" t="str">
            <v>MARUTI</v>
          </cell>
          <cell r="B127">
            <v>75</v>
          </cell>
          <cell r="C127">
            <v>11.26</v>
          </cell>
          <cell r="D127">
            <v>5</v>
          </cell>
          <cell r="E127">
            <v>16.260000000000002</v>
          </cell>
          <cell r="F127">
            <v>827.96</v>
          </cell>
          <cell r="G127">
            <v>367.52749999999997</v>
          </cell>
          <cell r="H127">
            <v>1195.4875</v>
          </cell>
          <cell r="I127">
            <v>62097</v>
          </cell>
          <cell r="J127">
            <v>27564.5625</v>
          </cell>
          <cell r="K127">
            <v>89661.5625</v>
          </cell>
        </row>
        <row r="128">
          <cell r="A128" t="str">
            <v>MCDOWELL-N</v>
          </cell>
          <cell r="B128">
            <v>1250</v>
          </cell>
          <cell r="C128">
            <v>11.31</v>
          </cell>
          <cell r="D128">
            <v>5</v>
          </cell>
          <cell r="E128">
            <v>16.309999999999999</v>
          </cell>
          <cell r="F128">
            <v>70.930000000000007</v>
          </cell>
          <cell r="G128">
            <v>31.34</v>
          </cell>
          <cell r="H128">
            <v>102.27</v>
          </cell>
          <cell r="I128">
            <v>88663</v>
          </cell>
          <cell r="J128">
            <v>39175</v>
          </cell>
          <cell r="K128">
            <v>127838</v>
          </cell>
        </row>
        <row r="129">
          <cell r="A129" t="str">
            <v>MCX</v>
          </cell>
          <cell r="B129">
            <v>700</v>
          </cell>
          <cell r="C129">
            <v>12.47</v>
          </cell>
          <cell r="D129">
            <v>5</v>
          </cell>
          <cell r="E129">
            <v>17.47</v>
          </cell>
          <cell r="F129">
            <v>88.29</v>
          </cell>
          <cell r="G129">
            <v>35.395000000000003</v>
          </cell>
          <cell r="H129">
            <v>123.685</v>
          </cell>
          <cell r="I129">
            <v>61803</v>
          </cell>
          <cell r="J129">
            <v>24776.5</v>
          </cell>
          <cell r="K129">
            <v>86579.5</v>
          </cell>
        </row>
        <row r="130">
          <cell r="A130" t="str">
            <v>MFSL</v>
          </cell>
          <cell r="B130">
            <v>1200</v>
          </cell>
          <cell r="C130">
            <v>12.45</v>
          </cell>
          <cell r="D130">
            <v>5</v>
          </cell>
          <cell r="E130">
            <v>17.45</v>
          </cell>
          <cell r="F130">
            <v>53.48</v>
          </cell>
          <cell r="G130">
            <v>21.47</v>
          </cell>
          <cell r="H130">
            <v>74.95</v>
          </cell>
          <cell r="I130">
            <v>64176</v>
          </cell>
          <cell r="J130">
            <v>25764</v>
          </cell>
          <cell r="K130">
            <v>89940</v>
          </cell>
        </row>
        <row r="131">
          <cell r="A131" t="str">
            <v>MGL</v>
          </cell>
          <cell r="B131">
            <v>600</v>
          </cell>
          <cell r="C131">
            <v>11.32</v>
          </cell>
          <cell r="D131">
            <v>5</v>
          </cell>
          <cell r="E131">
            <v>16.32</v>
          </cell>
          <cell r="F131">
            <v>97.48</v>
          </cell>
          <cell r="G131">
            <v>43.027500000000003</v>
          </cell>
          <cell r="H131">
            <v>140.50749999999999</v>
          </cell>
          <cell r="I131">
            <v>58488</v>
          </cell>
          <cell r="J131">
            <v>25816.5</v>
          </cell>
          <cell r="K131">
            <v>84304.5</v>
          </cell>
        </row>
        <row r="132">
          <cell r="A132" t="str">
            <v>MINDTREE</v>
          </cell>
          <cell r="B132">
            <v>600</v>
          </cell>
          <cell r="C132">
            <v>11.3</v>
          </cell>
          <cell r="D132">
            <v>5</v>
          </cell>
          <cell r="E132">
            <v>16.3</v>
          </cell>
          <cell r="F132">
            <v>94.44</v>
          </cell>
          <cell r="G132">
            <v>41.7575</v>
          </cell>
          <cell r="H132">
            <v>136.19749999999999</v>
          </cell>
          <cell r="I132">
            <v>56664</v>
          </cell>
          <cell r="J132">
            <v>25054.5</v>
          </cell>
          <cell r="K132">
            <v>81718.5</v>
          </cell>
        </row>
        <row r="133">
          <cell r="A133" t="str">
            <v>MOTHERSUMI</v>
          </cell>
          <cell r="B133">
            <v>2400</v>
          </cell>
          <cell r="C133">
            <v>13.2</v>
          </cell>
          <cell r="D133">
            <v>5</v>
          </cell>
          <cell r="E133">
            <v>18.2</v>
          </cell>
          <cell r="F133">
            <v>20.16</v>
          </cell>
          <cell r="G133">
            <v>7.6349999999999998</v>
          </cell>
          <cell r="H133">
            <v>27.795000000000002</v>
          </cell>
          <cell r="I133">
            <v>48384</v>
          </cell>
          <cell r="J133">
            <v>18324</v>
          </cell>
          <cell r="K133">
            <v>66708</v>
          </cell>
        </row>
        <row r="134">
          <cell r="A134" t="str">
            <v>MRF</v>
          </cell>
          <cell r="B134">
            <v>10</v>
          </cell>
          <cell r="C134">
            <v>11.29</v>
          </cell>
          <cell r="D134">
            <v>5</v>
          </cell>
          <cell r="E134">
            <v>16.29</v>
          </cell>
          <cell r="F134">
            <v>7453.7</v>
          </cell>
          <cell r="G134">
            <v>3299.6125000000002</v>
          </cell>
          <cell r="H134">
            <v>10753.3125</v>
          </cell>
          <cell r="I134">
            <v>74537</v>
          </cell>
          <cell r="J134">
            <v>32996.125</v>
          </cell>
          <cell r="K134">
            <v>107533.125</v>
          </cell>
        </row>
        <row r="135">
          <cell r="A135" t="str">
            <v>MRPL</v>
          </cell>
          <cell r="B135">
            <v>4500</v>
          </cell>
          <cell r="C135">
            <v>11.32</v>
          </cell>
          <cell r="D135">
            <v>8</v>
          </cell>
          <cell r="E135">
            <v>19.32</v>
          </cell>
          <cell r="F135">
            <v>8.69</v>
          </cell>
          <cell r="G135">
            <v>6.14</v>
          </cell>
          <cell r="H135">
            <v>14.83</v>
          </cell>
          <cell r="I135">
            <v>39105</v>
          </cell>
          <cell r="J135">
            <v>27630</v>
          </cell>
          <cell r="K135">
            <v>66735</v>
          </cell>
        </row>
        <row r="136">
          <cell r="A136" t="str">
            <v>MUTHOOTFIN</v>
          </cell>
          <cell r="B136">
            <v>1500</v>
          </cell>
          <cell r="C136">
            <v>11.25</v>
          </cell>
          <cell r="D136">
            <v>5</v>
          </cell>
          <cell r="E136">
            <v>16.25</v>
          </cell>
          <cell r="F136">
            <v>51.15</v>
          </cell>
          <cell r="G136">
            <v>22.715</v>
          </cell>
          <cell r="H136">
            <v>73.864999999999995</v>
          </cell>
          <cell r="I136">
            <v>76725</v>
          </cell>
          <cell r="J136">
            <v>34072.5</v>
          </cell>
          <cell r="K136">
            <v>110797.5</v>
          </cell>
        </row>
        <row r="137">
          <cell r="A137" t="str">
            <v>NATIONALUM</v>
          </cell>
          <cell r="B137">
            <v>8000</v>
          </cell>
          <cell r="C137">
            <v>11.45</v>
          </cell>
          <cell r="D137">
            <v>5</v>
          </cell>
          <cell r="E137">
            <v>16.45</v>
          </cell>
          <cell r="F137">
            <v>7.49</v>
          </cell>
          <cell r="G137">
            <v>3.27</v>
          </cell>
          <cell r="H137">
            <v>10.76</v>
          </cell>
          <cell r="I137">
            <v>59920</v>
          </cell>
          <cell r="J137">
            <v>26160</v>
          </cell>
          <cell r="K137">
            <v>86080</v>
          </cell>
        </row>
        <row r="138">
          <cell r="A138" t="str">
            <v>NBCC</v>
          </cell>
          <cell r="B138">
            <v>6000</v>
          </cell>
          <cell r="C138">
            <v>11.66</v>
          </cell>
          <cell r="D138">
            <v>5</v>
          </cell>
          <cell r="E138">
            <v>16.66</v>
          </cell>
          <cell r="F138">
            <v>6.92</v>
          </cell>
          <cell r="G138">
            <v>2.9649999999999999</v>
          </cell>
          <cell r="H138">
            <v>9.8849999999999998</v>
          </cell>
          <cell r="I138">
            <v>41520</v>
          </cell>
          <cell r="J138">
            <v>17790</v>
          </cell>
          <cell r="K138">
            <v>59310</v>
          </cell>
        </row>
        <row r="139">
          <cell r="A139" t="str">
            <v>NCC</v>
          </cell>
          <cell r="B139">
            <v>8000</v>
          </cell>
          <cell r="C139">
            <v>12.4</v>
          </cell>
          <cell r="D139">
            <v>5.32</v>
          </cell>
          <cell r="E139">
            <v>17.72</v>
          </cell>
          <cell r="F139">
            <v>10.64</v>
          </cell>
          <cell r="G139">
            <v>4.5618999999999996</v>
          </cell>
          <cell r="H139">
            <v>15.2019</v>
          </cell>
          <cell r="I139">
            <v>85120</v>
          </cell>
          <cell r="J139">
            <v>36495.199999999997</v>
          </cell>
          <cell r="K139">
            <v>121615.2</v>
          </cell>
        </row>
        <row r="140">
          <cell r="A140" t="str">
            <v>NESTLEIND</v>
          </cell>
          <cell r="B140">
            <v>50</v>
          </cell>
          <cell r="C140">
            <v>11.25</v>
          </cell>
          <cell r="D140">
            <v>5</v>
          </cell>
          <cell r="E140">
            <v>16.25</v>
          </cell>
          <cell r="F140">
            <v>1157.68</v>
          </cell>
          <cell r="G140">
            <v>514.07500000000005</v>
          </cell>
          <cell r="H140">
            <v>1671.7550000000001</v>
          </cell>
          <cell r="I140">
            <v>57884</v>
          </cell>
          <cell r="J140">
            <v>25703.75</v>
          </cell>
          <cell r="K140">
            <v>83587.75</v>
          </cell>
        </row>
        <row r="141">
          <cell r="A141" t="str">
            <v>NHPC</v>
          </cell>
          <cell r="B141">
            <v>27000</v>
          </cell>
          <cell r="C141">
            <v>11.32</v>
          </cell>
          <cell r="D141">
            <v>5</v>
          </cell>
          <cell r="E141">
            <v>16.32</v>
          </cell>
          <cell r="F141">
            <v>2.94</v>
          </cell>
          <cell r="G141">
            <v>1.2975000000000001</v>
          </cell>
          <cell r="H141">
            <v>4.2374999999999998</v>
          </cell>
          <cell r="I141">
            <v>79380</v>
          </cell>
          <cell r="J141">
            <v>35032.5</v>
          </cell>
          <cell r="K141">
            <v>114412.5</v>
          </cell>
        </row>
        <row r="142">
          <cell r="A142" t="str">
            <v>NIFTY</v>
          </cell>
          <cell r="B142">
            <v>75</v>
          </cell>
          <cell r="C142">
            <v>6.52</v>
          </cell>
          <cell r="D142">
            <v>3</v>
          </cell>
          <cell r="E142">
            <v>9.52</v>
          </cell>
          <cell r="F142">
            <v>696.01</v>
          </cell>
          <cell r="G142">
            <v>320.1585</v>
          </cell>
          <cell r="H142">
            <v>1016.1685</v>
          </cell>
          <cell r="I142">
            <v>52201</v>
          </cell>
          <cell r="J142">
            <v>24011.887500000001</v>
          </cell>
          <cell r="K142">
            <v>76212.887499999997</v>
          </cell>
        </row>
        <row r="143">
          <cell r="A143" t="str">
            <v>NIFTYIT</v>
          </cell>
          <cell r="B143">
            <v>50</v>
          </cell>
          <cell r="C143">
            <v>6.51</v>
          </cell>
          <cell r="D143">
            <v>3</v>
          </cell>
          <cell r="E143">
            <v>9.51</v>
          </cell>
          <cell r="F143">
            <v>933.04</v>
          </cell>
          <cell r="G143">
            <v>429.36</v>
          </cell>
          <cell r="H143">
            <v>1362.4</v>
          </cell>
          <cell r="I143">
            <v>46652</v>
          </cell>
          <cell r="J143">
            <v>21468</v>
          </cell>
          <cell r="K143">
            <v>68120</v>
          </cell>
        </row>
        <row r="144">
          <cell r="A144" t="str">
            <v>NIFTYMID50</v>
          </cell>
          <cell r="B144">
            <v>110</v>
          </cell>
          <cell r="C144">
            <v>6.51</v>
          </cell>
          <cell r="D144">
            <v>3</v>
          </cell>
          <cell r="E144">
            <v>9.51</v>
          </cell>
          <cell r="F144">
            <v>312.64</v>
          </cell>
          <cell r="G144">
            <v>143.8545</v>
          </cell>
          <cell r="H144">
            <v>456.49450000000002</v>
          </cell>
          <cell r="I144">
            <v>34390</v>
          </cell>
          <cell r="J144">
            <v>15823.995000000001</v>
          </cell>
          <cell r="K144">
            <v>50213.995000000003</v>
          </cell>
        </row>
        <row r="145">
          <cell r="A145" t="str">
            <v>NIITTECH</v>
          </cell>
          <cell r="B145">
            <v>750</v>
          </cell>
          <cell r="C145">
            <v>11.25</v>
          </cell>
          <cell r="D145">
            <v>5</v>
          </cell>
          <cell r="E145">
            <v>16.25</v>
          </cell>
          <cell r="F145">
            <v>125.16</v>
          </cell>
          <cell r="G145">
            <v>55.604999999999997</v>
          </cell>
          <cell r="H145">
            <v>180.76499999999999</v>
          </cell>
          <cell r="I145">
            <v>93870</v>
          </cell>
          <cell r="J145">
            <v>41703.75</v>
          </cell>
          <cell r="K145">
            <v>135573.75</v>
          </cell>
        </row>
        <row r="146">
          <cell r="A146" t="str">
            <v>NMDC</v>
          </cell>
          <cell r="B146">
            <v>6000</v>
          </cell>
          <cell r="C146">
            <v>11.29</v>
          </cell>
          <cell r="D146">
            <v>5</v>
          </cell>
          <cell r="E146">
            <v>16.29</v>
          </cell>
          <cell r="F146">
            <v>11.22</v>
          </cell>
          <cell r="G146">
            <v>4.9649999999999999</v>
          </cell>
          <cell r="H146">
            <v>16.184999999999999</v>
          </cell>
          <cell r="I146">
            <v>67320</v>
          </cell>
          <cell r="J146">
            <v>29790</v>
          </cell>
          <cell r="K146">
            <v>97110</v>
          </cell>
        </row>
        <row r="147">
          <cell r="A147" t="str">
            <v>NTPC</v>
          </cell>
          <cell r="B147">
            <v>4000</v>
          </cell>
          <cell r="C147">
            <v>11.3</v>
          </cell>
          <cell r="D147">
            <v>5</v>
          </cell>
          <cell r="E147">
            <v>16.3</v>
          </cell>
          <cell r="F147">
            <v>16.84</v>
          </cell>
          <cell r="G147">
            <v>7.4474999999999998</v>
          </cell>
          <cell r="H147">
            <v>24.287500000000001</v>
          </cell>
          <cell r="I147">
            <v>67360</v>
          </cell>
          <cell r="J147">
            <v>29790</v>
          </cell>
          <cell r="K147">
            <v>97150</v>
          </cell>
        </row>
        <row r="148">
          <cell r="A148" t="str">
            <v>OFSS</v>
          </cell>
          <cell r="B148">
            <v>150</v>
          </cell>
          <cell r="C148">
            <v>11.34</v>
          </cell>
          <cell r="D148">
            <v>5</v>
          </cell>
          <cell r="E148">
            <v>16.34</v>
          </cell>
          <cell r="F148">
            <v>388.4</v>
          </cell>
          <cell r="G148">
            <v>171.23249999999999</v>
          </cell>
          <cell r="H148">
            <v>559.63250000000005</v>
          </cell>
          <cell r="I148">
            <v>58260</v>
          </cell>
          <cell r="J148">
            <v>25684.875</v>
          </cell>
          <cell r="K148">
            <v>83944.875</v>
          </cell>
        </row>
        <row r="149">
          <cell r="A149" t="str">
            <v>OIL</v>
          </cell>
          <cell r="B149">
            <v>3399</v>
          </cell>
          <cell r="C149">
            <v>11.4</v>
          </cell>
          <cell r="D149">
            <v>5</v>
          </cell>
          <cell r="E149">
            <v>16.399999999999999</v>
          </cell>
          <cell r="F149">
            <v>22.89</v>
          </cell>
          <cell r="G149">
            <v>10.035</v>
          </cell>
          <cell r="H149">
            <v>32.924999999999997</v>
          </cell>
          <cell r="I149">
            <v>77803</v>
          </cell>
          <cell r="J149">
            <v>34108.964999999997</v>
          </cell>
          <cell r="K149">
            <v>111911.965</v>
          </cell>
        </row>
        <row r="150">
          <cell r="A150" t="str">
            <v>ONGC</v>
          </cell>
          <cell r="B150">
            <v>3750</v>
          </cell>
          <cell r="C150">
            <v>11.33</v>
          </cell>
          <cell r="D150">
            <v>5</v>
          </cell>
          <cell r="E150">
            <v>16.329999999999998</v>
          </cell>
          <cell r="F150">
            <v>17.28</v>
          </cell>
          <cell r="G150">
            <v>7.6224999999999996</v>
          </cell>
          <cell r="H150">
            <v>24.9025</v>
          </cell>
          <cell r="I150">
            <v>64800</v>
          </cell>
          <cell r="J150">
            <v>28584.375</v>
          </cell>
          <cell r="K150">
            <v>93384.375</v>
          </cell>
        </row>
        <row r="151">
          <cell r="A151" t="str">
            <v>ORIENTBANK</v>
          </cell>
          <cell r="B151">
            <v>6000</v>
          </cell>
          <cell r="C151">
            <v>15.18</v>
          </cell>
          <cell r="D151">
            <v>5</v>
          </cell>
          <cell r="E151">
            <v>20.18</v>
          </cell>
          <cell r="F151">
            <v>13.24</v>
          </cell>
          <cell r="G151">
            <v>4.3600000000000003</v>
          </cell>
          <cell r="H151">
            <v>17.600000000000001</v>
          </cell>
          <cell r="I151">
            <v>79440</v>
          </cell>
          <cell r="J151">
            <v>26160</v>
          </cell>
          <cell r="K151">
            <v>105600</v>
          </cell>
        </row>
        <row r="152">
          <cell r="A152" t="str">
            <v>PAGEIND</v>
          </cell>
          <cell r="B152">
            <v>25</v>
          </cell>
          <cell r="C152">
            <v>11.38</v>
          </cell>
          <cell r="D152">
            <v>5</v>
          </cell>
          <cell r="E152">
            <v>16.38</v>
          </cell>
          <cell r="F152">
            <v>3131</v>
          </cell>
          <cell r="G152">
            <v>1375.42</v>
          </cell>
          <cell r="H152">
            <v>4506.42</v>
          </cell>
          <cell r="I152">
            <v>78275</v>
          </cell>
          <cell r="J152">
            <v>34385.5</v>
          </cell>
          <cell r="K152">
            <v>112660.5</v>
          </cell>
        </row>
        <row r="153">
          <cell r="A153" t="str">
            <v>PCJEWELLER</v>
          </cell>
          <cell r="B153">
            <v>1500</v>
          </cell>
          <cell r="C153">
            <v>26.57</v>
          </cell>
          <cell r="D153">
            <v>11.55</v>
          </cell>
          <cell r="E153">
            <v>38.119999999999997</v>
          </cell>
          <cell r="F153">
            <v>20.25</v>
          </cell>
          <cell r="G153">
            <v>8.8010999999999999</v>
          </cell>
          <cell r="H153">
            <v>29.051100000000002</v>
          </cell>
          <cell r="I153">
            <v>30375</v>
          </cell>
          <cell r="J153">
            <v>13201.65</v>
          </cell>
          <cell r="K153">
            <v>43576.65</v>
          </cell>
        </row>
        <row r="154">
          <cell r="A154" t="str">
            <v>PEL</v>
          </cell>
          <cell r="B154">
            <v>302</v>
          </cell>
          <cell r="C154">
            <v>12.33</v>
          </cell>
          <cell r="D154">
            <v>5</v>
          </cell>
          <cell r="E154">
            <v>17.329999999999998</v>
          </cell>
          <cell r="F154">
            <v>282.14</v>
          </cell>
          <cell r="G154">
            <v>114.4025</v>
          </cell>
          <cell r="H154">
            <v>396.54250000000002</v>
          </cell>
          <cell r="I154">
            <v>85206</v>
          </cell>
          <cell r="J154">
            <v>34549.555</v>
          </cell>
          <cell r="K154">
            <v>119755.55499999999</v>
          </cell>
        </row>
        <row r="155">
          <cell r="A155" t="str">
            <v>PETRONET</v>
          </cell>
          <cell r="B155">
            <v>3000</v>
          </cell>
          <cell r="C155">
            <v>11.25</v>
          </cell>
          <cell r="D155">
            <v>5</v>
          </cell>
          <cell r="E155">
            <v>16.25</v>
          </cell>
          <cell r="F155">
            <v>24.29</v>
          </cell>
          <cell r="G155">
            <v>10.795</v>
          </cell>
          <cell r="H155">
            <v>35.085000000000001</v>
          </cell>
          <cell r="I155">
            <v>72870</v>
          </cell>
          <cell r="J155">
            <v>32385</v>
          </cell>
          <cell r="K155">
            <v>105255</v>
          </cell>
        </row>
        <row r="156">
          <cell r="A156" t="str">
            <v>PFC</v>
          </cell>
          <cell r="B156">
            <v>6000</v>
          </cell>
          <cell r="C156">
            <v>11.29</v>
          </cell>
          <cell r="D156">
            <v>5</v>
          </cell>
          <cell r="E156">
            <v>16.29</v>
          </cell>
          <cell r="F156">
            <v>11.59</v>
          </cell>
          <cell r="G156">
            <v>5.13</v>
          </cell>
          <cell r="H156">
            <v>16.72</v>
          </cell>
          <cell r="I156">
            <v>69540</v>
          </cell>
          <cell r="J156">
            <v>30780</v>
          </cell>
          <cell r="K156">
            <v>100320</v>
          </cell>
        </row>
        <row r="157">
          <cell r="A157" t="str">
            <v>PIDILITIND</v>
          </cell>
          <cell r="B157">
            <v>500</v>
          </cell>
          <cell r="C157">
            <v>11.28</v>
          </cell>
          <cell r="D157">
            <v>5</v>
          </cell>
          <cell r="E157">
            <v>16.28</v>
          </cell>
          <cell r="F157">
            <v>127.36</v>
          </cell>
          <cell r="G157">
            <v>56.405000000000001</v>
          </cell>
          <cell r="H157">
            <v>183.76499999999999</v>
          </cell>
          <cell r="I157">
            <v>63680</v>
          </cell>
          <cell r="J157">
            <v>28202.5</v>
          </cell>
          <cell r="K157">
            <v>91882.5</v>
          </cell>
        </row>
        <row r="158">
          <cell r="A158" t="str">
            <v>PNB</v>
          </cell>
          <cell r="B158">
            <v>5500</v>
          </cell>
          <cell r="C158">
            <v>11.28</v>
          </cell>
          <cell r="D158">
            <v>5</v>
          </cell>
          <cell r="E158">
            <v>16.28</v>
          </cell>
          <cell r="F158">
            <v>8.0500000000000007</v>
          </cell>
          <cell r="G158">
            <v>3.5674999999999999</v>
          </cell>
          <cell r="H158">
            <v>11.6175</v>
          </cell>
          <cell r="I158">
            <v>44275</v>
          </cell>
          <cell r="J158">
            <v>19621.25</v>
          </cell>
          <cell r="K158">
            <v>63896.25</v>
          </cell>
        </row>
        <row r="159">
          <cell r="A159" t="str">
            <v>POWERGRID</v>
          </cell>
          <cell r="B159">
            <v>4000</v>
          </cell>
          <cell r="C159">
            <v>11.29</v>
          </cell>
          <cell r="D159">
            <v>5</v>
          </cell>
          <cell r="E159">
            <v>16.29</v>
          </cell>
          <cell r="F159">
            <v>21.27</v>
          </cell>
          <cell r="G159">
            <v>9.4175000000000004</v>
          </cell>
          <cell r="H159">
            <v>30.6875</v>
          </cell>
          <cell r="I159">
            <v>85080</v>
          </cell>
          <cell r="J159">
            <v>37670</v>
          </cell>
          <cell r="K159">
            <v>122750</v>
          </cell>
        </row>
        <row r="160">
          <cell r="A160" t="str">
            <v>PTC</v>
          </cell>
          <cell r="B160">
            <v>8000</v>
          </cell>
          <cell r="C160">
            <v>11.26</v>
          </cell>
          <cell r="D160">
            <v>5</v>
          </cell>
          <cell r="E160">
            <v>16.260000000000002</v>
          </cell>
          <cell r="F160">
            <v>9.0500000000000007</v>
          </cell>
          <cell r="G160">
            <v>4.0175000000000001</v>
          </cell>
          <cell r="H160">
            <v>13.067500000000001</v>
          </cell>
          <cell r="I160">
            <v>72400</v>
          </cell>
          <cell r="J160">
            <v>32140</v>
          </cell>
          <cell r="K160">
            <v>104540</v>
          </cell>
        </row>
        <row r="161">
          <cell r="A161" t="str">
            <v>PVR</v>
          </cell>
          <cell r="B161">
            <v>400</v>
          </cell>
          <cell r="C161">
            <v>11.25</v>
          </cell>
          <cell r="D161">
            <v>5</v>
          </cell>
          <cell r="E161">
            <v>16.25</v>
          </cell>
          <cell r="F161">
            <v>158.49</v>
          </cell>
          <cell r="G161">
            <v>70.392499999999998</v>
          </cell>
          <cell r="H161">
            <v>228.88249999999999</v>
          </cell>
          <cell r="I161">
            <v>63396</v>
          </cell>
          <cell r="J161">
            <v>28157</v>
          </cell>
          <cell r="K161">
            <v>91553</v>
          </cell>
        </row>
        <row r="162">
          <cell r="A162" t="str">
            <v>RAMCOCEM</v>
          </cell>
          <cell r="B162">
            <v>800</v>
          </cell>
          <cell r="C162">
            <v>11.25</v>
          </cell>
          <cell r="D162">
            <v>5</v>
          </cell>
          <cell r="E162">
            <v>16.25</v>
          </cell>
          <cell r="F162">
            <v>70.78</v>
          </cell>
          <cell r="G162">
            <v>31.445</v>
          </cell>
          <cell r="H162">
            <v>102.22499999999999</v>
          </cell>
          <cell r="I162">
            <v>56624</v>
          </cell>
          <cell r="J162">
            <v>25156</v>
          </cell>
          <cell r="K162">
            <v>81780</v>
          </cell>
        </row>
        <row r="163">
          <cell r="A163" t="str">
            <v>RAYMOND</v>
          </cell>
          <cell r="B163">
            <v>800</v>
          </cell>
          <cell r="C163">
            <v>11.3</v>
          </cell>
          <cell r="D163">
            <v>5</v>
          </cell>
          <cell r="E163">
            <v>16.3</v>
          </cell>
          <cell r="F163">
            <v>89.08</v>
          </cell>
          <cell r="G163">
            <v>39.414999999999999</v>
          </cell>
          <cell r="H163">
            <v>128.495</v>
          </cell>
          <cell r="I163">
            <v>71264</v>
          </cell>
          <cell r="J163">
            <v>31532</v>
          </cell>
          <cell r="K163">
            <v>102796</v>
          </cell>
        </row>
        <row r="164">
          <cell r="A164" t="str">
            <v>RBLBANK</v>
          </cell>
          <cell r="B164">
            <v>1200</v>
          </cell>
          <cell r="C164">
            <v>11.33</v>
          </cell>
          <cell r="D164">
            <v>5</v>
          </cell>
          <cell r="E164">
            <v>16.329999999999998</v>
          </cell>
          <cell r="F164">
            <v>62.76</v>
          </cell>
          <cell r="G164">
            <v>27.692499999999999</v>
          </cell>
          <cell r="H164">
            <v>90.452500000000001</v>
          </cell>
          <cell r="I164">
            <v>75312</v>
          </cell>
          <cell r="J164">
            <v>33231</v>
          </cell>
          <cell r="K164">
            <v>108543</v>
          </cell>
        </row>
        <row r="165">
          <cell r="A165" t="str">
            <v>RCOM</v>
          </cell>
          <cell r="B165">
            <v>28000</v>
          </cell>
          <cell r="C165">
            <v>15.51</v>
          </cell>
          <cell r="D165">
            <v>9.4700000000000006</v>
          </cell>
          <cell r="E165">
            <v>24.98</v>
          </cell>
          <cell r="F165">
            <v>2.11</v>
          </cell>
          <cell r="G165">
            <v>1.2879</v>
          </cell>
          <cell r="H165">
            <v>3.3978999999999999</v>
          </cell>
          <cell r="I165">
            <v>59080</v>
          </cell>
          <cell r="J165">
            <v>36061.760000000002</v>
          </cell>
          <cell r="K165">
            <v>95141.759999999995</v>
          </cell>
        </row>
        <row r="166">
          <cell r="A166" t="str">
            <v>RECLTD</v>
          </cell>
          <cell r="B166">
            <v>6000</v>
          </cell>
          <cell r="C166">
            <v>11.29</v>
          </cell>
          <cell r="D166">
            <v>5</v>
          </cell>
          <cell r="E166">
            <v>16.29</v>
          </cell>
          <cell r="F166">
            <v>13.87</v>
          </cell>
          <cell r="G166">
            <v>6.1375000000000002</v>
          </cell>
          <cell r="H166">
            <v>20.0075</v>
          </cell>
          <cell r="I166">
            <v>83220</v>
          </cell>
          <cell r="J166">
            <v>36825</v>
          </cell>
          <cell r="K166">
            <v>120045</v>
          </cell>
        </row>
        <row r="167">
          <cell r="A167" t="str">
            <v>RELCAPITAL</v>
          </cell>
          <cell r="B167">
            <v>1500</v>
          </cell>
          <cell r="C167">
            <v>11.74</v>
          </cell>
          <cell r="D167">
            <v>5</v>
          </cell>
          <cell r="E167">
            <v>16.739999999999998</v>
          </cell>
          <cell r="F167">
            <v>28.4</v>
          </cell>
          <cell r="G167">
            <v>12.09</v>
          </cell>
          <cell r="H167">
            <v>40.49</v>
          </cell>
          <cell r="I167">
            <v>42600</v>
          </cell>
          <cell r="J167">
            <v>18135</v>
          </cell>
          <cell r="K167">
            <v>60735</v>
          </cell>
        </row>
        <row r="168">
          <cell r="A168" t="str">
            <v>RELIANCE</v>
          </cell>
          <cell r="B168">
            <v>500</v>
          </cell>
          <cell r="C168">
            <v>11.28</v>
          </cell>
          <cell r="D168">
            <v>5</v>
          </cell>
          <cell r="E168">
            <v>16.28</v>
          </cell>
          <cell r="F168">
            <v>128.41</v>
          </cell>
          <cell r="G168">
            <v>56.887500000000003</v>
          </cell>
          <cell r="H168">
            <v>185.29750000000001</v>
          </cell>
          <cell r="I168">
            <v>64205</v>
          </cell>
          <cell r="J168">
            <v>28443.75</v>
          </cell>
          <cell r="K168">
            <v>92648.75</v>
          </cell>
        </row>
        <row r="169">
          <cell r="A169" t="str">
            <v>RELINFRA</v>
          </cell>
          <cell r="B169">
            <v>1300</v>
          </cell>
          <cell r="C169">
            <v>12.82</v>
          </cell>
          <cell r="D169">
            <v>5</v>
          </cell>
          <cell r="E169">
            <v>17.82</v>
          </cell>
          <cell r="F169">
            <v>45.75</v>
          </cell>
          <cell r="G169">
            <v>17.829999999999998</v>
          </cell>
          <cell r="H169">
            <v>63.58</v>
          </cell>
          <cell r="I169">
            <v>59475</v>
          </cell>
          <cell r="J169">
            <v>23179</v>
          </cell>
          <cell r="K169">
            <v>82654</v>
          </cell>
        </row>
        <row r="170">
          <cell r="A170" t="str">
            <v>REPCOHOME</v>
          </cell>
          <cell r="B170">
            <v>900</v>
          </cell>
          <cell r="C170">
            <v>11.97</v>
          </cell>
          <cell r="D170">
            <v>5</v>
          </cell>
          <cell r="E170">
            <v>16.97</v>
          </cell>
          <cell r="F170">
            <v>47.16</v>
          </cell>
          <cell r="G170">
            <v>19.695</v>
          </cell>
          <cell r="H170">
            <v>66.855000000000004</v>
          </cell>
          <cell r="I170">
            <v>42444</v>
          </cell>
          <cell r="J170">
            <v>17725.5</v>
          </cell>
          <cell r="K170">
            <v>60169.5</v>
          </cell>
        </row>
        <row r="171">
          <cell r="A171" t="str">
            <v>RPOWER</v>
          </cell>
          <cell r="B171">
            <v>13000</v>
          </cell>
          <cell r="C171">
            <v>11.27</v>
          </cell>
          <cell r="D171">
            <v>5</v>
          </cell>
          <cell r="E171">
            <v>16.27</v>
          </cell>
          <cell r="F171">
            <v>3.44</v>
          </cell>
          <cell r="G171">
            <v>1.5249999999999999</v>
          </cell>
          <cell r="H171">
            <v>4.9649999999999999</v>
          </cell>
          <cell r="I171">
            <v>44720</v>
          </cell>
          <cell r="J171">
            <v>19825</v>
          </cell>
          <cell r="K171">
            <v>64545</v>
          </cell>
        </row>
        <row r="172">
          <cell r="A172" t="str">
            <v>SAIL</v>
          </cell>
          <cell r="B172">
            <v>12000</v>
          </cell>
          <cell r="C172">
            <v>11.27</v>
          </cell>
          <cell r="D172">
            <v>5</v>
          </cell>
          <cell r="E172">
            <v>16.27</v>
          </cell>
          <cell r="F172">
            <v>7.04</v>
          </cell>
          <cell r="G172">
            <v>3.1225000000000001</v>
          </cell>
          <cell r="H172">
            <v>10.1625</v>
          </cell>
          <cell r="I172">
            <v>84480</v>
          </cell>
          <cell r="J172">
            <v>37470</v>
          </cell>
          <cell r="K172">
            <v>121950</v>
          </cell>
        </row>
        <row r="173">
          <cell r="A173" t="str">
            <v>SBIN</v>
          </cell>
          <cell r="B173">
            <v>3000</v>
          </cell>
          <cell r="C173">
            <v>11.28</v>
          </cell>
          <cell r="D173">
            <v>5</v>
          </cell>
          <cell r="E173">
            <v>16.28</v>
          </cell>
          <cell r="F173">
            <v>32</v>
          </cell>
          <cell r="G173">
            <v>14.172499999999999</v>
          </cell>
          <cell r="H173">
            <v>46.172499999999999</v>
          </cell>
          <cell r="I173">
            <v>96000</v>
          </cell>
          <cell r="J173">
            <v>42517.5</v>
          </cell>
          <cell r="K173">
            <v>138517.5</v>
          </cell>
        </row>
        <row r="174">
          <cell r="A174" t="str">
            <v>SHREECEM</v>
          </cell>
          <cell r="B174">
            <v>50</v>
          </cell>
          <cell r="C174">
            <v>11.29</v>
          </cell>
          <cell r="D174">
            <v>5</v>
          </cell>
          <cell r="E174">
            <v>16.29</v>
          </cell>
          <cell r="F174">
            <v>1795.58</v>
          </cell>
          <cell r="G174">
            <v>795.18499999999995</v>
          </cell>
          <cell r="H174">
            <v>2590.7649999999999</v>
          </cell>
          <cell r="I174">
            <v>89779</v>
          </cell>
          <cell r="J174">
            <v>39759.25</v>
          </cell>
          <cell r="K174">
            <v>129538.25</v>
          </cell>
        </row>
        <row r="175">
          <cell r="A175" t="str">
            <v>SIEMENS</v>
          </cell>
          <cell r="B175">
            <v>500</v>
          </cell>
          <cell r="C175">
            <v>11.4</v>
          </cell>
          <cell r="D175">
            <v>5</v>
          </cell>
          <cell r="E175">
            <v>16.399999999999999</v>
          </cell>
          <cell r="F175">
            <v>105.58</v>
          </cell>
          <cell r="G175">
            <v>46.295000000000002</v>
          </cell>
          <cell r="H175">
            <v>151.875</v>
          </cell>
          <cell r="I175">
            <v>52790</v>
          </cell>
          <cell r="J175">
            <v>23147.5</v>
          </cell>
          <cell r="K175">
            <v>75937.5</v>
          </cell>
        </row>
        <row r="176">
          <cell r="A176" t="str">
            <v>SOUTHBANK</v>
          </cell>
          <cell r="B176">
            <v>33141</v>
          </cell>
          <cell r="C176">
            <v>11.29</v>
          </cell>
          <cell r="D176">
            <v>5</v>
          </cell>
          <cell r="E176">
            <v>16.29</v>
          </cell>
          <cell r="F176">
            <v>1.61</v>
          </cell>
          <cell r="G176">
            <v>0.71250000000000002</v>
          </cell>
          <cell r="H176">
            <v>2.3224999999999998</v>
          </cell>
          <cell r="I176">
            <v>53357</v>
          </cell>
          <cell r="J176">
            <v>23612.962500000001</v>
          </cell>
          <cell r="K176">
            <v>76969.962499999994</v>
          </cell>
        </row>
        <row r="177">
          <cell r="A177" t="str">
            <v>SREINFRA</v>
          </cell>
          <cell r="B177">
            <v>7000</v>
          </cell>
          <cell r="C177">
            <v>17.57</v>
          </cell>
          <cell r="D177">
            <v>6.31</v>
          </cell>
          <cell r="E177">
            <v>23.88</v>
          </cell>
          <cell r="F177">
            <v>5.72</v>
          </cell>
          <cell r="G177">
            <v>2.0539000000000001</v>
          </cell>
          <cell r="H177">
            <v>7.7739000000000003</v>
          </cell>
          <cell r="I177">
            <v>40040</v>
          </cell>
          <cell r="J177">
            <v>14377.334999999999</v>
          </cell>
          <cell r="K177">
            <v>54417.334999999999</v>
          </cell>
        </row>
        <row r="178">
          <cell r="A178" t="str">
            <v>SRF</v>
          </cell>
          <cell r="B178">
            <v>500</v>
          </cell>
          <cell r="C178">
            <v>11.27</v>
          </cell>
          <cell r="D178">
            <v>5</v>
          </cell>
          <cell r="E178">
            <v>16.27</v>
          </cell>
          <cell r="F178">
            <v>234.99</v>
          </cell>
          <cell r="G178">
            <v>104.185</v>
          </cell>
          <cell r="H178">
            <v>339.17500000000001</v>
          </cell>
          <cell r="I178">
            <v>117495</v>
          </cell>
          <cell r="J178">
            <v>52092.5</v>
          </cell>
          <cell r="K178">
            <v>169587.5</v>
          </cell>
        </row>
        <row r="179">
          <cell r="A179" t="str">
            <v>SRTRANSFIN</v>
          </cell>
          <cell r="B179">
            <v>600</v>
          </cell>
          <cell r="C179">
            <v>11.26</v>
          </cell>
          <cell r="D179">
            <v>9</v>
          </cell>
          <cell r="E179">
            <v>20.260000000000002</v>
          </cell>
          <cell r="F179">
            <v>134.63999999999999</v>
          </cell>
          <cell r="G179">
            <v>107.541</v>
          </cell>
          <cell r="H179">
            <v>242.18100000000001</v>
          </cell>
          <cell r="I179">
            <v>80784</v>
          </cell>
          <cell r="J179">
            <v>64524.6</v>
          </cell>
          <cell r="K179">
            <v>145308.6</v>
          </cell>
        </row>
        <row r="180">
          <cell r="A180" t="str">
            <v>STAR</v>
          </cell>
          <cell r="B180">
            <v>800</v>
          </cell>
          <cell r="C180">
            <v>11.26</v>
          </cell>
          <cell r="D180">
            <v>6.06</v>
          </cell>
          <cell r="E180">
            <v>17.32</v>
          </cell>
          <cell r="F180">
            <v>51.83</v>
          </cell>
          <cell r="G180">
            <v>27.869900000000001</v>
          </cell>
          <cell r="H180">
            <v>79.6999</v>
          </cell>
          <cell r="I180">
            <v>41464</v>
          </cell>
          <cell r="J180">
            <v>22295.952000000001</v>
          </cell>
          <cell r="K180">
            <v>63759.951999999997</v>
          </cell>
        </row>
        <row r="181">
          <cell r="A181" t="str">
            <v>SUNPHARMA</v>
          </cell>
          <cell r="B181">
            <v>1100</v>
          </cell>
          <cell r="C181">
            <v>11.27</v>
          </cell>
          <cell r="D181">
            <v>5</v>
          </cell>
          <cell r="E181">
            <v>16.27</v>
          </cell>
          <cell r="F181">
            <v>59.32</v>
          </cell>
          <cell r="G181">
            <v>26.3</v>
          </cell>
          <cell r="H181">
            <v>85.62</v>
          </cell>
          <cell r="I181">
            <v>65252</v>
          </cell>
          <cell r="J181">
            <v>28930</v>
          </cell>
          <cell r="K181">
            <v>94182</v>
          </cell>
        </row>
        <row r="182">
          <cell r="A182" t="str">
            <v>SUNTV</v>
          </cell>
          <cell r="B182">
            <v>1000</v>
          </cell>
          <cell r="C182">
            <v>11.26</v>
          </cell>
          <cell r="D182">
            <v>5</v>
          </cell>
          <cell r="E182">
            <v>16.260000000000002</v>
          </cell>
          <cell r="F182">
            <v>68.760000000000005</v>
          </cell>
          <cell r="G182">
            <v>30.524999999999999</v>
          </cell>
          <cell r="H182">
            <v>99.284999999999997</v>
          </cell>
          <cell r="I182">
            <v>68760</v>
          </cell>
          <cell r="J182">
            <v>30525</v>
          </cell>
          <cell r="K182">
            <v>99285</v>
          </cell>
        </row>
        <row r="183">
          <cell r="A183" t="str">
            <v>SUZLON</v>
          </cell>
          <cell r="B183">
            <v>45000</v>
          </cell>
          <cell r="C183">
            <v>11.19</v>
          </cell>
          <cell r="D183">
            <v>5</v>
          </cell>
          <cell r="E183">
            <v>16.190000000000001</v>
          </cell>
          <cell r="F183">
            <v>0.61</v>
          </cell>
          <cell r="G183">
            <v>0.27250000000000002</v>
          </cell>
          <cell r="H183">
            <v>0.88249999999999995</v>
          </cell>
          <cell r="I183">
            <v>27450</v>
          </cell>
          <cell r="J183">
            <v>12262.5</v>
          </cell>
          <cell r="K183">
            <v>39712.5</v>
          </cell>
        </row>
        <row r="184">
          <cell r="A184" t="str">
            <v>SYNDIBANK</v>
          </cell>
          <cell r="B184">
            <v>9000</v>
          </cell>
          <cell r="C184">
            <v>11.3</v>
          </cell>
          <cell r="D184">
            <v>5</v>
          </cell>
          <cell r="E184">
            <v>16.3</v>
          </cell>
          <cell r="F184">
            <v>3.99</v>
          </cell>
          <cell r="G184">
            <v>1.7649999999999999</v>
          </cell>
          <cell r="H184">
            <v>5.7549999999999999</v>
          </cell>
          <cell r="I184">
            <v>35910</v>
          </cell>
          <cell r="J184">
            <v>15885</v>
          </cell>
          <cell r="K184">
            <v>51795</v>
          </cell>
        </row>
        <row r="185">
          <cell r="A185" t="str">
            <v>TATACHEM</v>
          </cell>
          <cell r="B185">
            <v>750</v>
          </cell>
          <cell r="C185">
            <v>11.28</v>
          </cell>
          <cell r="D185">
            <v>5</v>
          </cell>
          <cell r="E185">
            <v>16.28</v>
          </cell>
          <cell r="F185">
            <v>78.069999999999993</v>
          </cell>
          <cell r="G185">
            <v>34.577500000000001</v>
          </cell>
          <cell r="H185">
            <v>112.64749999999999</v>
          </cell>
          <cell r="I185">
            <v>58553</v>
          </cell>
          <cell r="J185">
            <v>25933.125</v>
          </cell>
          <cell r="K185">
            <v>84486.125</v>
          </cell>
        </row>
        <row r="186">
          <cell r="A186" t="str">
            <v>TATACOMM</v>
          </cell>
          <cell r="B186">
            <v>800</v>
          </cell>
          <cell r="C186">
            <v>11.25</v>
          </cell>
          <cell r="D186">
            <v>5</v>
          </cell>
          <cell r="E186">
            <v>16.25</v>
          </cell>
          <cell r="F186">
            <v>59.95</v>
          </cell>
          <cell r="G186">
            <v>26.635000000000002</v>
          </cell>
          <cell r="H186">
            <v>86.584999999999994</v>
          </cell>
          <cell r="I186">
            <v>47960</v>
          </cell>
          <cell r="J186">
            <v>21308</v>
          </cell>
          <cell r="K186">
            <v>69268</v>
          </cell>
        </row>
        <row r="187">
          <cell r="A187" t="str">
            <v>TATAELXSI</v>
          </cell>
          <cell r="B187">
            <v>400</v>
          </cell>
          <cell r="C187">
            <v>11.26</v>
          </cell>
          <cell r="D187">
            <v>5</v>
          </cell>
          <cell r="E187">
            <v>16.260000000000002</v>
          </cell>
          <cell r="F187">
            <v>111.66</v>
          </cell>
          <cell r="G187">
            <v>49.57</v>
          </cell>
          <cell r="H187">
            <v>161.22999999999999</v>
          </cell>
          <cell r="I187">
            <v>44664</v>
          </cell>
          <cell r="J187">
            <v>19828</v>
          </cell>
          <cell r="K187">
            <v>64492</v>
          </cell>
        </row>
        <row r="188">
          <cell r="A188" t="str">
            <v>TATAGLOBAL</v>
          </cell>
          <cell r="B188">
            <v>2250</v>
          </cell>
          <cell r="C188">
            <v>11.26</v>
          </cell>
          <cell r="D188">
            <v>5</v>
          </cell>
          <cell r="E188">
            <v>16.260000000000002</v>
          </cell>
          <cell r="F188">
            <v>24.38</v>
          </cell>
          <cell r="G188">
            <v>10.817500000000001</v>
          </cell>
          <cell r="H188">
            <v>35.197499999999998</v>
          </cell>
          <cell r="I188">
            <v>54855</v>
          </cell>
          <cell r="J188">
            <v>24339.375</v>
          </cell>
          <cell r="K188">
            <v>79194.375</v>
          </cell>
        </row>
        <row r="189">
          <cell r="A189" t="str">
            <v>TATAMOTORS</v>
          </cell>
          <cell r="B189">
            <v>1500</v>
          </cell>
          <cell r="C189">
            <v>11.28</v>
          </cell>
          <cell r="D189">
            <v>5</v>
          </cell>
          <cell r="E189">
            <v>16.28</v>
          </cell>
          <cell r="F189">
            <v>20.74</v>
          </cell>
          <cell r="G189">
            <v>9.19</v>
          </cell>
          <cell r="H189">
            <v>29.93</v>
          </cell>
          <cell r="I189">
            <v>31110</v>
          </cell>
          <cell r="J189">
            <v>13785</v>
          </cell>
          <cell r="K189">
            <v>44895</v>
          </cell>
        </row>
        <row r="190">
          <cell r="A190" t="str">
            <v>TATAMTRDVR</v>
          </cell>
          <cell r="B190">
            <v>2800</v>
          </cell>
          <cell r="C190">
            <v>11.25</v>
          </cell>
          <cell r="D190">
            <v>5</v>
          </cell>
          <cell r="E190">
            <v>16.25</v>
          </cell>
          <cell r="F190">
            <v>11.28</v>
          </cell>
          <cell r="G190">
            <v>5.0125000000000002</v>
          </cell>
          <cell r="H190">
            <v>16.2925</v>
          </cell>
          <cell r="I190">
            <v>31584</v>
          </cell>
          <cell r="J190">
            <v>14035</v>
          </cell>
          <cell r="K190">
            <v>45619</v>
          </cell>
        </row>
        <row r="191">
          <cell r="A191" t="str">
            <v>TATAPOWER</v>
          </cell>
          <cell r="B191">
            <v>9000</v>
          </cell>
          <cell r="C191">
            <v>11.29</v>
          </cell>
          <cell r="D191">
            <v>5</v>
          </cell>
          <cell r="E191">
            <v>16.29</v>
          </cell>
          <cell r="F191">
            <v>8.84</v>
          </cell>
          <cell r="G191">
            <v>3.9125000000000001</v>
          </cell>
          <cell r="H191">
            <v>12.7525</v>
          </cell>
          <cell r="I191">
            <v>79560</v>
          </cell>
          <cell r="J191">
            <v>35212.5</v>
          </cell>
          <cell r="K191">
            <v>114772.5</v>
          </cell>
        </row>
        <row r="192">
          <cell r="A192" t="str">
            <v>TATASTEEL</v>
          </cell>
          <cell r="B192">
            <v>1061</v>
          </cell>
          <cell r="C192">
            <v>11.26</v>
          </cell>
          <cell r="D192">
            <v>5</v>
          </cell>
          <cell r="E192">
            <v>16.260000000000002</v>
          </cell>
          <cell r="F192">
            <v>63.59</v>
          </cell>
          <cell r="G192">
            <v>28.212499999999999</v>
          </cell>
          <cell r="H192">
            <v>91.802499999999995</v>
          </cell>
          <cell r="I192">
            <v>67469</v>
          </cell>
          <cell r="J192">
            <v>29933.462500000001</v>
          </cell>
          <cell r="K192">
            <v>97402.462499999994</v>
          </cell>
        </row>
        <row r="193">
          <cell r="A193" t="str">
            <v>TCS</v>
          </cell>
          <cell r="B193">
            <v>250</v>
          </cell>
          <cell r="C193">
            <v>11.26</v>
          </cell>
          <cell r="D193">
            <v>5</v>
          </cell>
          <cell r="E193">
            <v>16.260000000000002</v>
          </cell>
          <cell r="F193">
            <v>212.04</v>
          </cell>
          <cell r="G193">
            <v>94.132499999999993</v>
          </cell>
          <cell r="H193">
            <v>306.17250000000001</v>
          </cell>
          <cell r="I193">
            <v>53010</v>
          </cell>
          <cell r="J193">
            <v>23533.125</v>
          </cell>
          <cell r="K193">
            <v>76543.125</v>
          </cell>
        </row>
        <row r="194">
          <cell r="A194" t="str">
            <v>TECHM</v>
          </cell>
          <cell r="B194">
            <v>1200</v>
          </cell>
          <cell r="C194">
            <v>11.25</v>
          </cell>
          <cell r="D194">
            <v>5</v>
          </cell>
          <cell r="E194">
            <v>16.25</v>
          </cell>
          <cell r="F194">
            <v>80.12</v>
          </cell>
          <cell r="G194">
            <v>35.582500000000003</v>
          </cell>
          <cell r="H194">
            <v>115.7025</v>
          </cell>
          <cell r="I194">
            <v>96144</v>
          </cell>
          <cell r="J194">
            <v>42699</v>
          </cell>
          <cell r="K194">
            <v>138843</v>
          </cell>
        </row>
        <row r="195">
          <cell r="A195" t="str">
            <v>TITAN</v>
          </cell>
          <cell r="B195">
            <v>750</v>
          </cell>
          <cell r="C195">
            <v>11.26</v>
          </cell>
          <cell r="D195">
            <v>5</v>
          </cell>
          <cell r="E195">
            <v>16.260000000000002</v>
          </cell>
          <cell r="F195">
            <v>103.35</v>
          </cell>
          <cell r="G195">
            <v>45.875</v>
          </cell>
          <cell r="H195">
            <v>149.22499999999999</v>
          </cell>
          <cell r="I195">
            <v>77513</v>
          </cell>
          <cell r="J195">
            <v>34406.25</v>
          </cell>
          <cell r="K195">
            <v>111919.25</v>
          </cell>
        </row>
        <row r="196">
          <cell r="A196" t="str">
            <v>TORNTPHARM</v>
          </cell>
          <cell r="B196">
            <v>500</v>
          </cell>
          <cell r="C196">
            <v>11.29</v>
          </cell>
          <cell r="D196">
            <v>5</v>
          </cell>
          <cell r="E196">
            <v>16.29</v>
          </cell>
          <cell r="F196">
            <v>185.66</v>
          </cell>
          <cell r="G196">
            <v>82.192499999999995</v>
          </cell>
          <cell r="H196">
            <v>267.85250000000002</v>
          </cell>
          <cell r="I196">
            <v>92830</v>
          </cell>
          <cell r="J196">
            <v>41096.25</v>
          </cell>
          <cell r="K196">
            <v>133926.25</v>
          </cell>
        </row>
        <row r="197">
          <cell r="A197" t="str">
            <v>TORNTPOWER</v>
          </cell>
          <cell r="B197">
            <v>3000</v>
          </cell>
          <cell r="C197">
            <v>11.25</v>
          </cell>
          <cell r="D197">
            <v>5</v>
          </cell>
          <cell r="E197">
            <v>16.25</v>
          </cell>
          <cell r="F197">
            <v>29.08</v>
          </cell>
          <cell r="G197">
            <v>12.922499999999999</v>
          </cell>
          <cell r="H197">
            <v>42.002499999999998</v>
          </cell>
          <cell r="I197">
            <v>87240</v>
          </cell>
          <cell r="J197">
            <v>38767.5</v>
          </cell>
          <cell r="K197">
            <v>126007.5</v>
          </cell>
        </row>
        <row r="198">
          <cell r="A198" t="str">
            <v>TV18BRDCST</v>
          </cell>
          <cell r="B198">
            <v>8500</v>
          </cell>
          <cell r="C198">
            <v>11.33</v>
          </cell>
          <cell r="D198">
            <v>5</v>
          </cell>
          <cell r="E198">
            <v>16.329999999999998</v>
          </cell>
          <cell r="F198">
            <v>4.16</v>
          </cell>
          <cell r="G198">
            <v>1.835</v>
          </cell>
          <cell r="H198">
            <v>5.9950000000000001</v>
          </cell>
          <cell r="I198">
            <v>35360</v>
          </cell>
          <cell r="J198">
            <v>15597.5</v>
          </cell>
          <cell r="K198">
            <v>50957.5</v>
          </cell>
        </row>
        <row r="199">
          <cell r="A199" t="str">
            <v>TVSMOTOR</v>
          </cell>
          <cell r="B199">
            <v>1000</v>
          </cell>
          <cell r="C199">
            <v>11.28</v>
          </cell>
          <cell r="D199">
            <v>5</v>
          </cell>
          <cell r="E199">
            <v>16.28</v>
          </cell>
          <cell r="F199">
            <v>60.75</v>
          </cell>
          <cell r="G199">
            <v>26.922499999999999</v>
          </cell>
          <cell r="H199">
            <v>87.672499999999999</v>
          </cell>
          <cell r="I199">
            <v>60750</v>
          </cell>
          <cell r="J199">
            <v>26922.5</v>
          </cell>
          <cell r="K199">
            <v>87672.5</v>
          </cell>
        </row>
        <row r="200">
          <cell r="A200" t="str">
            <v>UBL</v>
          </cell>
          <cell r="B200">
            <v>700</v>
          </cell>
          <cell r="C200">
            <v>11.3</v>
          </cell>
          <cell r="D200">
            <v>5</v>
          </cell>
          <cell r="E200">
            <v>16.3</v>
          </cell>
          <cell r="F200">
            <v>145.93</v>
          </cell>
          <cell r="G200">
            <v>64.517499999999998</v>
          </cell>
          <cell r="H200">
            <v>210.44749999999999</v>
          </cell>
          <cell r="I200">
            <v>102151</v>
          </cell>
          <cell r="J200">
            <v>45162.25</v>
          </cell>
          <cell r="K200">
            <v>147313.25</v>
          </cell>
        </row>
        <row r="201">
          <cell r="A201" t="str">
            <v>UJJIVAN</v>
          </cell>
          <cell r="B201">
            <v>1600</v>
          </cell>
          <cell r="C201">
            <v>16.78</v>
          </cell>
          <cell r="D201">
            <v>5</v>
          </cell>
          <cell r="E201">
            <v>21.78</v>
          </cell>
          <cell r="F201">
            <v>36.51</v>
          </cell>
          <cell r="G201">
            <v>10.875</v>
          </cell>
          <cell r="H201">
            <v>47.384999999999998</v>
          </cell>
          <cell r="I201">
            <v>58416</v>
          </cell>
          <cell r="J201">
            <v>17400</v>
          </cell>
          <cell r="K201">
            <v>75816</v>
          </cell>
        </row>
        <row r="202">
          <cell r="A202" t="str">
            <v>ULTRACEMCO</v>
          </cell>
          <cell r="B202">
            <v>200</v>
          </cell>
          <cell r="C202">
            <v>11.31</v>
          </cell>
          <cell r="D202">
            <v>5</v>
          </cell>
          <cell r="E202">
            <v>16.309999999999999</v>
          </cell>
          <cell r="F202">
            <v>448.92</v>
          </cell>
          <cell r="G202">
            <v>198.44749999999999</v>
          </cell>
          <cell r="H202">
            <v>647.36749999999995</v>
          </cell>
          <cell r="I202">
            <v>89784</v>
          </cell>
          <cell r="J202">
            <v>39689.5</v>
          </cell>
          <cell r="K202">
            <v>129473.5</v>
          </cell>
        </row>
        <row r="203">
          <cell r="A203" t="str">
            <v>UNIONBANK</v>
          </cell>
          <cell r="B203">
            <v>6000</v>
          </cell>
          <cell r="C203">
            <v>12.17</v>
          </cell>
          <cell r="D203">
            <v>5</v>
          </cell>
          <cell r="E203">
            <v>17.170000000000002</v>
          </cell>
          <cell r="F203">
            <v>9.73</v>
          </cell>
          <cell r="G203">
            <v>3.9975000000000001</v>
          </cell>
          <cell r="H203">
            <v>13.727499999999999</v>
          </cell>
          <cell r="I203">
            <v>58380</v>
          </cell>
          <cell r="J203">
            <v>23985</v>
          </cell>
          <cell r="K203">
            <v>82365</v>
          </cell>
        </row>
        <row r="204">
          <cell r="A204" t="str">
            <v>UPL</v>
          </cell>
          <cell r="B204">
            <v>1200</v>
          </cell>
          <cell r="C204">
            <v>11.25</v>
          </cell>
          <cell r="D204">
            <v>5</v>
          </cell>
          <cell r="E204">
            <v>16.25</v>
          </cell>
          <cell r="F204">
            <v>85.71</v>
          </cell>
          <cell r="G204">
            <v>38.0625</v>
          </cell>
          <cell r="H204">
            <v>123.77249999999999</v>
          </cell>
          <cell r="I204">
            <v>102852</v>
          </cell>
          <cell r="J204">
            <v>45675</v>
          </cell>
          <cell r="K204">
            <v>148527</v>
          </cell>
        </row>
        <row r="205">
          <cell r="A205" t="str">
            <v>VEDL</v>
          </cell>
          <cell r="B205">
            <v>1750</v>
          </cell>
          <cell r="C205">
            <v>11.31</v>
          </cell>
          <cell r="D205">
            <v>5</v>
          </cell>
          <cell r="E205">
            <v>16.309999999999999</v>
          </cell>
          <cell r="F205">
            <v>23.17</v>
          </cell>
          <cell r="G205">
            <v>10.2425</v>
          </cell>
          <cell r="H205">
            <v>33.412500000000001</v>
          </cell>
          <cell r="I205">
            <v>40548</v>
          </cell>
          <cell r="J205">
            <v>17924.375</v>
          </cell>
          <cell r="K205">
            <v>58472.375</v>
          </cell>
        </row>
        <row r="206">
          <cell r="A206" t="str">
            <v>VGUARD</v>
          </cell>
          <cell r="B206">
            <v>3000</v>
          </cell>
          <cell r="C206">
            <v>11.29</v>
          </cell>
          <cell r="D206">
            <v>5</v>
          </cell>
          <cell r="E206">
            <v>16.29</v>
          </cell>
          <cell r="F206">
            <v>21.79</v>
          </cell>
          <cell r="G206">
            <v>9.6449999999999996</v>
          </cell>
          <cell r="H206">
            <v>31.434999999999999</v>
          </cell>
          <cell r="I206">
            <v>65370</v>
          </cell>
          <cell r="J206">
            <v>28935</v>
          </cell>
          <cell r="K206">
            <v>94305</v>
          </cell>
        </row>
        <row r="207">
          <cell r="A207" t="str">
            <v>VOLTAS</v>
          </cell>
          <cell r="B207">
            <v>1000</v>
          </cell>
          <cell r="C207">
            <v>11.3</v>
          </cell>
          <cell r="D207">
            <v>5</v>
          </cell>
          <cell r="E207">
            <v>16.3</v>
          </cell>
          <cell r="F207">
            <v>61.75</v>
          </cell>
          <cell r="G207">
            <v>27.315000000000001</v>
          </cell>
          <cell r="H207">
            <v>89.064999999999998</v>
          </cell>
          <cell r="I207">
            <v>61750</v>
          </cell>
          <cell r="J207">
            <v>27315</v>
          </cell>
          <cell r="K207">
            <v>89065</v>
          </cell>
        </row>
        <row r="208">
          <cell r="A208" t="str">
            <v>WIPRO</v>
          </cell>
          <cell r="B208">
            <v>2400</v>
          </cell>
          <cell r="C208">
            <v>11.26</v>
          </cell>
          <cell r="D208">
            <v>5</v>
          </cell>
          <cell r="E208">
            <v>16.260000000000002</v>
          </cell>
          <cell r="F208">
            <v>36.270000000000003</v>
          </cell>
          <cell r="G208">
            <v>16.105</v>
          </cell>
          <cell r="H208">
            <v>52.375</v>
          </cell>
          <cell r="I208">
            <v>87048</v>
          </cell>
          <cell r="J208">
            <v>38652</v>
          </cell>
          <cell r="K208">
            <v>125700</v>
          </cell>
        </row>
        <row r="209">
          <cell r="A209" t="str">
            <v>WOCKPHARMA</v>
          </cell>
          <cell r="B209">
            <v>900</v>
          </cell>
          <cell r="C209">
            <v>12.69</v>
          </cell>
          <cell r="D209">
            <v>5</v>
          </cell>
          <cell r="E209">
            <v>17.690000000000001</v>
          </cell>
          <cell r="F209">
            <v>65.11</v>
          </cell>
          <cell r="G209">
            <v>25.65</v>
          </cell>
          <cell r="H209">
            <v>90.76</v>
          </cell>
          <cell r="I209">
            <v>58599</v>
          </cell>
          <cell r="J209">
            <v>23085</v>
          </cell>
          <cell r="K209">
            <v>81684</v>
          </cell>
        </row>
        <row r="210">
          <cell r="A210" t="str">
            <v>YESBANK</v>
          </cell>
          <cell r="B210">
            <v>1750</v>
          </cell>
          <cell r="C210">
            <v>19.010000000000002</v>
          </cell>
          <cell r="D210">
            <v>6.17</v>
          </cell>
          <cell r="E210">
            <v>25.18</v>
          </cell>
          <cell r="F210">
            <v>36.6</v>
          </cell>
          <cell r="G210">
            <v>11.8773</v>
          </cell>
          <cell r="H210">
            <v>48.4773</v>
          </cell>
          <cell r="I210">
            <v>64050</v>
          </cell>
          <cell r="J210">
            <v>20785.1875</v>
          </cell>
          <cell r="K210">
            <v>84835.1875</v>
          </cell>
        </row>
        <row r="211">
          <cell r="A211" t="str">
            <v>ZEEL</v>
          </cell>
          <cell r="B211">
            <v>1300</v>
          </cell>
          <cell r="C211">
            <v>11.26</v>
          </cell>
          <cell r="D211">
            <v>5</v>
          </cell>
          <cell r="E211">
            <v>16.260000000000002</v>
          </cell>
          <cell r="F211">
            <v>50.59</v>
          </cell>
          <cell r="G211">
            <v>22.452500000000001</v>
          </cell>
          <cell r="H211">
            <v>73.042500000000004</v>
          </cell>
          <cell r="I211">
            <v>65767</v>
          </cell>
          <cell r="J211">
            <v>29188.25</v>
          </cell>
          <cell r="K211">
            <v>94955.25</v>
          </cell>
        </row>
        <row r="212">
          <cell r="A212" t="str">
            <v>About Us</v>
          </cell>
          <cell r="B212"/>
          <cell r="C212"/>
          <cell r="D212"/>
          <cell r="E212"/>
          <cell r="F212"/>
          <cell r="G212"/>
          <cell r="H212"/>
          <cell r="I212"/>
          <cell r="J212"/>
          <cell r="K212"/>
        </row>
        <row r="213">
          <cell r="A213" t="str">
            <v>Contact Us</v>
          </cell>
          <cell r="B213"/>
          <cell r="C213"/>
          <cell r="D213"/>
          <cell r="E213"/>
          <cell r="F213"/>
          <cell r="G213"/>
          <cell r="H213"/>
          <cell r="I213"/>
          <cell r="J213"/>
          <cell r="K213"/>
        </row>
        <row r="214">
          <cell r="A214" t="str">
            <v>Disclaimer</v>
          </cell>
          <cell r="B214"/>
          <cell r="C214"/>
          <cell r="D214"/>
          <cell r="E214"/>
          <cell r="F214"/>
          <cell r="G214"/>
          <cell r="H214"/>
          <cell r="I214"/>
          <cell r="J214"/>
          <cell r="K214"/>
        </row>
        <row r="215">
          <cell r="A215" t="str">
            <v>.</v>
          </cell>
          <cell r="B215"/>
          <cell r="C215"/>
          <cell r="D215"/>
          <cell r="E215"/>
          <cell r="F215"/>
          <cell r="G215"/>
          <cell r="H215"/>
          <cell r="I215"/>
          <cell r="J215"/>
          <cell r="K215"/>
        </row>
        <row r="216">
          <cell r="A216" t="str">
            <v>Privacy Policy</v>
          </cell>
          <cell r="B216"/>
          <cell r="C216"/>
          <cell r="D216"/>
          <cell r="E216"/>
          <cell r="F216"/>
          <cell r="G216"/>
          <cell r="H216"/>
          <cell r="I216"/>
          <cell r="J216"/>
          <cell r="K216"/>
        </row>
        <row r="217">
          <cell r="A217" t="str">
            <v>.</v>
          </cell>
          <cell r="B217"/>
          <cell r="C217"/>
          <cell r="D217"/>
          <cell r="E217"/>
          <cell r="F217"/>
          <cell r="G217"/>
          <cell r="H217"/>
          <cell r="I217"/>
          <cell r="J217"/>
          <cell r="K217"/>
        </row>
        <row r="218">
          <cell r="A218" t="str">
            <v>Terms &amp; Conditions</v>
          </cell>
          <cell r="B218"/>
          <cell r="C218"/>
          <cell r="D218"/>
          <cell r="E218"/>
          <cell r="F218"/>
          <cell r="G218"/>
          <cell r="H218"/>
          <cell r="I218"/>
          <cell r="J218"/>
          <cell r="K218"/>
        </row>
        <row r="219">
          <cell r="A219" t="str">
            <v>.</v>
          </cell>
          <cell r="B219"/>
          <cell r="C219"/>
          <cell r="D219"/>
          <cell r="E219"/>
          <cell r="F219"/>
          <cell r="G219"/>
          <cell r="H219"/>
          <cell r="I219"/>
          <cell r="J219"/>
          <cell r="K219"/>
        </row>
        <row r="220">
          <cell r="A220" t="str">
            <v>Downloads</v>
          </cell>
          <cell r="B220"/>
          <cell r="C220"/>
          <cell r="D220"/>
          <cell r="E220"/>
          <cell r="F220"/>
          <cell r="G220"/>
          <cell r="H220"/>
          <cell r="I220"/>
          <cell r="J220"/>
          <cell r="K220"/>
        </row>
        <row r="221">
          <cell r="A221" t="str">
            <v>SEBI Registration Number : INZ000010231, IN DP CDSL | MAFI REGN No.: ARN-104096</v>
          </cell>
          <cell r="B221"/>
          <cell r="C221"/>
          <cell r="D221"/>
          <cell r="E221"/>
          <cell r="F221"/>
          <cell r="G221"/>
          <cell r="H221"/>
          <cell r="I221"/>
          <cell r="J221"/>
          <cell r="K221"/>
        </row>
        <row r="222">
          <cell r="A222" t="str">
            <v>Copyright 2015 Paisa. All Rights Reserved.</v>
          </cell>
          <cell r="B222"/>
          <cell r="C222"/>
          <cell r="D222"/>
          <cell r="E222"/>
          <cell r="F222"/>
          <cell r="G222"/>
          <cell r="H222"/>
          <cell r="I222"/>
          <cell r="J222"/>
          <cell r="K222"/>
        </row>
        <row r="223">
          <cell r="A223" t="str">
            <v>EURINR</v>
          </cell>
          <cell r="B223">
            <v>1</v>
          </cell>
          <cell r="K223">
            <v>1000</v>
          </cell>
        </row>
        <row r="224">
          <cell r="A224" t="str">
            <v>GBPINR</v>
          </cell>
          <cell r="B224">
            <v>1</v>
          </cell>
          <cell r="K224">
            <v>1000</v>
          </cell>
        </row>
        <row r="225">
          <cell r="A225" t="str">
            <v>JPYINR</v>
          </cell>
          <cell r="B225">
            <v>1</v>
          </cell>
          <cell r="K225">
            <v>1000</v>
          </cell>
        </row>
        <row r="226">
          <cell r="A226" t="str">
            <v>USDINR</v>
          </cell>
          <cell r="B226">
            <v>1</v>
          </cell>
          <cell r="K226">
            <v>1000</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NIFTY-I"/>
    </sheetNames>
    <sheetDataSet>
      <sheetData sheetId="0" refreshError="1">
        <row r="20">
          <cell r="C20">
            <v>42794</v>
          </cell>
          <cell r="D20">
            <v>20680.099999999999</v>
          </cell>
          <cell r="E20">
            <v>20746.599999999999</v>
          </cell>
          <cell r="F20">
            <v>20635.099999999999</v>
          </cell>
          <cell r="G20">
            <v>20681.45</v>
          </cell>
          <cell r="H20">
            <v>45510</v>
          </cell>
        </row>
        <row r="21">
          <cell r="C21">
            <v>42795</v>
          </cell>
          <cell r="D21">
            <v>20755.05</v>
          </cell>
          <cell r="E21">
            <v>20900.400000000001</v>
          </cell>
          <cell r="F21">
            <v>20725.05</v>
          </cell>
          <cell r="G21">
            <v>20846.95</v>
          </cell>
          <cell r="H21">
            <v>59898</v>
          </cell>
        </row>
        <row r="22">
          <cell r="C22">
            <v>42796</v>
          </cell>
          <cell r="D22">
            <v>20925.349999999999</v>
          </cell>
          <cell r="E22">
            <v>20957.900000000001</v>
          </cell>
          <cell r="F22">
            <v>20581.45</v>
          </cell>
          <cell r="G22">
            <v>20631.25</v>
          </cell>
          <cell r="H22">
            <v>105646</v>
          </cell>
        </row>
        <row r="23">
          <cell r="C23">
            <v>42797</v>
          </cell>
          <cell r="D23">
            <v>20511.099999999999</v>
          </cell>
          <cell r="E23">
            <v>20619.849999999999</v>
          </cell>
          <cell r="F23">
            <v>20494.599999999999</v>
          </cell>
          <cell r="G23">
            <v>20579.900000000001</v>
          </cell>
          <cell r="H23">
            <v>53163</v>
          </cell>
        </row>
        <row r="24">
          <cell r="C24">
            <v>42800</v>
          </cell>
          <cell r="D24">
            <v>20625.75</v>
          </cell>
          <cell r="E24">
            <v>20803.400000000001</v>
          </cell>
          <cell r="F24">
            <v>20610.2</v>
          </cell>
          <cell r="G24">
            <v>20734.150000000001</v>
          </cell>
          <cell r="H24">
            <v>59768</v>
          </cell>
        </row>
        <row r="25">
          <cell r="C25">
            <v>42801</v>
          </cell>
          <cell r="D25">
            <v>20735.099999999999</v>
          </cell>
          <cell r="E25">
            <v>20767.349999999999</v>
          </cell>
          <cell r="F25">
            <v>20660</v>
          </cell>
          <cell r="G25">
            <v>20718.05</v>
          </cell>
          <cell r="H25">
            <v>38252</v>
          </cell>
        </row>
        <row r="26">
          <cell r="C26">
            <v>42802</v>
          </cell>
          <cell r="D26">
            <v>20699.900000000001</v>
          </cell>
          <cell r="E26">
            <v>20787.7</v>
          </cell>
          <cell r="F26">
            <v>20588.099999999999</v>
          </cell>
          <cell r="G26">
            <v>20756.599999999999</v>
          </cell>
          <cell r="H26">
            <v>87761</v>
          </cell>
        </row>
        <row r="27">
          <cell r="C27">
            <v>42803</v>
          </cell>
          <cell r="D27">
            <v>20680</v>
          </cell>
          <cell r="E27">
            <v>20864.3</v>
          </cell>
          <cell r="F27">
            <v>20649</v>
          </cell>
          <cell r="G27">
            <v>20793.25</v>
          </cell>
          <cell r="H27">
            <v>62955</v>
          </cell>
        </row>
        <row r="28">
          <cell r="C28">
            <v>42804</v>
          </cell>
          <cell r="D28">
            <v>20889.400000000001</v>
          </cell>
          <cell r="E28">
            <v>20933.400000000001</v>
          </cell>
          <cell r="F28">
            <v>20703.3</v>
          </cell>
          <cell r="G28">
            <v>20797.8</v>
          </cell>
          <cell r="H28">
            <v>67509</v>
          </cell>
        </row>
        <row r="29">
          <cell r="C29">
            <v>42808</v>
          </cell>
          <cell r="D29">
            <v>21246</v>
          </cell>
          <cell r="E29">
            <v>21326.3</v>
          </cell>
          <cell r="F29">
            <v>21100</v>
          </cell>
          <cell r="G29">
            <v>21146.7</v>
          </cell>
          <cell r="H29">
            <v>78502</v>
          </cell>
        </row>
        <row r="30">
          <cell r="C30">
            <v>42809</v>
          </cell>
          <cell r="D30">
            <v>21152.65</v>
          </cell>
          <cell r="E30">
            <v>21285</v>
          </cell>
          <cell r="F30">
            <v>21116.65</v>
          </cell>
          <cell r="G30">
            <v>21222.6</v>
          </cell>
          <cell r="H30">
            <v>56198</v>
          </cell>
        </row>
        <row r="31">
          <cell r="C31">
            <v>42810</v>
          </cell>
          <cell r="D31">
            <v>21278.65</v>
          </cell>
          <cell r="E31">
            <v>21347.1</v>
          </cell>
          <cell r="F31">
            <v>21250.05</v>
          </cell>
          <cell r="G31">
            <v>21310.799999999999</v>
          </cell>
          <cell r="H31">
            <v>55895</v>
          </cell>
        </row>
        <row r="32">
          <cell r="C32">
            <v>42811</v>
          </cell>
          <cell r="D32">
            <v>21678.5</v>
          </cell>
          <cell r="E32">
            <v>21678.5</v>
          </cell>
          <cell r="F32">
            <v>21190.95</v>
          </cell>
          <cell r="G32">
            <v>21234.5</v>
          </cell>
          <cell r="H32">
            <v>55505</v>
          </cell>
        </row>
        <row r="33">
          <cell r="C33">
            <v>42814</v>
          </cell>
          <cell r="D33">
            <v>21206</v>
          </cell>
          <cell r="E33">
            <v>21235.95</v>
          </cell>
          <cell r="F33">
            <v>21140</v>
          </cell>
          <cell r="G33">
            <v>21182.55</v>
          </cell>
          <cell r="H33">
            <v>32204</v>
          </cell>
        </row>
        <row r="34">
          <cell r="C34">
            <v>42815</v>
          </cell>
          <cell r="D34">
            <v>21153.7</v>
          </cell>
          <cell r="E34">
            <v>21213</v>
          </cell>
          <cell r="F34">
            <v>21037.55</v>
          </cell>
          <cell r="G34">
            <v>21090.75</v>
          </cell>
          <cell r="H34">
            <v>54610</v>
          </cell>
        </row>
        <row r="35">
          <cell r="C35">
            <v>42816</v>
          </cell>
          <cell r="D35">
            <v>21017.35</v>
          </cell>
          <cell r="E35">
            <v>21017.35</v>
          </cell>
          <cell r="F35">
            <v>20827.3</v>
          </cell>
          <cell r="G35">
            <v>20849.099999999999</v>
          </cell>
          <cell r="H35">
            <v>62985</v>
          </cell>
        </row>
        <row r="36">
          <cell r="C36">
            <v>42817</v>
          </cell>
          <cell r="D36">
            <v>20870.150000000001</v>
          </cell>
          <cell r="E36">
            <v>20990</v>
          </cell>
          <cell r="F36">
            <v>20822.5</v>
          </cell>
          <cell r="G36">
            <v>20952.75</v>
          </cell>
          <cell r="H36">
            <v>58110</v>
          </cell>
        </row>
        <row r="37">
          <cell r="C37">
            <v>42818</v>
          </cell>
          <cell r="D37">
            <v>20989.75</v>
          </cell>
          <cell r="E37">
            <v>21206.6</v>
          </cell>
          <cell r="F37">
            <v>20962.95</v>
          </cell>
          <cell r="G37">
            <v>21140.65</v>
          </cell>
          <cell r="H37">
            <v>68906</v>
          </cell>
        </row>
        <row r="38">
          <cell r="C38">
            <v>42821</v>
          </cell>
          <cell r="D38">
            <v>21001.5</v>
          </cell>
          <cell r="E38">
            <v>21175</v>
          </cell>
          <cell r="F38">
            <v>20992.25</v>
          </cell>
          <cell r="G38">
            <v>21101.95</v>
          </cell>
          <cell r="H38">
            <v>61884</v>
          </cell>
        </row>
        <row r="39">
          <cell r="C39">
            <v>42822</v>
          </cell>
          <cell r="D39">
            <v>21225.25</v>
          </cell>
          <cell r="E39">
            <v>21265</v>
          </cell>
          <cell r="F39">
            <v>21150</v>
          </cell>
          <cell r="G39">
            <v>21235.1</v>
          </cell>
          <cell r="H39">
            <v>62454</v>
          </cell>
        </row>
        <row r="40">
          <cell r="C40">
            <v>42823</v>
          </cell>
          <cell r="D40">
            <v>21277.85</v>
          </cell>
          <cell r="E40">
            <v>21422.6</v>
          </cell>
          <cell r="F40">
            <v>21256.65</v>
          </cell>
          <cell r="G40">
            <v>21403.3</v>
          </cell>
          <cell r="H40">
            <v>63945</v>
          </cell>
        </row>
        <row r="41">
          <cell r="C41">
            <v>42824</v>
          </cell>
          <cell r="D41">
            <v>21370.85</v>
          </cell>
          <cell r="E41">
            <v>21654</v>
          </cell>
          <cell r="F41">
            <v>21370.2</v>
          </cell>
          <cell r="G41">
            <v>21609.35</v>
          </cell>
          <cell r="H41">
            <v>83686</v>
          </cell>
        </row>
        <row r="42">
          <cell r="C42">
            <v>42825</v>
          </cell>
          <cell r="D42">
            <v>21512.25</v>
          </cell>
          <cell r="E42">
            <v>21603.4</v>
          </cell>
          <cell r="F42">
            <v>21465.5</v>
          </cell>
          <cell r="G42">
            <v>21488.15</v>
          </cell>
          <cell r="H42">
            <v>47736</v>
          </cell>
        </row>
        <row r="43">
          <cell r="C43">
            <v>42828</v>
          </cell>
          <cell r="D43">
            <v>21519.9</v>
          </cell>
          <cell r="E43">
            <v>21588.7</v>
          </cell>
          <cell r="F43">
            <v>21451</v>
          </cell>
          <cell r="G43">
            <v>21576.799999999999</v>
          </cell>
          <cell r="H43">
            <v>42090</v>
          </cell>
        </row>
        <row r="44">
          <cell r="C44">
            <v>42830</v>
          </cell>
          <cell r="D44">
            <v>21596.15</v>
          </cell>
          <cell r="E44">
            <v>21729.65</v>
          </cell>
          <cell r="F44">
            <v>21535.1</v>
          </cell>
          <cell r="G44">
            <v>21683.599999999999</v>
          </cell>
          <cell r="H44">
            <v>54494</v>
          </cell>
        </row>
        <row r="45">
          <cell r="C45">
            <v>42831</v>
          </cell>
          <cell r="D45">
            <v>21594</v>
          </cell>
          <cell r="E45">
            <v>21723.25</v>
          </cell>
          <cell r="F45">
            <v>21501</v>
          </cell>
          <cell r="G45">
            <v>21642.799999999999</v>
          </cell>
          <cell r="H45">
            <v>77061</v>
          </cell>
        </row>
        <row r="46">
          <cell r="C46">
            <v>42832</v>
          </cell>
          <cell r="D46">
            <v>21555.35</v>
          </cell>
          <cell r="E46">
            <v>21620</v>
          </cell>
          <cell r="F46">
            <v>21411</v>
          </cell>
          <cell r="G46">
            <v>21442.15</v>
          </cell>
          <cell r="H46">
            <v>60287</v>
          </cell>
        </row>
        <row r="47">
          <cell r="C47">
            <v>42835</v>
          </cell>
          <cell r="D47">
            <v>21355.5</v>
          </cell>
          <cell r="E47">
            <v>21585.95</v>
          </cell>
          <cell r="F47">
            <v>21355.5</v>
          </cell>
          <cell r="G47">
            <v>21558.85</v>
          </cell>
          <cell r="H47">
            <v>52254</v>
          </cell>
        </row>
        <row r="48">
          <cell r="C48">
            <v>42836</v>
          </cell>
          <cell r="D48">
            <v>21498.3</v>
          </cell>
          <cell r="E48">
            <v>21783.75</v>
          </cell>
          <cell r="F48">
            <v>21498.3</v>
          </cell>
          <cell r="G48">
            <v>21758.55</v>
          </cell>
          <cell r="H48">
            <v>67026</v>
          </cell>
        </row>
        <row r="49">
          <cell r="C49">
            <v>42837</v>
          </cell>
          <cell r="D49">
            <v>21735.200000000001</v>
          </cell>
          <cell r="E49">
            <v>21813.05</v>
          </cell>
          <cell r="F49">
            <v>21556.85</v>
          </cell>
          <cell r="G49">
            <v>21710.2</v>
          </cell>
          <cell r="H49">
            <v>90876</v>
          </cell>
        </row>
        <row r="50">
          <cell r="C50">
            <v>42838</v>
          </cell>
          <cell r="D50">
            <v>21700.25</v>
          </cell>
          <cell r="E50">
            <v>21790</v>
          </cell>
          <cell r="F50">
            <v>21661</v>
          </cell>
          <cell r="G50">
            <v>21733</v>
          </cell>
          <cell r="H50">
            <v>56010</v>
          </cell>
        </row>
        <row r="51">
          <cell r="C51">
            <v>42842</v>
          </cell>
          <cell r="D51">
            <v>21750.1</v>
          </cell>
          <cell r="E51">
            <v>21756.95</v>
          </cell>
          <cell r="F51">
            <v>21621</v>
          </cell>
          <cell r="G51">
            <v>21702.05</v>
          </cell>
          <cell r="H51">
            <v>41696</v>
          </cell>
        </row>
        <row r="52">
          <cell r="C52">
            <v>42843</v>
          </cell>
          <cell r="D52">
            <v>21745</v>
          </cell>
          <cell r="E52">
            <v>21973.5</v>
          </cell>
          <cell r="F52">
            <v>21670.9</v>
          </cell>
          <cell r="G52">
            <v>21692.95</v>
          </cell>
          <cell r="H52">
            <v>97562</v>
          </cell>
        </row>
        <row r="53">
          <cell r="C53">
            <v>42844</v>
          </cell>
          <cell r="D53">
            <v>21700.25</v>
          </cell>
          <cell r="E53">
            <v>21740.15</v>
          </cell>
          <cell r="F53">
            <v>21525</v>
          </cell>
          <cell r="G53">
            <v>21617.200000000001</v>
          </cell>
          <cell r="H53">
            <v>78087</v>
          </cell>
        </row>
        <row r="54">
          <cell r="C54">
            <v>42845</v>
          </cell>
          <cell r="D54">
            <v>21525.5</v>
          </cell>
          <cell r="E54">
            <v>21599.9</v>
          </cell>
          <cell r="F54">
            <v>21492.05</v>
          </cell>
          <cell r="G54">
            <v>21557.4</v>
          </cell>
          <cell r="H54">
            <v>71587</v>
          </cell>
        </row>
        <row r="55">
          <cell r="C55">
            <v>42846</v>
          </cell>
          <cell r="D55">
            <v>21610</v>
          </cell>
          <cell r="E55">
            <v>21660.400000000001</v>
          </cell>
          <cell r="F55">
            <v>21381</v>
          </cell>
          <cell r="G55">
            <v>21541.45</v>
          </cell>
          <cell r="H55">
            <v>79351</v>
          </cell>
        </row>
        <row r="56">
          <cell r="C56">
            <v>42849</v>
          </cell>
          <cell r="D56">
            <v>21590.05</v>
          </cell>
          <cell r="E56">
            <v>21847.25</v>
          </cell>
          <cell r="F56">
            <v>21567.599999999999</v>
          </cell>
          <cell r="G56">
            <v>21830.15</v>
          </cell>
          <cell r="H56">
            <v>77014</v>
          </cell>
        </row>
        <row r="57">
          <cell r="C57">
            <v>42850</v>
          </cell>
          <cell r="D57">
            <v>21965</v>
          </cell>
          <cell r="E57">
            <v>22023.85</v>
          </cell>
          <cell r="F57">
            <v>21860.1</v>
          </cell>
          <cell r="G57">
            <v>21995</v>
          </cell>
          <cell r="H57">
            <v>68528</v>
          </cell>
        </row>
        <row r="58">
          <cell r="C58">
            <v>42851</v>
          </cell>
          <cell r="D58">
            <v>22050.15</v>
          </cell>
          <cell r="E58">
            <v>22244</v>
          </cell>
          <cell r="F58">
            <v>22027.55</v>
          </cell>
          <cell r="G58">
            <v>22210.6</v>
          </cell>
          <cell r="H58">
            <v>84104</v>
          </cell>
        </row>
        <row r="59">
          <cell r="C59">
            <v>42852</v>
          </cell>
          <cell r="D59">
            <v>22245.95</v>
          </cell>
          <cell r="E59">
            <v>22374.9</v>
          </cell>
          <cell r="F59">
            <v>22163.25</v>
          </cell>
          <cell r="G59">
            <v>22329.5</v>
          </cell>
          <cell r="H59">
            <v>79573</v>
          </cell>
        </row>
        <row r="60">
          <cell r="C60">
            <v>42853</v>
          </cell>
          <cell r="D60">
            <v>22275</v>
          </cell>
          <cell r="E60">
            <v>22391.9</v>
          </cell>
          <cell r="F60">
            <v>22203.8</v>
          </cell>
          <cell r="G60">
            <v>22366.400000000001</v>
          </cell>
          <cell r="H60">
            <v>60731</v>
          </cell>
        </row>
        <row r="61">
          <cell r="C61">
            <v>42857</v>
          </cell>
          <cell r="D61">
            <v>22369.95</v>
          </cell>
          <cell r="E61">
            <v>22485.3</v>
          </cell>
          <cell r="F61">
            <v>22291.9</v>
          </cell>
          <cell r="G61">
            <v>22394.35</v>
          </cell>
          <cell r="H61">
            <v>61972</v>
          </cell>
        </row>
        <row r="62">
          <cell r="C62">
            <v>42858</v>
          </cell>
          <cell r="D62">
            <v>22487.8</v>
          </cell>
          <cell r="E62">
            <v>22487.8</v>
          </cell>
          <cell r="F62">
            <v>22301.200000000001</v>
          </cell>
          <cell r="G62">
            <v>22348.3</v>
          </cell>
          <cell r="H62">
            <v>51788</v>
          </cell>
        </row>
        <row r="63">
          <cell r="C63">
            <v>42859</v>
          </cell>
          <cell r="D63">
            <v>22618</v>
          </cell>
          <cell r="E63">
            <v>22768.25</v>
          </cell>
          <cell r="F63">
            <v>22460</v>
          </cell>
          <cell r="G63">
            <v>22730.15</v>
          </cell>
          <cell r="H63">
            <v>95602</v>
          </cell>
        </row>
        <row r="64">
          <cell r="C64">
            <v>42860</v>
          </cell>
          <cell r="D64">
            <v>22799.5</v>
          </cell>
          <cell r="E64">
            <v>22818</v>
          </cell>
          <cell r="F64">
            <v>22555</v>
          </cell>
          <cell r="G64">
            <v>22652.35</v>
          </cell>
          <cell r="H64">
            <v>89098</v>
          </cell>
        </row>
        <row r="65">
          <cell r="C65">
            <v>42863</v>
          </cell>
          <cell r="D65">
            <v>22709.95</v>
          </cell>
          <cell r="E65">
            <v>22838.35</v>
          </cell>
          <cell r="F65">
            <v>22642.25</v>
          </cell>
          <cell r="G65">
            <v>22785.35</v>
          </cell>
          <cell r="H65">
            <v>50206</v>
          </cell>
        </row>
        <row r="66">
          <cell r="C66">
            <v>42864</v>
          </cell>
          <cell r="D66">
            <v>22750.55</v>
          </cell>
          <cell r="E66">
            <v>22830</v>
          </cell>
          <cell r="F66">
            <v>22691.4</v>
          </cell>
          <cell r="G66">
            <v>22762.85</v>
          </cell>
          <cell r="H66">
            <v>48488</v>
          </cell>
        </row>
        <row r="67">
          <cell r="C67">
            <v>42865</v>
          </cell>
          <cell r="D67">
            <v>22800</v>
          </cell>
          <cell r="E67">
            <v>22878.5</v>
          </cell>
          <cell r="F67">
            <v>22770.3</v>
          </cell>
          <cell r="G67">
            <v>22860.9</v>
          </cell>
          <cell r="H67">
            <v>53021</v>
          </cell>
        </row>
        <row r="68">
          <cell r="C68">
            <v>42866</v>
          </cell>
          <cell r="D68">
            <v>22900.1</v>
          </cell>
          <cell r="E68">
            <v>22985.8</v>
          </cell>
          <cell r="F68">
            <v>22802.35</v>
          </cell>
          <cell r="G68">
            <v>22842.15</v>
          </cell>
          <cell r="H68">
            <v>62222</v>
          </cell>
        </row>
        <row r="69">
          <cell r="C69">
            <v>42867</v>
          </cell>
          <cell r="D69">
            <v>22847</v>
          </cell>
          <cell r="E69">
            <v>22847</v>
          </cell>
          <cell r="F69">
            <v>22582.3</v>
          </cell>
          <cell r="G69">
            <v>22669.35</v>
          </cell>
          <cell r="H69">
            <v>70417</v>
          </cell>
        </row>
        <row r="70">
          <cell r="C70">
            <v>42870</v>
          </cell>
          <cell r="D70">
            <v>22741.05</v>
          </cell>
          <cell r="E70">
            <v>22856.400000000001</v>
          </cell>
          <cell r="F70">
            <v>22722.2</v>
          </cell>
          <cell r="G70">
            <v>22827.35</v>
          </cell>
          <cell r="H70">
            <v>49478</v>
          </cell>
        </row>
        <row r="71">
          <cell r="C71">
            <v>42871</v>
          </cell>
          <cell r="D71">
            <v>22825.05</v>
          </cell>
          <cell r="E71">
            <v>22954.35</v>
          </cell>
          <cell r="F71">
            <v>22751.55</v>
          </cell>
          <cell r="G71">
            <v>22941.05</v>
          </cell>
          <cell r="H71">
            <v>67117</v>
          </cell>
        </row>
        <row r="72">
          <cell r="C72">
            <v>42872</v>
          </cell>
          <cell r="D72">
            <v>22912.75</v>
          </cell>
          <cell r="E72">
            <v>22959.95</v>
          </cell>
          <cell r="F72">
            <v>22856</v>
          </cell>
          <cell r="G72">
            <v>22930.9</v>
          </cell>
          <cell r="H72">
            <v>46048</v>
          </cell>
        </row>
        <row r="73">
          <cell r="C73">
            <v>42873</v>
          </cell>
          <cell r="D73">
            <v>22765</v>
          </cell>
          <cell r="E73">
            <v>22839</v>
          </cell>
          <cell r="F73">
            <v>22676.45</v>
          </cell>
          <cell r="G73">
            <v>22708.3</v>
          </cell>
          <cell r="H73">
            <v>69918</v>
          </cell>
        </row>
        <row r="74">
          <cell r="C74">
            <v>42877</v>
          </cell>
          <cell r="D74">
            <v>22920</v>
          </cell>
          <cell r="E74">
            <v>22920</v>
          </cell>
          <cell r="F74">
            <v>22657.200000000001</v>
          </cell>
          <cell r="G74">
            <v>22677.5</v>
          </cell>
          <cell r="H74">
            <v>61012</v>
          </cell>
        </row>
        <row r="75">
          <cell r="C75">
            <v>42878</v>
          </cell>
          <cell r="D75">
            <v>22695</v>
          </cell>
          <cell r="E75">
            <v>22740</v>
          </cell>
          <cell r="F75">
            <v>22500</v>
          </cell>
          <cell r="G75">
            <v>22574.7</v>
          </cell>
          <cell r="H75">
            <v>90761</v>
          </cell>
        </row>
        <row r="76">
          <cell r="C76">
            <v>42879</v>
          </cell>
          <cell r="D76">
            <v>22630.05</v>
          </cell>
          <cell r="E76">
            <v>22659.599999999999</v>
          </cell>
          <cell r="F76">
            <v>22460</v>
          </cell>
          <cell r="G76">
            <v>22533.25</v>
          </cell>
          <cell r="H76">
            <v>69554</v>
          </cell>
        </row>
        <row r="77">
          <cell r="C77">
            <v>42880</v>
          </cell>
          <cell r="D77">
            <v>22531.15</v>
          </cell>
          <cell r="E77">
            <v>23238</v>
          </cell>
          <cell r="F77">
            <v>22517.85</v>
          </cell>
          <cell r="G77">
            <v>23195.35</v>
          </cell>
          <cell r="H77">
            <v>140932</v>
          </cell>
        </row>
        <row r="78">
          <cell r="C78">
            <v>42881</v>
          </cell>
          <cell r="D78">
            <v>23020</v>
          </cell>
          <cell r="E78">
            <v>23320</v>
          </cell>
          <cell r="F78">
            <v>23000</v>
          </cell>
          <cell r="G78">
            <v>23256.95</v>
          </cell>
          <cell r="H78">
            <v>72473</v>
          </cell>
        </row>
        <row r="79">
          <cell r="C79">
            <v>42884</v>
          </cell>
          <cell r="D79">
            <v>23220.05</v>
          </cell>
          <cell r="E79">
            <v>23380</v>
          </cell>
          <cell r="F79">
            <v>23102</v>
          </cell>
          <cell r="G79">
            <v>23135.95</v>
          </cell>
          <cell r="H79">
            <v>73645</v>
          </cell>
        </row>
        <row r="80">
          <cell r="C80">
            <v>42885</v>
          </cell>
          <cell r="D80">
            <v>23102.05</v>
          </cell>
          <cell r="E80">
            <v>23273.75</v>
          </cell>
          <cell r="F80">
            <v>23050.55</v>
          </cell>
          <cell r="G80">
            <v>23251.5</v>
          </cell>
          <cell r="H80">
            <v>52489</v>
          </cell>
        </row>
        <row r="81">
          <cell r="C81">
            <v>42886</v>
          </cell>
          <cell r="D81">
            <v>23255</v>
          </cell>
          <cell r="E81">
            <v>23342.3</v>
          </cell>
          <cell r="F81">
            <v>23180</v>
          </cell>
          <cell r="G81">
            <v>23321.75</v>
          </cell>
          <cell r="H81">
            <v>61043</v>
          </cell>
        </row>
        <row r="82">
          <cell r="C82">
            <v>42887</v>
          </cell>
          <cell r="D82">
            <v>23300.25</v>
          </cell>
          <cell r="E82">
            <v>23341.599999999999</v>
          </cell>
          <cell r="F82">
            <v>23185.1</v>
          </cell>
          <cell r="G82">
            <v>23292.05</v>
          </cell>
          <cell r="H82">
            <v>64979</v>
          </cell>
        </row>
        <row r="83">
          <cell r="C83">
            <v>42888</v>
          </cell>
          <cell r="D83">
            <v>23389.5</v>
          </cell>
          <cell r="E83">
            <v>23399</v>
          </cell>
          <cell r="F83">
            <v>23280</v>
          </cell>
          <cell r="G83">
            <v>23341.75</v>
          </cell>
          <cell r="H83">
            <v>47781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FTY-I"/>
    </sheetNames>
    <sheetDataSet>
      <sheetData sheetId="0" refreshError="1">
        <row r="20">
          <cell r="C20">
            <v>42794</v>
          </cell>
          <cell r="D20">
            <v>8921.5</v>
          </cell>
          <cell r="E20">
            <v>8938.4500000000007</v>
          </cell>
          <cell r="F20">
            <v>8884.15</v>
          </cell>
          <cell r="G20">
            <v>8909.35</v>
          </cell>
          <cell r="H20">
            <v>88565</v>
          </cell>
        </row>
        <row r="21">
          <cell r="C21">
            <v>42795</v>
          </cell>
          <cell r="D21">
            <v>8924</v>
          </cell>
          <cell r="E21">
            <v>8994</v>
          </cell>
          <cell r="F21">
            <v>8921.7000000000007</v>
          </cell>
          <cell r="G21">
            <v>8976.0499999999993</v>
          </cell>
          <cell r="H21">
            <v>113075</v>
          </cell>
        </row>
        <row r="22">
          <cell r="C22">
            <v>42796</v>
          </cell>
          <cell r="D22">
            <v>9001</v>
          </cell>
          <cell r="E22">
            <v>9018.2999999999993</v>
          </cell>
          <cell r="F22">
            <v>8898.25</v>
          </cell>
          <cell r="G22">
            <v>8917.2000000000007</v>
          </cell>
          <cell r="H22">
            <v>146853</v>
          </cell>
        </row>
        <row r="23">
          <cell r="C23">
            <v>42797</v>
          </cell>
          <cell r="D23">
            <v>8884</v>
          </cell>
          <cell r="E23">
            <v>8933</v>
          </cell>
          <cell r="F23">
            <v>8872.7000000000007</v>
          </cell>
          <cell r="G23">
            <v>8922.7999999999993</v>
          </cell>
          <cell r="H23">
            <v>110827</v>
          </cell>
        </row>
        <row r="24">
          <cell r="C24">
            <v>42800</v>
          </cell>
          <cell r="D24">
            <v>8935</v>
          </cell>
          <cell r="E24">
            <v>8985</v>
          </cell>
          <cell r="F24">
            <v>8928.4500000000007</v>
          </cell>
          <cell r="G24">
            <v>8979.15</v>
          </cell>
          <cell r="H24">
            <v>92519</v>
          </cell>
        </row>
        <row r="25">
          <cell r="C25">
            <v>42801</v>
          </cell>
          <cell r="D25">
            <v>8986.9</v>
          </cell>
          <cell r="E25">
            <v>8988.9</v>
          </cell>
          <cell r="F25">
            <v>8960.0499999999993</v>
          </cell>
          <cell r="G25">
            <v>8974.1</v>
          </cell>
          <cell r="H25">
            <v>59040</v>
          </cell>
        </row>
        <row r="26">
          <cell r="C26">
            <v>42802</v>
          </cell>
          <cell r="D26">
            <v>8974</v>
          </cell>
          <cell r="E26">
            <v>8980</v>
          </cell>
          <cell r="F26">
            <v>8907.65</v>
          </cell>
          <cell r="G26">
            <v>8952.1</v>
          </cell>
          <cell r="H26">
            <v>118774</v>
          </cell>
        </row>
        <row r="27">
          <cell r="C27">
            <v>42803</v>
          </cell>
          <cell r="D27">
            <v>8923</v>
          </cell>
          <cell r="E27">
            <v>8977.7999999999993</v>
          </cell>
          <cell r="F27">
            <v>8912.65</v>
          </cell>
          <cell r="G27">
            <v>8954.5</v>
          </cell>
          <cell r="H27">
            <v>93016</v>
          </cell>
        </row>
        <row r="28">
          <cell r="C28">
            <v>42804</v>
          </cell>
          <cell r="D28">
            <v>8975</v>
          </cell>
          <cell r="E28">
            <v>9002.9</v>
          </cell>
          <cell r="F28">
            <v>8916.4</v>
          </cell>
          <cell r="G28">
            <v>8958.7000000000007</v>
          </cell>
          <cell r="H28">
            <v>115008</v>
          </cell>
        </row>
        <row r="29">
          <cell r="C29">
            <v>42808</v>
          </cell>
          <cell r="D29">
            <v>9145</v>
          </cell>
          <cell r="E29">
            <v>9158</v>
          </cell>
          <cell r="F29">
            <v>9077.6</v>
          </cell>
          <cell r="G29">
            <v>9103</v>
          </cell>
          <cell r="H29">
            <v>190327</v>
          </cell>
        </row>
        <row r="30">
          <cell r="C30">
            <v>42809</v>
          </cell>
          <cell r="D30">
            <v>9116.2000000000007</v>
          </cell>
          <cell r="E30">
            <v>9130</v>
          </cell>
          <cell r="F30">
            <v>9101.5</v>
          </cell>
          <cell r="G30">
            <v>9109.2999999999993</v>
          </cell>
          <cell r="H30">
            <v>73550</v>
          </cell>
        </row>
        <row r="31">
          <cell r="C31">
            <v>42810</v>
          </cell>
          <cell r="D31">
            <v>9156</v>
          </cell>
          <cell r="E31">
            <v>9181.25</v>
          </cell>
          <cell r="F31">
            <v>9152.1</v>
          </cell>
          <cell r="G31">
            <v>9176.15</v>
          </cell>
          <cell r="H31">
            <v>99303</v>
          </cell>
        </row>
        <row r="32">
          <cell r="C32">
            <v>42811</v>
          </cell>
          <cell r="D32">
            <v>9212.85</v>
          </cell>
          <cell r="E32">
            <v>9212.85</v>
          </cell>
          <cell r="F32">
            <v>9165.2999999999993</v>
          </cell>
          <cell r="G32">
            <v>9171.75</v>
          </cell>
          <cell r="H32">
            <v>111152</v>
          </cell>
        </row>
        <row r="33">
          <cell r="C33">
            <v>42814</v>
          </cell>
          <cell r="D33">
            <v>9164.9500000000007</v>
          </cell>
          <cell r="E33">
            <v>9164.9500000000007</v>
          </cell>
          <cell r="F33">
            <v>9142</v>
          </cell>
          <cell r="G33">
            <v>9153.5499999999993</v>
          </cell>
          <cell r="H33">
            <v>73494</v>
          </cell>
        </row>
        <row r="34">
          <cell r="C34">
            <v>42815</v>
          </cell>
          <cell r="D34">
            <v>9165.15</v>
          </cell>
          <cell r="E34">
            <v>9171.85</v>
          </cell>
          <cell r="F34">
            <v>9113.65</v>
          </cell>
          <cell r="G34">
            <v>9143</v>
          </cell>
          <cell r="H34">
            <v>100487</v>
          </cell>
        </row>
        <row r="35">
          <cell r="C35">
            <v>42816</v>
          </cell>
          <cell r="D35">
            <v>9081</v>
          </cell>
          <cell r="E35">
            <v>9130</v>
          </cell>
          <cell r="F35">
            <v>9045</v>
          </cell>
          <cell r="G35">
            <v>9050.4</v>
          </cell>
          <cell r="H35">
            <v>142176</v>
          </cell>
        </row>
        <row r="36">
          <cell r="C36">
            <v>42817</v>
          </cell>
          <cell r="D36">
            <v>9068.25</v>
          </cell>
          <cell r="E36">
            <v>9121.4</v>
          </cell>
          <cell r="F36">
            <v>9061.0499999999993</v>
          </cell>
          <cell r="G36">
            <v>9107.65</v>
          </cell>
          <cell r="H36">
            <v>97203</v>
          </cell>
        </row>
        <row r="37">
          <cell r="C37">
            <v>42818</v>
          </cell>
          <cell r="D37">
            <v>9117.85</v>
          </cell>
          <cell r="E37">
            <v>9146.6</v>
          </cell>
          <cell r="F37">
            <v>9099.5</v>
          </cell>
          <cell r="G37">
            <v>9118.2999999999993</v>
          </cell>
          <cell r="H37">
            <v>93896</v>
          </cell>
        </row>
        <row r="38">
          <cell r="C38">
            <v>42821</v>
          </cell>
          <cell r="D38">
            <v>9109</v>
          </cell>
          <cell r="E38">
            <v>9111.0499999999993</v>
          </cell>
          <cell r="F38">
            <v>9035.25</v>
          </cell>
          <cell r="G38">
            <v>9067.9500000000007</v>
          </cell>
          <cell r="H38">
            <v>171644</v>
          </cell>
        </row>
        <row r="39">
          <cell r="C39">
            <v>42822</v>
          </cell>
          <cell r="D39">
            <v>9095.15</v>
          </cell>
          <cell r="E39">
            <v>9123.7999999999993</v>
          </cell>
          <cell r="F39">
            <v>9085.4</v>
          </cell>
          <cell r="G39">
            <v>9109.6</v>
          </cell>
          <cell r="H39">
            <v>136796</v>
          </cell>
        </row>
        <row r="40">
          <cell r="C40">
            <v>42823</v>
          </cell>
          <cell r="D40">
            <v>9140.5499999999993</v>
          </cell>
          <cell r="E40">
            <v>9151.4</v>
          </cell>
          <cell r="F40">
            <v>9118.7999999999993</v>
          </cell>
          <cell r="G40">
            <v>9142.85</v>
          </cell>
          <cell r="H40">
            <v>141173</v>
          </cell>
        </row>
        <row r="41">
          <cell r="C41">
            <v>42824</v>
          </cell>
          <cell r="D41">
            <v>9150.35</v>
          </cell>
          <cell r="E41">
            <v>9178</v>
          </cell>
          <cell r="F41">
            <v>9140.0499999999993</v>
          </cell>
          <cell r="G41">
            <v>9171.9500000000007</v>
          </cell>
          <cell r="H41">
            <v>156367</v>
          </cell>
        </row>
        <row r="42">
          <cell r="C42">
            <v>42825</v>
          </cell>
          <cell r="D42">
            <v>9185.25</v>
          </cell>
          <cell r="E42">
            <v>9208.4</v>
          </cell>
          <cell r="F42">
            <v>9176</v>
          </cell>
          <cell r="G42">
            <v>9197.75</v>
          </cell>
          <cell r="H42">
            <v>96750</v>
          </cell>
        </row>
        <row r="43">
          <cell r="C43">
            <v>42828</v>
          </cell>
          <cell r="D43">
            <v>9221.65</v>
          </cell>
          <cell r="E43">
            <v>9274</v>
          </cell>
          <cell r="F43">
            <v>9203.5</v>
          </cell>
          <cell r="G43">
            <v>9263.25</v>
          </cell>
          <cell r="H43">
            <v>104916</v>
          </cell>
        </row>
        <row r="44">
          <cell r="C44">
            <v>42830</v>
          </cell>
          <cell r="D44">
            <v>9280</v>
          </cell>
          <cell r="E44">
            <v>9294.85</v>
          </cell>
          <cell r="F44">
            <v>9247.85</v>
          </cell>
          <cell r="G44">
            <v>9286.5499999999993</v>
          </cell>
          <cell r="H44">
            <v>91210</v>
          </cell>
        </row>
        <row r="45">
          <cell r="C45">
            <v>42831</v>
          </cell>
          <cell r="D45">
            <v>9254.7999999999993</v>
          </cell>
          <cell r="E45">
            <v>9283</v>
          </cell>
          <cell r="F45">
            <v>9231</v>
          </cell>
          <cell r="G45">
            <v>9272.25</v>
          </cell>
          <cell r="H45">
            <v>103953</v>
          </cell>
        </row>
        <row r="46">
          <cell r="C46">
            <v>42832</v>
          </cell>
          <cell r="D46">
            <v>9234.7999999999993</v>
          </cell>
          <cell r="E46">
            <v>9269.75</v>
          </cell>
          <cell r="F46">
            <v>9200.4</v>
          </cell>
          <cell r="G46">
            <v>9211.4500000000007</v>
          </cell>
          <cell r="H46">
            <v>105144</v>
          </cell>
        </row>
        <row r="47">
          <cell r="C47">
            <v>42835</v>
          </cell>
          <cell r="D47">
            <v>9225.6</v>
          </cell>
          <cell r="E47">
            <v>9248.2999999999993</v>
          </cell>
          <cell r="F47">
            <v>9194</v>
          </cell>
          <cell r="G47">
            <v>9209.35</v>
          </cell>
          <cell r="H47">
            <v>89731</v>
          </cell>
        </row>
        <row r="48">
          <cell r="C48">
            <v>42836</v>
          </cell>
          <cell r="D48">
            <v>9194.85</v>
          </cell>
          <cell r="E48">
            <v>9269.9500000000007</v>
          </cell>
          <cell r="F48">
            <v>9187.5499999999993</v>
          </cell>
          <cell r="G48">
            <v>9264.4500000000007</v>
          </cell>
          <cell r="H48">
            <v>105610</v>
          </cell>
        </row>
        <row r="49">
          <cell r="C49">
            <v>42837</v>
          </cell>
          <cell r="D49">
            <v>9251.9</v>
          </cell>
          <cell r="E49">
            <v>9262</v>
          </cell>
          <cell r="F49">
            <v>9170.1</v>
          </cell>
          <cell r="G49">
            <v>9223.2000000000007</v>
          </cell>
          <cell r="H49">
            <v>149706</v>
          </cell>
        </row>
        <row r="50">
          <cell r="C50">
            <v>42838</v>
          </cell>
          <cell r="D50">
            <v>9205.75</v>
          </cell>
          <cell r="E50">
            <v>9222</v>
          </cell>
          <cell r="F50">
            <v>9177.5</v>
          </cell>
          <cell r="G50">
            <v>9182.25</v>
          </cell>
          <cell r="H50">
            <v>88323</v>
          </cell>
        </row>
        <row r="51">
          <cell r="C51">
            <v>42842</v>
          </cell>
          <cell r="D51">
            <v>9172.25</v>
          </cell>
          <cell r="E51">
            <v>9182.4</v>
          </cell>
          <cell r="F51">
            <v>9142.25</v>
          </cell>
          <cell r="G51">
            <v>9168.35</v>
          </cell>
          <cell r="H51">
            <v>67414</v>
          </cell>
        </row>
        <row r="52">
          <cell r="C52">
            <v>42843</v>
          </cell>
          <cell r="D52">
            <v>9171.35</v>
          </cell>
          <cell r="E52">
            <v>9246.65</v>
          </cell>
          <cell r="F52">
            <v>9115.2000000000007</v>
          </cell>
          <cell r="G52">
            <v>9123.35</v>
          </cell>
          <cell r="H52">
            <v>167744</v>
          </cell>
        </row>
        <row r="53">
          <cell r="C53">
            <v>42844</v>
          </cell>
          <cell r="D53">
            <v>9119.9500000000007</v>
          </cell>
          <cell r="E53">
            <v>9147</v>
          </cell>
          <cell r="F53">
            <v>9096.5499999999993</v>
          </cell>
          <cell r="G53">
            <v>9135</v>
          </cell>
          <cell r="H53">
            <v>95969</v>
          </cell>
        </row>
        <row r="54">
          <cell r="C54">
            <v>42845</v>
          </cell>
          <cell r="D54">
            <v>9125.5499999999993</v>
          </cell>
          <cell r="E54">
            <v>9170</v>
          </cell>
          <cell r="F54">
            <v>9120.6</v>
          </cell>
          <cell r="G54">
            <v>9162.6</v>
          </cell>
          <cell r="H54">
            <v>85729</v>
          </cell>
        </row>
        <row r="55">
          <cell r="C55">
            <v>42846</v>
          </cell>
          <cell r="D55">
            <v>9200</v>
          </cell>
          <cell r="E55">
            <v>9223.9</v>
          </cell>
          <cell r="F55">
            <v>9123</v>
          </cell>
          <cell r="G55">
            <v>9153.25</v>
          </cell>
          <cell r="H55">
            <v>1422</v>
          </cell>
        </row>
        <row r="56">
          <cell r="C56">
            <v>42849</v>
          </cell>
          <cell r="D56">
            <v>9140.15</v>
          </cell>
          <cell r="E56">
            <v>9234.5</v>
          </cell>
          <cell r="F56">
            <v>9129.7999999999993</v>
          </cell>
          <cell r="G56">
            <v>9224.4500000000007</v>
          </cell>
          <cell r="H56">
            <v>171698</v>
          </cell>
        </row>
        <row r="57">
          <cell r="C57">
            <v>42850</v>
          </cell>
          <cell r="D57">
            <v>9264.7999999999993</v>
          </cell>
          <cell r="E57">
            <v>9297.9500000000007</v>
          </cell>
          <cell r="F57">
            <v>9244.15</v>
          </cell>
          <cell r="G57">
            <v>9293.9</v>
          </cell>
          <cell r="H57">
            <v>173277</v>
          </cell>
        </row>
        <row r="58">
          <cell r="C58">
            <v>42851</v>
          </cell>
          <cell r="D58">
            <v>9308.25</v>
          </cell>
          <cell r="E58">
            <v>9357.4500000000007</v>
          </cell>
          <cell r="F58">
            <v>9297.6</v>
          </cell>
          <cell r="G58">
            <v>9342.1</v>
          </cell>
          <cell r="H58">
            <v>178016</v>
          </cell>
        </row>
        <row r="59">
          <cell r="C59">
            <v>42852</v>
          </cell>
          <cell r="D59">
            <v>9344.7000000000007</v>
          </cell>
          <cell r="E59">
            <v>9366</v>
          </cell>
          <cell r="F59">
            <v>9325</v>
          </cell>
          <cell r="G59">
            <v>9345.75</v>
          </cell>
          <cell r="H59">
            <v>174725</v>
          </cell>
        </row>
        <row r="60">
          <cell r="C60">
            <v>42853</v>
          </cell>
          <cell r="D60">
            <v>9353.15</v>
          </cell>
          <cell r="E60">
            <v>9358.7000000000007</v>
          </cell>
          <cell r="F60">
            <v>9313</v>
          </cell>
          <cell r="G60">
            <v>9333.7000000000007</v>
          </cell>
          <cell r="H60">
            <v>98148</v>
          </cell>
        </row>
        <row r="61">
          <cell r="C61">
            <v>42857</v>
          </cell>
          <cell r="D61">
            <v>9337</v>
          </cell>
          <cell r="E61">
            <v>9372</v>
          </cell>
          <cell r="F61">
            <v>9281</v>
          </cell>
          <cell r="G61">
            <v>9339.2999999999993</v>
          </cell>
          <cell r="H61">
            <v>114045</v>
          </cell>
        </row>
        <row r="62">
          <cell r="C62">
            <v>42858</v>
          </cell>
          <cell r="D62">
            <v>9342.0499999999993</v>
          </cell>
          <cell r="E62">
            <v>9366</v>
          </cell>
          <cell r="F62">
            <v>9315.1</v>
          </cell>
          <cell r="G62">
            <v>9340.25</v>
          </cell>
          <cell r="H62">
            <v>69777</v>
          </cell>
        </row>
        <row r="63">
          <cell r="C63">
            <v>42859</v>
          </cell>
          <cell r="D63">
            <v>9358.25</v>
          </cell>
          <cell r="E63">
            <v>9384</v>
          </cell>
          <cell r="F63">
            <v>9332.7999999999993</v>
          </cell>
          <cell r="G63">
            <v>9376.9500000000007</v>
          </cell>
          <cell r="H63">
            <v>90338</v>
          </cell>
        </row>
        <row r="64">
          <cell r="C64">
            <v>42860</v>
          </cell>
          <cell r="D64">
            <v>9359.7999999999993</v>
          </cell>
          <cell r="E64">
            <v>9359.7999999999993</v>
          </cell>
          <cell r="F64">
            <v>9297</v>
          </cell>
          <cell r="G64">
            <v>9316.7000000000007</v>
          </cell>
          <cell r="H64">
            <v>123084</v>
          </cell>
        </row>
        <row r="65">
          <cell r="C65">
            <v>42863</v>
          </cell>
          <cell r="D65">
            <v>9336.1</v>
          </cell>
          <cell r="E65">
            <v>9363.4500000000007</v>
          </cell>
          <cell r="F65">
            <v>9322.15</v>
          </cell>
          <cell r="G65">
            <v>9343.6</v>
          </cell>
          <cell r="H65">
            <v>75939</v>
          </cell>
        </row>
        <row r="66">
          <cell r="C66">
            <v>42864</v>
          </cell>
          <cell r="D66">
            <v>9350.25</v>
          </cell>
          <cell r="E66">
            <v>9372.65</v>
          </cell>
          <cell r="F66">
            <v>9331.9500000000007</v>
          </cell>
          <cell r="G66">
            <v>9350.4</v>
          </cell>
          <cell r="H66">
            <v>70846</v>
          </cell>
        </row>
        <row r="67">
          <cell r="C67">
            <v>42865</v>
          </cell>
          <cell r="D67">
            <v>9359.35</v>
          </cell>
          <cell r="E67">
            <v>9424.5</v>
          </cell>
          <cell r="F67">
            <v>9357.9500000000007</v>
          </cell>
          <cell r="G67">
            <v>9419.2000000000007</v>
          </cell>
          <cell r="H67">
            <v>111474</v>
          </cell>
        </row>
        <row r="68">
          <cell r="C68">
            <v>42866</v>
          </cell>
          <cell r="D68">
            <v>9431.6</v>
          </cell>
          <cell r="E68">
            <v>9464</v>
          </cell>
          <cell r="F68">
            <v>9431.6</v>
          </cell>
          <cell r="G68">
            <v>9439.85</v>
          </cell>
          <cell r="H68">
            <v>71500</v>
          </cell>
        </row>
        <row r="69">
          <cell r="C69">
            <v>42867</v>
          </cell>
          <cell r="D69">
            <v>9428.25</v>
          </cell>
          <cell r="E69">
            <v>9443.1</v>
          </cell>
          <cell r="F69">
            <v>9389.0499999999993</v>
          </cell>
          <cell r="G69">
            <v>9414.7999999999993</v>
          </cell>
          <cell r="H69">
            <v>91721</v>
          </cell>
        </row>
        <row r="70">
          <cell r="C70">
            <v>42870</v>
          </cell>
          <cell r="D70">
            <v>9448</v>
          </cell>
          <cell r="E70">
            <v>9458</v>
          </cell>
          <cell r="F70">
            <v>9437</v>
          </cell>
          <cell r="G70">
            <v>9453.2999999999993</v>
          </cell>
          <cell r="H70">
            <v>52787</v>
          </cell>
        </row>
        <row r="71">
          <cell r="C71">
            <v>42871</v>
          </cell>
          <cell r="D71">
            <v>9462.2000000000007</v>
          </cell>
          <cell r="E71">
            <v>9532.5</v>
          </cell>
          <cell r="F71">
            <v>9458</v>
          </cell>
          <cell r="G71">
            <v>9522.15</v>
          </cell>
          <cell r="H71">
            <v>107373</v>
          </cell>
        </row>
        <row r="72">
          <cell r="C72">
            <v>42872</v>
          </cell>
          <cell r="D72">
            <v>9518.75</v>
          </cell>
          <cell r="E72">
            <v>9537.75</v>
          </cell>
          <cell r="F72">
            <v>9493.6</v>
          </cell>
          <cell r="G72">
            <v>9533.75</v>
          </cell>
          <cell r="H72">
            <v>73353</v>
          </cell>
        </row>
        <row r="73">
          <cell r="C73">
            <v>42873</v>
          </cell>
          <cell r="D73">
            <v>9476.0499999999993</v>
          </cell>
          <cell r="E73">
            <v>9503</v>
          </cell>
          <cell r="F73">
            <v>9433.2999999999993</v>
          </cell>
          <cell r="G73">
            <v>9440.7000000000007</v>
          </cell>
          <cell r="H73">
            <v>134391</v>
          </cell>
        </row>
        <row r="74">
          <cell r="C74">
            <v>42877</v>
          </cell>
          <cell r="D74">
            <v>9480</v>
          </cell>
          <cell r="E74">
            <v>9492.0499999999993</v>
          </cell>
          <cell r="F74">
            <v>9426.9</v>
          </cell>
          <cell r="G74">
            <v>9443.65</v>
          </cell>
          <cell r="H74">
            <v>113056</v>
          </cell>
        </row>
        <row r="75">
          <cell r="C75">
            <v>42878</v>
          </cell>
          <cell r="D75">
            <v>9458.65</v>
          </cell>
          <cell r="E75">
            <v>9464</v>
          </cell>
          <cell r="F75">
            <v>9371</v>
          </cell>
          <cell r="G75">
            <v>9390.4500000000007</v>
          </cell>
          <cell r="H75">
            <v>179973</v>
          </cell>
        </row>
        <row r="76">
          <cell r="C76">
            <v>42879</v>
          </cell>
          <cell r="D76">
            <v>9401.25</v>
          </cell>
          <cell r="E76">
            <v>9439.9</v>
          </cell>
          <cell r="F76">
            <v>9340</v>
          </cell>
          <cell r="G76">
            <v>9364.85</v>
          </cell>
          <cell r="H76">
            <v>210649</v>
          </cell>
        </row>
        <row r="77">
          <cell r="C77">
            <v>42880</v>
          </cell>
          <cell r="D77">
            <v>9384.9500000000007</v>
          </cell>
          <cell r="E77">
            <v>9517.9</v>
          </cell>
          <cell r="F77">
            <v>9378.5</v>
          </cell>
          <cell r="G77">
            <v>9510.1</v>
          </cell>
          <cell r="H77">
            <v>201508</v>
          </cell>
        </row>
        <row r="78">
          <cell r="C78">
            <v>42881</v>
          </cell>
          <cell r="D78">
            <v>9490.1</v>
          </cell>
          <cell r="E78">
            <v>9586.5</v>
          </cell>
          <cell r="F78">
            <v>9475</v>
          </cell>
          <cell r="G78">
            <v>9575.7999999999993</v>
          </cell>
          <cell r="H78">
            <v>122805</v>
          </cell>
        </row>
        <row r="79">
          <cell r="C79">
            <v>42884</v>
          </cell>
          <cell r="D79">
            <v>9560</v>
          </cell>
          <cell r="E79">
            <v>9639.85</v>
          </cell>
          <cell r="F79">
            <v>9543.5499999999993</v>
          </cell>
          <cell r="G79">
            <v>9605.7000000000007</v>
          </cell>
          <cell r="H79">
            <v>144402</v>
          </cell>
        </row>
        <row r="80">
          <cell r="C80">
            <v>42885</v>
          </cell>
          <cell r="D80">
            <v>9590.25</v>
          </cell>
          <cell r="E80">
            <v>9633.35</v>
          </cell>
          <cell r="F80">
            <v>9582.4</v>
          </cell>
          <cell r="G80">
            <v>9619.85</v>
          </cell>
          <cell r="H80">
            <v>82581</v>
          </cell>
        </row>
        <row r="81">
          <cell r="C81">
            <v>42886</v>
          </cell>
          <cell r="D81">
            <v>9616.6</v>
          </cell>
          <cell r="E81">
            <v>9641.7000000000007</v>
          </cell>
          <cell r="F81">
            <v>9607.2000000000007</v>
          </cell>
          <cell r="G81">
            <v>9626.0499999999993</v>
          </cell>
          <cell r="H81">
            <v>88163</v>
          </cell>
        </row>
        <row r="82">
          <cell r="C82">
            <v>42887</v>
          </cell>
          <cell r="D82">
            <v>9626</v>
          </cell>
          <cell r="E82">
            <v>9644.9500000000007</v>
          </cell>
          <cell r="F82">
            <v>9595.9500000000007</v>
          </cell>
          <cell r="G82">
            <v>9630.1</v>
          </cell>
          <cell r="H82">
            <v>70094</v>
          </cell>
        </row>
        <row r="83">
          <cell r="C83">
            <v>42888</v>
          </cell>
          <cell r="D83">
            <v>9660.15</v>
          </cell>
          <cell r="E83">
            <v>9672</v>
          </cell>
          <cell r="F83">
            <v>9643.2000000000007</v>
          </cell>
          <cell r="G83">
            <v>9652.6</v>
          </cell>
          <cell r="H83">
            <v>74161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HOKLEY-I"/>
    </sheetNames>
    <sheetDataSet>
      <sheetData sheetId="0">
        <row r="20">
          <cell r="C20">
            <v>42794</v>
          </cell>
          <cell r="D20">
            <v>89.45</v>
          </cell>
          <cell r="E20">
            <v>91.4</v>
          </cell>
          <cell r="F20">
            <v>89.4</v>
          </cell>
          <cell r="G20">
            <v>91.15</v>
          </cell>
          <cell r="H20">
            <v>2240</v>
          </cell>
        </row>
        <row r="21">
          <cell r="C21">
            <v>42795</v>
          </cell>
          <cell r="D21">
            <v>91.5</v>
          </cell>
          <cell r="E21">
            <v>92.25</v>
          </cell>
          <cell r="F21">
            <v>89.5</v>
          </cell>
          <cell r="G21">
            <v>89.8</v>
          </cell>
          <cell r="H21">
            <v>3990</v>
          </cell>
        </row>
        <row r="22">
          <cell r="C22">
            <v>42796</v>
          </cell>
          <cell r="D22">
            <v>90</v>
          </cell>
          <cell r="E22">
            <v>90.6</v>
          </cell>
          <cell r="F22">
            <v>87.2</v>
          </cell>
          <cell r="G22">
            <v>87.65</v>
          </cell>
          <cell r="H22">
            <v>3028</v>
          </cell>
        </row>
        <row r="23">
          <cell r="C23">
            <v>42797</v>
          </cell>
          <cell r="D23">
            <v>87.85</v>
          </cell>
          <cell r="E23">
            <v>88.65</v>
          </cell>
          <cell r="F23">
            <v>86.5</v>
          </cell>
          <cell r="G23">
            <v>87.8</v>
          </cell>
          <cell r="H23">
            <v>2649</v>
          </cell>
        </row>
        <row r="24">
          <cell r="C24">
            <v>42800</v>
          </cell>
          <cell r="D24">
            <v>88.2</v>
          </cell>
          <cell r="E24">
            <v>91.35</v>
          </cell>
          <cell r="F24">
            <v>87.95</v>
          </cell>
          <cell r="G24">
            <v>91.05</v>
          </cell>
          <cell r="H24">
            <v>4504</v>
          </cell>
        </row>
        <row r="25">
          <cell r="C25">
            <v>42801</v>
          </cell>
          <cell r="D25">
            <v>92.25</v>
          </cell>
          <cell r="E25">
            <v>93.5</v>
          </cell>
          <cell r="F25">
            <v>91.45</v>
          </cell>
          <cell r="G25">
            <v>91.7</v>
          </cell>
          <cell r="H25">
            <v>6423</v>
          </cell>
        </row>
        <row r="26">
          <cell r="C26">
            <v>42802</v>
          </cell>
          <cell r="D26">
            <v>91.8</v>
          </cell>
          <cell r="E26">
            <v>91.9</v>
          </cell>
          <cell r="F26">
            <v>89.55</v>
          </cell>
          <cell r="G26">
            <v>91.4</v>
          </cell>
          <cell r="H26">
            <v>2846</v>
          </cell>
        </row>
        <row r="27">
          <cell r="C27">
            <v>42803</v>
          </cell>
          <cell r="D27">
            <v>90.6</v>
          </cell>
          <cell r="E27">
            <v>91.65</v>
          </cell>
          <cell r="F27">
            <v>90.35</v>
          </cell>
          <cell r="G27">
            <v>90.8</v>
          </cell>
          <cell r="H27">
            <v>1445</v>
          </cell>
        </row>
        <row r="28">
          <cell r="C28">
            <v>42804</v>
          </cell>
          <cell r="D28">
            <v>91</v>
          </cell>
          <cell r="E28">
            <v>91.4</v>
          </cell>
          <cell r="F28">
            <v>90.25</v>
          </cell>
          <cell r="G28">
            <v>90.75</v>
          </cell>
          <cell r="H28">
            <v>1484</v>
          </cell>
        </row>
        <row r="29">
          <cell r="C29">
            <v>42808</v>
          </cell>
          <cell r="D29">
            <v>92</v>
          </cell>
          <cell r="E29">
            <v>92.9</v>
          </cell>
          <cell r="F29">
            <v>90.95</v>
          </cell>
          <cell r="G29">
            <v>91.2</v>
          </cell>
          <cell r="H29">
            <v>2022</v>
          </cell>
        </row>
        <row r="30">
          <cell r="C30">
            <v>42809</v>
          </cell>
          <cell r="D30">
            <v>90.9</v>
          </cell>
          <cell r="E30">
            <v>92.2</v>
          </cell>
          <cell r="F30">
            <v>90.7</v>
          </cell>
          <cell r="G30">
            <v>91.5</v>
          </cell>
          <cell r="H30">
            <v>2052</v>
          </cell>
        </row>
        <row r="31">
          <cell r="C31">
            <v>42810</v>
          </cell>
          <cell r="D31">
            <v>92.45</v>
          </cell>
          <cell r="E31">
            <v>93.2</v>
          </cell>
          <cell r="F31">
            <v>91.9</v>
          </cell>
          <cell r="G31">
            <v>92.3</v>
          </cell>
          <cell r="H31">
            <v>3346</v>
          </cell>
        </row>
        <row r="32">
          <cell r="C32">
            <v>42811</v>
          </cell>
          <cell r="D32">
            <v>92.55</v>
          </cell>
          <cell r="E32">
            <v>92.6</v>
          </cell>
          <cell r="F32">
            <v>90.7</v>
          </cell>
          <cell r="G32">
            <v>91.1</v>
          </cell>
          <cell r="H32">
            <v>2272</v>
          </cell>
        </row>
        <row r="33">
          <cell r="C33">
            <v>42814</v>
          </cell>
          <cell r="D33">
            <v>90.95</v>
          </cell>
          <cell r="E33">
            <v>91</v>
          </cell>
          <cell r="F33">
            <v>89.35</v>
          </cell>
          <cell r="G33">
            <v>89.6</v>
          </cell>
          <cell r="H33">
            <v>2105</v>
          </cell>
        </row>
        <row r="34">
          <cell r="C34">
            <v>42815</v>
          </cell>
          <cell r="D34">
            <v>89.3</v>
          </cell>
          <cell r="E34">
            <v>89.35</v>
          </cell>
          <cell r="F34">
            <v>88.45</v>
          </cell>
          <cell r="G34">
            <v>89.1</v>
          </cell>
          <cell r="H34">
            <v>2084</v>
          </cell>
        </row>
        <row r="35">
          <cell r="C35">
            <v>42816</v>
          </cell>
          <cell r="D35">
            <v>88.35</v>
          </cell>
          <cell r="E35">
            <v>88.7</v>
          </cell>
          <cell r="F35">
            <v>87</v>
          </cell>
          <cell r="G35">
            <v>87.45</v>
          </cell>
          <cell r="H35">
            <v>2805</v>
          </cell>
        </row>
        <row r="36">
          <cell r="C36">
            <v>42817</v>
          </cell>
          <cell r="D36">
            <v>87.2</v>
          </cell>
          <cell r="E36">
            <v>88</v>
          </cell>
          <cell r="F36">
            <v>87.05</v>
          </cell>
          <cell r="G36">
            <v>87.4</v>
          </cell>
          <cell r="H36">
            <v>2595</v>
          </cell>
        </row>
        <row r="37">
          <cell r="C37">
            <v>42818</v>
          </cell>
          <cell r="D37">
            <v>87.95</v>
          </cell>
          <cell r="E37">
            <v>88.65</v>
          </cell>
          <cell r="F37">
            <v>87.05</v>
          </cell>
          <cell r="G37">
            <v>87.4</v>
          </cell>
          <cell r="H37">
            <v>3822</v>
          </cell>
        </row>
        <row r="38">
          <cell r="C38">
            <v>42821</v>
          </cell>
          <cell r="D38">
            <v>87.15</v>
          </cell>
          <cell r="E38">
            <v>87.45</v>
          </cell>
          <cell r="F38">
            <v>85.65</v>
          </cell>
          <cell r="G38">
            <v>86</v>
          </cell>
          <cell r="H38">
            <v>5633</v>
          </cell>
        </row>
        <row r="39">
          <cell r="C39">
            <v>42822</v>
          </cell>
          <cell r="D39">
            <v>86.85</v>
          </cell>
          <cell r="E39">
            <v>87</v>
          </cell>
          <cell r="F39">
            <v>86.2</v>
          </cell>
          <cell r="G39">
            <v>86.45</v>
          </cell>
          <cell r="H39">
            <v>4743</v>
          </cell>
        </row>
        <row r="40">
          <cell r="C40">
            <v>42823</v>
          </cell>
          <cell r="D40">
            <v>86.45</v>
          </cell>
          <cell r="E40">
            <v>87.5</v>
          </cell>
          <cell r="F40">
            <v>80.75</v>
          </cell>
          <cell r="G40">
            <v>84.2</v>
          </cell>
          <cell r="H40">
            <v>11989</v>
          </cell>
        </row>
        <row r="41">
          <cell r="C41">
            <v>42824</v>
          </cell>
          <cell r="D41">
            <v>83.5</v>
          </cell>
          <cell r="E41">
            <v>85</v>
          </cell>
          <cell r="F41">
            <v>82.7</v>
          </cell>
          <cell r="G41">
            <v>83</v>
          </cell>
          <cell r="H41">
            <v>7143</v>
          </cell>
        </row>
        <row r="42">
          <cell r="C42">
            <v>42825</v>
          </cell>
          <cell r="D42">
            <v>83.95</v>
          </cell>
          <cell r="E42">
            <v>85.3</v>
          </cell>
          <cell r="F42">
            <v>83.55</v>
          </cell>
          <cell r="G42">
            <v>84.8</v>
          </cell>
          <cell r="H42">
            <v>3166</v>
          </cell>
        </row>
        <row r="43">
          <cell r="C43">
            <v>42828</v>
          </cell>
          <cell r="D43">
            <v>85.35</v>
          </cell>
          <cell r="E43">
            <v>85.75</v>
          </cell>
          <cell r="F43">
            <v>84.1</v>
          </cell>
          <cell r="G43">
            <v>84.55</v>
          </cell>
          <cell r="H43">
            <v>2684</v>
          </cell>
        </row>
        <row r="44">
          <cell r="C44">
            <v>42830</v>
          </cell>
          <cell r="D44">
            <v>85.9</v>
          </cell>
          <cell r="E44">
            <v>86.65</v>
          </cell>
          <cell r="F44">
            <v>85.1</v>
          </cell>
          <cell r="G44">
            <v>85.4</v>
          </cell>
          <cell r="H44">
            <v>2805</v>
          </cell>
        </row>
        <row r="45">
          <cell r="C45">
            <v>42831</v>
          </cell>
          <cell r="D45">
            <v>85.1</v>
          </cell>
          <cell r="E45">
            <v>85.25</v>
          </cell>
          <cell r="F45">
            <v>84.25</v>
          </cell>
          <cell r="G45">
            <v>84.8</v>
          </cell>
          <cell r="H45">
            <v>1701</v>
          </cell>
        </row>
        <row r="46">
          <cell r="C46">
            <v>42832</v>
          </cell>
          <cell r="D46">
            <v>84.5</v>
          </cell>
          <cell r="E46">
            <v>85.2</v>
          </cell>
          <cell r="F46">
            <v>83.45</v>
          </cell>
          <cell r="G46">
            <v>83.85</v>
          </cell>
          <cell r="H46">
            <v>2590</v>
          </cell>
        </row>
        <row r="47">
          <cell r="C47">
            <v>42835</v>
          </cell>
          <cell r="D47">
            <v>83.95</v>
          </cell>
          <cell r="E47">
            <v>84.5</v>
          </cell>
          <cell r="F47">
            <v>82.3</v>
          </cell>
          <cell r="G47">
            <v>82.85</v>
          </cell>
          <cell r="H47">
            <v>3576</v>
          </cell>
        </row>
        <row r="48">
          <cell r="C48">
            <v>42836</v>
          </cell>
          <cell r="D48">
            <v>83.1</v>
          </cell>
          <cell r="E48">
            <v>83.85</v>
          </cell>
          <cell r="F48">
            <v>82.4</v>
          </cell>
          <cell r="G48">
            <v>82.9</v>
          </cell>
          <cell r="H48">
            <v>2985</v>
          </cell>
        </row>
        <row r="49">
          <cell r="C49">
            <v>42837</v>
          </cell>
          <cell r="D49">
            <v>83.05</v>
          </cell>
          <cell r="E49">
            <v>84.2</v>
          </cell>
          <cell r="F49">
            <v>82.55</v>
          </cell>
          <cell r="G49">
            <v>82.9</v>
          </cell>
          <cell r="H49">
            <v>4428</v>
          </cell>
        </row>
        <row r="50">
          <cell r="C50">
            <v>42838</v>
          </cell>
          <cell r="D50">
            <v>82.9</v>
          </cell>
          <cell r="E50">
            <v>84</v>
          </cell>
          <cell r="F50">
            <v>82.75</v>
          </cell>
          <cell r="G50">
            <v>83.05</v>
          </cell>
          <cell r="H50">
            <v>2265</v>
          </cell>
        </row>
        <row r="51">
          <cell r="C51">
            <v>42842</v>
          </cell>
          <cell r="D51">
            <v>83.55</v>
          </cell>
          <cell r="E51">
            <v>83.65</v>
          </cell>
          <cell r="F51">
            <v>82.55</v>
          </cell>
          <cell r="G51">
            <v>82.95</v>
          </cell>
          <cell r="H51">
            <v>1821</v>
          </cell>
        </row>
        <row r="52">
          <cell r="C52">
            <v>42843</v>
          </cell>
          <cell r="D52">
            <v>83.15</v>
          </cell>
          <cell r="E52">
            <v>83.55</v>
          </cell>
          <cell r="F52">
            <v>81.349999999999994</v>
          </cell>
          <cell r="G52">
            <v>81.75</v>
          </cell>
          <cell r="H52">
            <v>2499</v>
          </cell>
        </row>
        <row r="53">
          <cell r="C53">
            <v>42844</v>
          </cell>
          <cell r="D53">
            <v>82.2</v>
          </cell>
          <cell r="E53">
            <v>82.4</v>
          </cell>
          <cell r="F53">
            <v>81.2</v>
          </cell>
          <cell r="G53">
            <v>81.5</v>
          </cell>
          <cell r="H53">
            <v>2633</v>
          </cell>
        </row>
        <row r="54">
          <cell r="C54">
            <v>42845</v>
          </cell>
          <cell r="D54">
            <v>81.8</v>
          </cell>
          <cell r="E54">
            <v>82.5</v>
          </cell>
          <cell r="F54">
            <v>81.5</v>
          </cell>
          <cell r="G54">
            <v>82.15</v>
          </cell>
          <cell r="H54">
            <v>2800</v>
          </cell>
        </row>
        <row r="55">
          <cell r="C55">
            <v>42846</v>
          </cell>
          <cell r="D55">
            <v>82.75</v>
          </cell>
          <cell r="E55">
            <v>86.3</v>
          </cell>
          <cell r="F55">
            <v>82.35</v>
          </cell>
          <cell r="G55">
            <v>85.8</v>
          </cell>
          <cell r="H55">
            <v>46</v>
          </cell>
        </row>
        <row r="56">
          <cell r="C56">
            <v>42849</v>
          </cell>
          <cell r="D56">
            <v>86.45</v>
          </cell>
          <cell r="E56">
            <v>87.7</v>
          </cell>
          <cell r="F56">
            <v>85.75</v>
          </cell>
          <cell r="G56">
            <v>87.3</v>
          </cell>
          <cell r="H56">
            <v>8966</v>
          </cell>
        </row>
        <row r="57">
          <cell r="C57">
            <v>42850</v>
          </cell>
          <cell r="D57">
            <v>87.9</v>
          </cell>
          <cell r="E57">
            <v>88.5</v>
          </cell>
          <cell r="F57">
            <v>87.05</v>
          </cell>
          <cell r="G57">
            <v>88.05</v>
          </cell>
          <cell r="H57">
            <v>6828</v>
          </cell>
        </row>
        <row r="58">
          <cell r="C58">
            <v>42851</v>
          </cell>
          <cell r="D58">
            <v>87.95</v>
          </cell>
          <cell r="E58">
            <v>88.8</v>
          </cell>
          <cell r="F58">
            <v>86.2</v>
          </cell>
          <cell r="G58">
            <v>87.8</v>
          </cell>
          <cell r="H58">
            <v>3996</v>
          </cell>
        </row>
        <row r="59">
          <cell r="C59">
            <v>42852</v>
          </cell>
          <cell r="D59">
            <v>87.85</v>
          </cell>
          <cell r="E59">
            <v>87.9</v>
          </cell>
          <cell r="F59">
            <v>86.55</v>
          </cell>
          <cell r="G59">
            <v>86.65</v>
          </cell>
          <cell r="H59">
            <v>5522</v>
          </cell>
        </row>
        <row r="60">
          <cell r="C60">
            <v>42853</v>
          </cell>
          <cell r="D60">
            <v>87.4</v>
          </cell>
          <cell r="E60">
            <v>87.5</v>
          </cell>
          <cell r="F60">
            <v>85.55</v>
          </cell>
          <cell r="G60">
            <v>86.1</v>
          </cell>
          <cell r="H60">
            <v>1893</v>
          </cell>
        </row>
        <row r="61">
          <cell r="C61">
            <v>42857</v>
          </cell>
          <cell r="D61">
            <v>86.4</v>
          </cell>
          <cell r="E61">
            <v>86.4</v>
          </cell>
          <cell r="F61">
            <v>82.85</v>
          </cell>
          <cell r="G61">
            <v>83.9</v>
          </cell>
          <cell r="H61">
            <v>3916</v>
          </cell>
        </row>
        <row r="62">
          <cell r="C62">
            <v>42858</v>
          </cell>
          <cell r="D62">
            <v>83.9</v>
          </cell>
          <cell r="E62">
            <v>84.1</v>
          </cell>
          <cell r="F62">
            <v>82.9</v>
          </cell>
          <cell r="G62">
            <v>83.25</v>
          </cell>
          <cell r="H62">
            <v>1597</v>
          </cell>
        </row>
        <row r="63">
          <cell r="C63">
            <v>42859</v>
          </cell>
          <cell r="D63">
            <v>83.5</v>
          </cell>
          <cell r="E63">
            <v>84.7</v>
          </cell>
          <cell r="F63">
            <v>83.1</v>
          </cell>
          <cell r="G63">
            <v>83.7</v>
          </cell>
          <cell r="H63">
            <v>2000</v>
          </cell>
        </row>
        <row r="64">
          <cell r="C64">
            <v>42860</v>
          </cell>
          <cell r="D64">
            <v>83.8</v>
          </cell>
          <cell r="E64">
            <v>84.6</v>
          </cell>
          <cell r="F64">
            <v>82.45</v>
          </cell>
          <cell r="G64">
            <v>83.25</v>
          </cell>
          <cell r="H64">
            <v>2560</v>
          </cell>
        </row>
        <row r="65">
          <cell r="C65">
            <v>42863</v>
          </cell>
          <cell r="D65">
            <v>83.75</v>
          </cell>
          <cell r="E65">
            <v>84.6</v>
          </cell>
          <cell r="F65">
            <v>82.8</v>
          </cell>
          <cell r="G65">
            <v>83.9</v>
          </cell>
          <cell r="H65">
            <v>2274</v>
          </cell>
        </row>
        <row r="66">
          <cell r="C66">
            <v>42864</v>
          </cell>
          <cell r="D66">
            <v>84.15</v>
          </cell>
          <cell r="E66">
            <v>84.2</v>
          </cell>
          <cell r="F66">
            <v>83.1</v>
          </cell>
          <cell r="G66">
            <v>83.3</v>
          </cell>
          <cell r="H66">
            <v>1409</v>
          </cell>
        </row>
        <row r="67">
          <cell r="C67">
            <v>42865</v>
          </cell>
          <cell r="D67">
            <v>83.65</v>
          </cell>
          <cell r="E67">
            <v>85.9</v>
          </cell>
          <cell r="F67">
            <v>83.5</v>
          </cell>
          <cell r="G67">
            <v>85.7</v>
          </cell>
          <cell r="H67">
            <v>4824</v>
          </cell>
        </row>
        <row r="68">
          <cell r="C68">
            <v>42866</v>
          </cell>
          <cell r="D68">
            <v>86.2</v>
          </cell>
          <cell r="E68">
            <v>87.4</v>
          </cell>
          <cell r="F68">
            <v>85.85</v>
          </cell>
          <cell r="G68">
            <v>86.7</v>
          </cell>
          <cell r="H68">
            <v>3925</v>
          </cell>
        </row>
        <row r="69">
          <cell r="C69">
            <v>42867</v>
          </cell>
          <cell r="D69">
            <v>87.1</v>
          </cell>
          <cell r="E69">
            <v>87.2</v>
          </cell>
          <cell r="F69">
            <v>85.25</v>
          </cell>
          <cell r="G69">
            <v>85.85</v>
          </cell>
          <cell r="H69">
            <v>2390</v>
          </cell>
        </row>
        <row r="70">
          <cell r="C70">
            <v>42870</v>
          </cell>
          <cell r="D70">
            <v>86.25</v>
          </cell>
          <cell r="E70">
            <v>86.95</v>
          </cell>
          <cell r="F70">
            <v>85.65</v>
          </cell>
          <cell r="G70">
            <v>86.65</v>
          </cell>
          <cell r="H70">
            <v>1691</v>
          </cell>
        </row>
        <row r="71">
          <cell r="C71">
            <v>42871</v>
          </cell>
          <cell r="D71">
            <v>86.7</v>
          </cell>
          <cell r="E71">
            <v>87.25</v>
          </cell>
          <cell r="F71">
            <v>86.3</v>
          </cell>
          <cell r="G71">
            <v>86.95</v>
          </cell>
          <cell r="H71">
            <v>1873</v>
          </cell>
        </row>
        <row r="72">
          <cell r="C72">
            <v>42872</v>
          </cell>
          <cell r="D72">
            <v>86.45</v>
          </cell>
          <cell r="E72">
            <v>88.5</v>
          </cell>
          <cell r="F72">
            <v>86.25</v>
          </cell>
          <cell r="G72">
            <v>88.1</v>
          </cell>
          <cell r="H72">
            <v>4035</v>
          </cell>
        </row>
        <row r="73">
          <cell r="C73">
            <v>42873</v>
          </cell>
          <cell r="D73">
            <v>87.35</v>
          </cell>
          <cell r="E73">
            <v>88.5</v>
          </cell>
          <cell r="F73">
            <v>85.4</v>
          </cell>
          <cell r="G73">
            <v>86.2</v>
          </cell>
          <cell r="H73">
            <v>3638</v>
          </cell>
        </row>
        <row r="74">
          <cell r="C74">
            <v>42877</v>
          </cell>
          <cell r="D74">
            <v>85.25</v>
          </cell>
          <cell r="E74">
            <v>86.4</v>
          </cell>
          <cell r="F74">
            <v>84.75</v>
          </cell>
          <cell r="G74">
            <v>85.95</v>
          </cell>
          <cell r="H74">
            <v>4377</v>
          </cell>
        </row>
        <row r="75">
          <cell r="C75">
            <v>42878</v>
          </cell>
          <cell r="D75">
            <v>86.25</v>
          </cell>
          <cell r="E75">
            <v>86.25</v>
          </cell>
          <cell r="F75">
            <v>83.8</v>
          </cell>
          <cell r="G75">
            <v>84.45</v>
          </cell>
          <cell r="H75">
            <v>5140</v>
          </cell>
        </row>
        <row r="76">
          <cell r="C76">
            <v>42879</v>
          </cell>
          <cell r="D76">
            <v>84.65</v>
          </cell>
          <cell r="E76">
            <v>84.9</v>
          </cell>
          <cell r="F76">
            <v>81.45</v>
          </cell>
          <cell r="G76">
            <v>82.4</v>
          </cell>
          <cell r="H76">
            <v>5115</v>
          </cell>
        </row>
        <row r="77">
          <cell r="C77">
            <v>42880</v>
          </cell>
          <cell r="D77">
            <v>83.1</v>
          </cell>
          <cell r="E77">
            <v>86.4</v>
          </cell>
          <cell r="F77">
            <v>81.900000000000006</v>
          </cell>
          <cell r="G77">
            <v>85.05</v>
          </cell>
          <cell r="H77">
            <v>8352</v>
          </cell>
        </row>
        <row r="78">
          <cell r="C78">
            <v>42881</v>
          </cell>
          <cell r="D78">
            <v>88.35</v>
          </cell>
          <cell r="E78">
            <v>93.8</v>
          </cell>
          <cell r="F78">
            <v>88.05</v>
          </cell>
          <cell r="G78">
            <v>92.15</v>
          </cell>
          <cell r="H78">
            <v>13481</v>
          </cell>
        </row>
        <row r="79">
          <cell r="C79">
            <v>42884</v>
          </cell>
          <cell r="D79">
            <v>92.5</v>
          </cell>
          <cell r="E79">
            <v>94.35</v>
          </cell>
          <cell r="F79">
            <v>91.2</v>
          </cell>
          <cell r="G79">
            <v>92</v>
          </cell>
          <cell r="H79">
            <v>4778</v>
          </cell>
        </row>
        <row r="80">
          <cell r="C80">
            <v>42885</v>
          </cell>
          <cell r="D80">
            <v>92.35</v>
          </cell>
          <cell r="E80">
            <v>94.4</v>
          </cell>
          <cell r="F80">
            <v>92</v>
          </cell>
          <cell r="G80">
            <v>94.1</v>
          </cell>
          <cell r="H80">
            <v>4018</v>
          </cell>
        </row>
        <row r="81">
          <cell r="C81">
            <v>42886</v>
          </cell>
          <cell r="D81">
            <v>94.1</v>
          </cell>
          <cell r="E81">
            <v>96.35</v>
          </cell>
          <cell r="F81">
            <v>93.4</v>
          </cell>
          <cell r="G81">
            <v>95.15</v>
          </cell>
          <cell r="H81">
            <v>5338</v>
          </cell>
        </row>
        <row r="82">
          <cell r="C82">
            <v>42887</v>
          </cell>
          <cell r="D82">
            <v>94.55</v>
          </cell>
          <cell r="E82">
            <v>95.25</v>
          </cell>
          <cell r="F82">
            <v>90.5</v>
          </cell>
          <cell r="G82">
            <v>91.7</v>
          </cell>
          <cell r="H82">
            <v>7609</v>
          </cell>
        </row>
        <row r="83">
          <cell r="C83">
            <v>42888</v>
          </cell>
          <cell r="D83">
            <v>92</v>
          </cell>
          <cell r="E83">
            <v>93.8</v>
          </cell>
          <cell r="F83">
            <v>91.65</v>
          </cell>
          <cell r="G83">
            <v>93.4</v>
          </cell>
          <cell r="H83">
            <v>3530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IANPAINT-I"/>
    </sheetNames>
    <sheetDataSet>
      <sheetData sheetId="0">
        <row r="20">
          <cell r="C20">
            <v>42794</v>
          </cell>
          <cell r="D20">
            <v>1007.7</v>
          </cell>
          <cell r="E20">
            <v>1032.45</v>
          </cell>
          <cell r="F20">
            <v>1002.6</v>
          </cell>
          <cell r="G20">
            <v>1030.3499999999999</v>
          </cell>
          <cell r="H20">
            <v>4362</v>
          </cell>
        </row>
        <row r="21">
          <cell r="C21">
            <v>42795</v>
          </cell>
          <cell r="D21">
            <v>1033.55</v>
          </cell>
          <cell r="E21">
            <v>1044.8</v>
          </cell>
          <cell r="F21">
            <v>1029.1500000000001</v>
          </cell>
          <cell r="G21">
            <v>1037</v>
          </cell>
          <cell r="H21">
            <v>3903</v>
          </cell>
        </row>
        <row r="22">
          <cell r="C22">
            <v>42796</v>
          </cell>
          <cell r="D22">
            <v>1038.3</v>
          </cell>
          <cell r="E22">
            <v>1046.8</v>
          </cell>
          <cell r="F22">
            <v>1028.6500000000001</v>
          </cell>
          <cell r="G22">
            <v>1031.2</v>
          </cell>
          <cell r="H22">
            <v>3359</v>
          </cell>
        </row>
        <row r="23">
          <cell r="C23">
            <v>42797</v>
          </cell>
          <cell r="D23">
            <v>1029.2</v>
          </cell>
          <cell r="E23">
            <v>1029.2</v>
          </cell>
          <cell r="F23">
            <v>1009.75</v>
          </cell>
          <cell r="G23">
            <v>1019.2</v>
          </cell>
          <cell r="H23">
            <v>2820</v>
          </cell>
        </row>
        <row r="24">
          <cell r="C24">
            <v>42800</v>
          </cell>
          <cell r="D24">
            <v>1022.05</v>
          </cell>
          <cell r="E24">
            <v>1035.9000000000001</v>
          </cell>
          <cell r="F24">
            <v>1019.35</v>
          </cell>
          <cell r="G24">
            <v>1032.4000000000001</v>
          </cell>
          <cell r="H24">
            <v>2228</v>
          </cell>
        </row>
        <row r="25">
          <cell r="C25">
            <v>42801</v>
          </cell>
          <cell r="D25">
            <v>1033.8499999999999</v>
          </cell>
          <cell r="E25">
            <v>1033.8499999999999</v>
          </cell>
          <cell r="F25">
            <v>1024.8</v>
          </cell>
          <cell r="G25">
            <v>1028.4000000000001</v>
          </cell>
          <cell r="H25">
            <v>1175</v>
          </cell>
        </row>
        <row r="26">
          <cell r="C26">
            <v>42802</v>
          </cell>
          <cell r="D26">
            <v>1025.5999999999999</v>
          </cell>
          <cell r="E26">
            <v>1038.05</v>
          </cell>
          <cell r="F26">
            <v>1018.8</v>
          </cell>
          <cell r="G26">
            <v>1028.25</v>
          </cell>
          <cell r="H26">
            <v>2108</v>
          </cell>
        </row>
        <row r="27">
          <cell r="C27">
            <v>42803</v>
          </cell>
          <cell r="D27">
            <v>1033.0999999999999</v>
          </cell>
          <cell r="E27">
            <v>1044</v>
          </cell>
          <cell r="F27">
            <v>1031.05</v>
          </cell>
          <cell r="G27">
            <v>1036.95</v>
          </cell>
          <cell r="H27">
            <v>2945</v>
          </cell>
        </row>
        <row r="28">
          <cell r="C28">
            <v>42804</v>
          </cell>
          <cell r="D28">
            <v>1039</v>
          </cell>
          <cell r="E28">
            <v>1042.2</v>
          </cell>
          <cell r="F28">
            <v>1032.5999999999999</v>
          </cell>
          <cell r="G28">
            <v>1035.8</v>
          </cell>
          <cell r="H28">
            <v>2176</v>
          </cell>
        </row>
        <row r="29">
          <cell r="C29">
            <v>42808</v>
          </cell>
          <cell r="D29">
            <v>1056.6500000000001</v>
          </cell>
          <cell r="E29">
            <v>1080.9000000000001</v>
          </cell>
          <cell r="F29">
            <v>1045.5</v>
          </cell>
          <cell r="G29">
            <v>1073.05</v>
          </cell>
          <cell r="H29">
            <v>5090</v>
          </cell>
        </row>
        <row r="30">
          <cell r="C30">
            <v>42809</v>
          </cell>
          <cell r="D30">
            <v>1067.8</v>
          </cell>
          <cell r="E30">
            <v>1080.55</v>
          </cell>
          <cell r="F30">
            <v>1066</v>
          </cell>
          <cell r="G30">
            <v>1068.55</v>
          </cell>
          <cell r="H30">
            <v>2553</v>
          </cell>
        </row>
        <row r="31">
          <cell r="C31">
            <v>42810</v>
          </cell>
          <cell r="D31">
            <v>1076.1500000000001</v>
          </cell>
          <cell r="E31">
            <v>1090.25</v>
          </cell>
          <cell r="F31">
            <v>1071.55</v>
          </cell>
          <cell r="G31">
            <v>1088.5</v>
          </cell>
          <cell r="H31">
            <v>3746</v>
          </cell>
        </row>
        <row r="32">
          <cell r="C32">
            <v>42811</v>
          </cell>
          <cell r="D32">
            <v>1091.3</v>
          </cell>
          <cell r="E32">
            <v>1092.55</v>
          </cell>
          <cell r="F32">
            <v>1076.3499999999999</v>
          </cell>
          <cell r="G32">
            <v>1080.2</v>
          </cell>
          <cell r="H32">
            <v>2187</v>
          </cell>
        </row>
        <row r="33">
          <cell r="C33">
            <v>42814</v>
          </cell>
          <cell r="D33">
            <v>1079.75</v>
          </cell>
          <cell r="E33">
            <v>1086.25</v>
          </cell>
          <cell r="F33">
            <v>1070.6500000000001</v>
          </cell>
          <cell r="G33">
            <v>1083.8499999999999</v>
          </cell>
          <cell r="H33">
            <v>1954</v>
          </cell>
        </row>
        <row r="34">
          <cell r="C34">
            <v>42815</v>
          </cell>
          <cell r="D34">
            <v>1086.2</v>
          </cell>
          <cell r="E34">
            <v>1088</v>
          </cell>
          <cell r="F34">
            <v>1067.5</v>
          </cell>
          <cell r="G34">
            <v>1072.05</v>
          </cell>
          <cell r="H34">
            <v>3271</v>
          </cell>
        </row>
        <row r="35">
          <cell r="C35">
            <v>42816</v>
          </cell>
          <cell r="D35">
            <v>1060.3499999999999</v>
          </cell>
          <cell r="E35">
            <v>1067.45</v>
          </cell>
          <cell r="F35">
            <v>1053</v>
          </cell>
          <cell r="G35">
            <v>1060.2</v>
          </cell>
          <cell r="H35">
            <v>2396</v>
          </cell>
        </row>
        <row r="36">
          <cell r="C36">
            <v>42817</v>
          </cell>
          <cell r="D36">
            <v>1064.9000000000001</v>
          </cell>
          <cell r="E36">
            <v>1071.05</v>
          </cell>
          <cell r="F36">
            <v>1057.6500000000001</v>
          </cell>
          <cell r="G36">
            <v>1065.25</v>
          </cell>
          <cell r="H36">
            <v>1765</v>
          </cell>
        </row>
        <row r="37">
          <cell r="C37">
            <v>42818</v>
          </cell>
          <cell r="D37">
            <v>1067.75</v>
          </cell>
          <cell r="E37">
            <v>1074.7</v>
          </cell>
          <cell r="F37">
            <v>1064.6500000000001</v>
          </cell>
          <cell r="G37">
            <v>1066.95</v>
          </cell>
          <cell r="H37">
            <v>1509</v>
          </cell>
        </row>
        <row r="38">
          <cell r="C38">
            <v>42821</v>
          </cell>
          <cell r="D38">
            <v>1062.75</v>
          </cell>
          <cell r="E38">
            <v>1064.5</v>
          </cell>
          <cell r="F38">
            <v>1043.05</v>
          </cell>
          <cell r="G38">
            <v>1045.95</v>
          </cell>
          <cell r="H38">
            <v>2865</v>
          </cell>
        </row>
        <row r="39">
          <cell r="C39">
            <v>42822</v>
          </cell>
          <cell r="D39">
            <v>1048.75</v>
          </cell>
          <cell r="E39">
            <v>1062</v>
          </cell>
          <cell r="F39">
            <v>1048.75</v>
          </cell>
          <cell r="G39">
            <v>1059.7</v>
          </cell>
          <cell r="H39">
            <v>2657</v>
          </cell>
        </row>
        <row r="40">
          <cell r="C40">
            <v>42823</v>
          </cell>
          <cell r="D40">
            <v>1061.2</v>
          </cell>
          <cell r="E40">
            <v>1080.5</v>
          </cell>
          <cell r="F40">
            <v>1061.0999999999999</v>
          </cell>
          <cell r="G40">
            <v>1068.1500000000001</v>
          </cell>
          <cell r="H40">
            <v>4674</v>
          </cell>
        </row>
        <row r="41">
          <cell r="C41">
            <v>42824</v>
          </cell>
          <cell r="D41">
            <v>1069.95</v>
          </cell>
          <cell r="E41">
            <v>1073.6500000000001</v>
          </cell>
          <cell r="F41">
            <v>1063.1500000000001</v>
          </cell>
          <cell r="G41">
            <v>1070.2</v>
          </cell>
          <cell r="H41">
            <v>3669</v>
          </cell>
        </row>
        <row r="42">
          <cell r="C42">
            <v>42825</v>
          </cell>
          <cell r="D42">
            <v>1072.1500000000001</v>
          </cell>
          <cell r="E42">
            <v>1081.8</v>
          </cell>
          <cell r="F42">
            <v>1070.3499999999999</v>
          </cell>
          <cell r="G42">
            <v>1077.7</v>
          </cell>
          <cell r="H42">
            <v>2032</v>
          </cell>
        </row>
        <row r="43">
          <cell r="C43">
            <v>42828</v>
          </cell>
          <cell r="D43">
            <v>1080.0999999999999</v>
          </cell>
          <cell r="E43">
            <v>1097</v>
          </cell>
          <cell r="F43">
            <v>1071.0999999999999</v>
          </cell>
          <cell r="G43">
            <v>1091.5999999999999</v>
          </cell>
          <cell r="H43">
            <v>3005</v>
          </cell>
        </row>
        <row r="44">
          <cell r="C44">
            <v>42830</v>
          </cell>
          <cell r="D44">
            <v>1095.2</v>
          </cell>
          <cell r="E44">
            <v>1095.6500000000001</v>
          </cell>
          <cell r="F44">
            <v>1075.0999999999999</v>
          </cell>
          <cell r="G44">
            <v>1086.05</v>
          </cell>
          <cell r="H44">
            <v>2427</v>
          </cell>
        </row>
        <row r="45">
          <cell r="C45">
            <v>42831</v>
          </cell>
          <cell r="D45">
            <v>1076.0999999999999</v>
          </cell>
          <cell r="E45">
            <v>1090.2</v>
          </cell>
          <cell r="F45">
            <v>1073</v>
          </cell>
          <cell r="G45">
            <v>1087.8</v>
          </cell>
          <cell r="H45">
            <v>1729</v>
          </cell>
        </row>
        <row r="46">
          <cell r="C46">
            <v>42832</v>
          </cell>
          <cell r="D46">
            <v>1077.05</v>
          </cell>
          <cell r="E46">
            <v>1091.3499999999999</v>
          </cell>
          <cell r="F46">
            <v>1076.1500000000001</v>
          </cell>
          <cell r="G46">
            <v>1084.3499999999999</v>
          </cell>
          <cell r="H46">
            <v>2377</v>
          </cell>
        </row>
        <row r="47">
          <cell r="C47">
            <v>42835</v>
          </cell>
          <cell r="D47">
            <v>1079.4000000000001</v>
          </cell>
          <cell r="E47">
            <v>1083.9000000000001</v>
          </cell>
          <cell r="F47">
            <v>1062.7</v>
          </cell>
          <cell r="G47">
            <v>1064.7</v>
          </cell>
          <cell r="H47">
            <v>2212</v>
          </cell>
        </row>
        <row r="48">
          <cell r="C48">
            <v>42836</v>
          </cell>
          <cell r="D48">
            <v>1064.9000000000001</v>
          </cell>
          <cell r="E48">
            <v>1081.95</v>
          </cell>
          <cell r="F48">
            <v>1060.5999999999999</v>
          </cell>
          <cell r="G48">
            <v>1078.6500000000001</v>
          </cell>
          <cell r="H48">
            <v>2081</v>
          </cell>
        </row>
        <row r="49">
          <cell r="C49">
            <v>42837</v>
          </cell>
          <cell r="D49">
            <v>1078.8</v>
          </cell>
          <cell r="E49">
            <v>1085</v>
          </cell>
          <cell r="F49">
            <v>1065.9000000000001</v>
          </cell>
          <cell r="G49">
            <v>1075.05</v>
          </cell>
          <cell r="H49">
            <v>1929</v>
          </cell>
        </row>
        <row r="50">
          <cell r="C50">
            <v>42838</v>
          </cell>
          <cell r="D50">
            <v>1073.5</v>
          </cell>
          <cell r="E50">
            <v>1083.9000000000001</v>
          </cell>
          <cell r="F50">
            <v>1070.45</v>
          </cell>
          <cell r="G50">
            <v>1080.95</v>
          </cell>
          <cell r="H50">
            <v>1178</v>
          </cell>
        </row>
        <row r="51">
          <cell r="C51">
            <v>42842</v>
          </cell>
          <cell r="D51">
            <v>1083</v>
          </cell>
          <cell r="E51">
            <v>1083</v>
          </cell>
          <cell r="F51">
            <v>1062</v>
          </cell>
          <cell r="G51">
            <v>1064.2</v>
          </cell>
          <cell r="H51">
            <v>1583</v>
          </cell>
        </row>
        <row r="52">
          <cell r="C52">
            <v>42843</v>
          </cell>
          <cell r="D52">
            <v>1064.8</v>
          </cell>
          <cell r="E52">
            <v>1073</v>
          </cell>
          <cell r="F52">
            <v>1042.0999999999999</v>
          </cell>
          <cell r="G52">
            <v>1044.75</v>
          </cell>
          <cell r="H52">
            <v>2511</v>
          </cell>
        </row>
        <row r="53">
          <cell r="C53">
            <v>42844</v>
          </cell>
          <cell r="D53">
            <v>1046.45</v>
          </cell>
          <cell r="E53">
            <v>1059.75</v>
          </cell>
          <cell r="F53">
            <v>1036</v>
          </cell>
          <cell r="G53">
            <v>1055.05</v>
          </cell>
          <cell r="H53">
            <v>1931</v>
          </cell>
        </row>
        <row r="54">
          <cell r="C54">
            <v>42845</v>
          </cell>
          <cell r="D54">
            <v>1060.4000000000001</v>
          </cell>
          <cell r="E54">
            <v>1065</v>
          </cell>
          <cell r="F54">
            <v>1045.3</v>
          </cell>
          <cell r="G54">
            <v>1062.3499999999999</v>
          </cell>
          <cell r="H54">
            <v>2097</v>
          </cell>
        </row>
        <row r="55">
          <cell r="C55">
            <v>42846</v>
          </cell>
          <cell r="D55">
            <v>1070</v>
          </cell>
          <cell r="E55">
            <v>1073.9000000000001</v>
          </cell>
          <cell r="F55">
            <v>1068.3</v>
          </cell>
          <cell r="G55">
            <v>1072.8499999999999</v>
          </cell>
          <cell r="H55">
            <v>17</v>
          </cell>
        </row>
        <row r="56">
          <cell r="C56">
            <v>42849</v>
          </cell>
          <cell r="D56">
            <v>1069</v>
          </cell>
          <cell r="E56">
            <v>1076.8499999999999</v>
          </cell>
          <cell r="F56">
            <v>1064.3</v>
          </cell>
          <cell r="G56">
            <v>1072.5999999999999</v>
          </cell>
          <cell r="H56">
            <v>2942</v>
          </cell>
        </row>
        <row r="57">
          <cell r="C57">
            <v>42850</v>
          </cell>
          <cell r="D57">
            <v>1074.5999999999999</v>
          </cell>
          <cell r="E57">
            <v>1100.9000000000001</v>
          </cell>
          <cell r="F57">
            <v>1069.5999999999999</v>
          </cell>
          <cell r="G57">
            <v>1098.05</v>
          </cell>
          <cell r="H57">
            <v>5623</v>
          </cell>
        </row>
        <row r="58">
          <cell r="C58">
            <v>42851</v>
          </cell>
          <cell r="D58">
            <v>1102.75</v>
          </cell>
          <cell r="E58">
            <v>1121.7</v>
          </cell>
          <cell r="F58">
            <v>1095.1500000000001</v>
          </cell>
          <cell r="G58">
            <v>1106.9000000000001</v>
          </cell>
          <cell r="H58">
            <v>7119</v>
          </cell>
        </row>
        <row r="59">
          <cell r="C59">
            <v>42852</v>
          </cell>
          <cell r="D59">
            <v>1107.25</v>
          </cell>
          <cell r="E59">
            <v>1107.9000000000001</v>
          </cell>
          <cell r="F59">
            <v>1092.4000000000001</v>
          </cell>
          <cell r="G59">
            <v>1104.9000000000001</v>
          </cell>
          <cell r="H59">
            <v>3284</v>
          </cell>
        </row>
        <row r="60">
          <cell r="C60">
            <v>42853</v>
          </cell>
          <cell r="D60">
            <v>1107.7</v>
          </cell>
          <cell r="E60">
            <v>1128</v>
          </cell>
          <cell r="F60">
            <v>1107.7</v>
          </cell>
          <cell r="G60">
            <v>1124.3</v>
          </cell>
          <cell r="H60">
            <v>3057</v>
          </cell>
        </row>
        <row r="61">
          <cell r="C61">
            <v>42857</v>
          </cell>
          <cell r="D61">
            <v>1127.8499999999999</v>
          </cell>
          <cell r="E61">
            <v>1139.1500000000001</v>
          </cell>
          <cell r="F61">
            <v>1103.95</v>
          </cell>
          <cell r="G61">
            <v>1118.05</v>
          </cell>
          <cell r="H61">
            <v>3484</v>
          </cell>
        </row>
        <row r="62">
          <cell r="C62">
            <v>42858</v>
          </cell>
          <cell r="D62">
            <v>1123.4000000000001</v>
          </cell>
          <cell r="E62">
            <v>1129.9000000000001</v>
          </cell>
          <cell r="F62">
            <v>1116.7</v>
          </cell>
          <cell r="G62">
            <v>1121.4000000000001</v>
          </cell>
          <cell r="H62">
            <v>1264</v>
          </cell>
        </row>
        <row r="63">
          <cell r="C63">
            <v>42859</v>
          </cell>
          <cell r="D63">
            <v>1121</v>
          </cell>
          <cell r="E63">
            <v>1137</v>
          </cell>
          <cell r="F63">
            <v>1119.75</v>
          </cell>
          <cell r="G63">
            <v>1134.3</v>
          </cell>
          <cell r="H63">
            <v>2338</v>
          </cell>
        </row>
        <row r="64">
          <cell r="C64">
            <v>42860</v>
          </cell>
          <cell r="D64">
            <v>1137</v>
          </cell>
          <cell r="E64">
            <v>1162.8499999999999</v>
          </cell>
          <cell r="F64">
            <v>1136.25</v>
          </cell>
          <cell r="G64">
            <v>1147.45</v>
          </cell>
          <cell r="H64">
            <v>5172</v>
          </cell>
        </row>
        <row r="65">
          <cell r="C65">
            <v>42863</v>
          </cell>
          <cell r="D65">
            <v>1147.75</v>
          </cell>
          <cell r="E65">
            <v>1173.5</v>
          </cell>
          <cell r="F65">
            <v>1145.25</v>
          </cell>
          <cell r="G65">
            <v>1169.05</v>
          </cell>
          <cell r="H65">
            <v>2540</v>
          </cell>
        </row>
        <row r="66">
          <cell r="C66">
            <v>42864</v>
          </cell>
          <cell r="D66">
            <v>1173.7</v>
          </cell>
          <cell r="E66">
            <v>1176.8499999999999</v>
          </cell>
          <cell r="F66">
            <v>1164.4000000000001</v>
          </cell>
          <cell r="G66">
            <v>1167.3499999999999</v>
          </cell>
          <cell r="H66">
            <v>2419</v>
          </cell>
        </row>
        <row r="67">
          <cell r="C67">
            <v>42865</v>
          </cell>
          <cell r="D67">
            <v>1152.55</v>
          </cell>
          <cell r="E67">
            <v>1183.2</v>
          </cell>
          <cell r="F67">
            <v>1152.55</v>
          </cell>
          <cell r="G67">
            <v>1160.3499999999999</v>
          </cell>
          <cell r="H67">
            <v>4643</v>
          </cell>
        </row>
        <row r="68">
          <cell r="C68">
            <v>42866</v>
          </cell>
          <cell r="D68">
            <v>1157.25</v>
          </cell>
          <cell r="E68">
            <v>1184</v>
          </cell>
          <cell r="F68">
            <v>1152.3</v>
          </cell>
          <cell r="G68">
            <v>1172.2</v>
          </cell>
          <cell r="H68">
            <v>5054</v>
          </cell>
        </row>
        <row r="69">
          <cell r="C69">
            <v>42867</v>
          </cell>
          <cell r="D69">
            <v>1175</v>
          </cell>
          <cell r="E69">
            <v>1181.95</v>
          </cell>
          <cell r="F69">
            <v>1130.5999999999999</v>
          </cell>
          <cell r="G69">
            <v>1134.25</v>
          </cell>
          <cell r="H69">
            <v>7814</v>
          </cell>
        </row>
        <row r="70">
          <cell r="C70">
            <v>42870</v>
          </cell>
          <cell r="D70">
            <v>1136.7</v>
          </cell>
          <cell r="E70">
            <v>1150</v>
          </cell>
          <cell r="F70">
            <v>1136</v>
          </cell>
          <cell r="G70">
            <v>1148.25</v>
          </cell>
          <cell r="H70">
            <v>2867</v>
          </cell>
        </row>
        <row r="71">
          <cell r="C71">
            <v>42871</v>
          </cell>
          <cell r="D71">
            <v>1148.3499999999999</v>
          </cell>
          <cell r="E71">
            <v>1150.05</v>
          </cell>
          <cell r="F71">
            <v>1132.4000000000001</v>
          </cell>
          <cell r="G71">
            <v>1145.7</v>
          </cell>
          <cell r="H71">
            <v>1973</v>
          </cell>
        </row>
        <row r="72">
          <cell r="C72">
            <v>42872</v>
          </cell>
          <cell r="D72">
            <v>1143.25</v>
          </cell>
          <cell r="E72">
            <v>1159.3499999999999</v>
          </cell>
          <cell r="F72">
            <v>1138.4000000000001</v>
          </cell>
          <cell r="G72">
            <v>1155.5</v>
          </cell>
          <cell r="H72">
            <v>2666</v>
          </cell>
        </row>
        <row r="73">
          <cell r="C73">
            <v>42873</v>
          </cell>
          <cell r="D73">
            <v>1146.75</v>
          </cell>
          <cell r="E73">
            <v>1159.95</v>
          </cell>
          <cell r="F73">
            <v>1142.05</v>
          </cell>
          <cell r="G73">
            <v>1150.5</v>
          </cell>
          <cell r="H73">
            <v>2606</v>
          </cell>
        </row>
        <row r="74">
          <cell r="C74">
            <v>42877</v>
          </cell>
          <cell r="D74">
            <v>1127</v>
          </cell>
          <cell r="E74">
            <v>1136</v>
          </cell>
          <cell r="F74">
            <v>1106.7</v>
          </cell>
          <cell r="G74">
            <v>1114.75</v>
          </cell>
          <cell r="H74">
            <v>3333</v>
          </cell>
        </row>
        <row r="75">
          <cell r="C75">
            <v>42878</v>
          </cell>
          <cell r="D75">
            <v>1122</v>
          </cell>
          <cell r="E75">
            <v>1126</v>
          </cell>
          <cell r="F75">
            <v>1093.05</v>
          </cell>
          <cell r="G75">
            <v>1101.8</v>
          </cell>
          <cell r="H75">
            <v>3438</v>
          </cell>
        </row>
        <row r="76">
          <cell r="C76">
            <v>42879</v>
          </cell>
          <cell r="D76">
            <v>1102.55</v>
          </cell>
          <cell r="E76">
            <v>1110.4000000000001</v>
          </cell>
          <cell r="F76">
            <v>1082.6500000000001</v>
          </cell>
          <cell r="G76">
            <v>1094.75</v>
          </cell>
          <cell r="H76">
            <v>3622</v>
          </cell>
        </row>
        <row r="77">
          <cell r="C77">
            <v>42880</v>
          </cell>
          <cell r="D77">
            <v>1098.8499999999999</v>
          </cell>
          <cell r="E77">
            <v>1117.1500000000001</v>
          </cell>
          <cell r="F77">
            <v>1090.1500000000001</v>
          </cell>
          <cell r="G77">
            <v>1109.55</v>
          </cell>
          <cell r="H77">
            <v>3288</v>
          </cell>
        </row>
        <row r="78">
          <cell r="C78">
            <v>42881</v>
          </cell>
          <cell r="D78">
            <v>1123.45</v>
          </cell>
          <cell r="E78">
            <v>1149.95</v>
          </cell>
          <cell r="F78">
            <v>1123.45</v>
          </cell>
          <cell r="G78">
            <v>1131.8</v>
          </cell>
          <cell r="H78">
            <v>2662</v>
          </cell>
        </row>
        <row r="79">
          <cell r="C79">
            <v>42884</v>
          </cell>
          <cell r="D79">
            <v>1131</v>
          </cell>
          <cell r="E79">
            <v>1150</v>
          </cell>
          <cell r="F79">
            <v>1128.7</v>
          </cell>
          <cell r="G79">
            <v>1145.5999999999999</v>
          </cell>
          <cell r="H79">
            <v>2355</v>
          </cell>
        </row>
        <row r="80">
          <cell r="C80">
            <v>42885</v>
          </cell>
          <cell r="D80">
            <v>1147.9000000000001</v>
          </cell>
          <cell r="E80">
            <v>1163.9000000000001</v>
          </cell>
          <cell r="F80">
            <v>1146.3</v>
          </cell>
          <cell r="G80">
            <v>1157.8499999999999</v>
          </cell>
          <cell r="H80">
            <v>2547</v>
          </cell>
        </row>
        <row r="81">
          <cell r="C81">
            <v>42886</v>
          </cell>
          <cell r="D81">
            <v>1157.3</v>
          </cell>
          <cell r="E81">
            <v>1163.7</v>
          </cell>
          <cell r="F81">
            <v>1145.2</v>
          </cell>
          <cell r="G81">
            <v>1150.8</v>
          </cell>
          <cell r="H81">
            <v>2078</v>
          </cell>
        </row>
        <row r="82">
          <cell r="C82">
            <v>42887</v>
          </cell>
          <cell r="D82">
            <v>1145.0999999999999</v>
          </cell>
          <cell r="E82">
            <v>1159.5</v>
          </cell>
          <cell r="F82">
            <v>1132.3</v>
          </cell>
          <cell r="G82">
            <v>1157.8499999999999</v>
          </cell>
          <cell r="H82">
            <v>2458</v>
          </cell>
        </row>
        <row r="83">
          <cell r="C83">
            <v>42888</v>
          </cell>
          <cell r="D83">
            <v>1159.1500000000001</v>
          </cell>
          <cell r="E83">
            <v>1172.3499999999999</v>
          </cell>
          <cell r="F83">
            <v>1159</v>
          </cell>
          <cell r="G83">
            <v>1162.55</v>
          </cell>
          <cell r="H83">
            <v>2137</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bin"/><Relationship Id="rId1" Type="http://schemas.openxmlformats.org/officeDocument/2006/relationships/hyperlink" Target="http://youtu.be/v2M8aVu1q9c" TargetMode="Externa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youtu.be/v2M8aVu1q9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L81"/>
  <sheetViews>
    <sheetView zoomScale="130" zoomScaleNormal="205" workbookViewId="0">
      <selection activeCell="C38" sqref="C38"/>
    </sheetView>
  </sheetViews>
  <sheetFormatPr defaultColWidth="9.109375" defaultRowHeight="10.5" x14ac:dyDescent="0.3"/>
  <cols>
    <col min="1" max="3" width="13.6640625" style="2" customWidth="1"/>
    <col min="4" max="11" width="8.6640625" style="2" customWidth="1"/>
    <col min="12" max="13" width="12.6640625" style="2" customWidth="1"/>
    <col min="14" max="16384" width="9.109375" style="2"/>
  </cols>
  <sheetData>
    <row r="1" spans="1:12" x14ac:dyDescent="0.3">
      <c r="A1" s="532" t="s">
        <v>2</v>
      </c>
      <c r="B1" s="532"/>
      <c r="C1" s="532"/>
      <c r="D1" s="551" t="s">
        <v>324</v>
      </c>
      <c r="E1" s="551"/>
      <c r="G1" s="4" t="s">
        <v>325</v>
      </c>
      <c r="H1" s="4" t="s">
        <v>326</v>
      </c>
    </row>
    <row r="2" spans="1:12" x14ac:dyDescent="0.3">
      <c r="A2" s="532" t="s">
        <v>146</v>
      </c>
      <c r="B2" s="532"/>
      <c r="C2" s="532"/>
      <c r="D2" s="552">
        <v>100000</v>
      </c>
      <c r="E2" s="552"/>
    </row>
    <row r="3" spans="1:12" x14ac:dyDescent="0.3">
      <c r="A3" s="532" t="s">
        <v>148</v>
      </c>
      <c r="B3" s="532"/>
      <c r="C3" s="532"/>
      <c r="D3" s="554">
        <v>0.105</v>
      </c>
      <c r="E3" s="554"/>
    </row>
    <row r="4" spans="1:12" x14ac:dyDescent="0.3">
      <c r="A4" s="532" t="s">
        <v>154</v>
      </c>
      <c r="B4" s="532"/>
      <c r="C4" s="532"/>
      <c r="D4" s="556"/>
      <c r="E4" s="557"/>
      <c r="F4" s="240" t="s">
        <v>153</v>
      </c>
    </row>
    <row r="5" spans="1:12" x14ac:dyDescent="0.3">
      <c r="A5" s="532" t="s">
        <v>147</v>
      </c>
      <c r="B5" s="532"/>
      <c r="C5" s="532"/>
      <c r="D5" s="555">
        <f>D2+D4</f>
        <v>100000</v>
      </c>
      <c r="E5" s="555"/>
      <c r="G5" s="4"/>
      <c r="H5" s="4"/>
    </row>
    <row r="6" spans="1:12" x14ac:dyDescent="0.3">
      <c r="A6" s="532" t="s">
        <v>149</v>
      </c>
      <c r="B6" s="532"/>
      <c r="C6" s="532"/>
      <c r="D6" s="553">
        <f>IF((D5&gt;=100%*D2),D3,IF(AND((D5&gt;=90%*D2),(D5&lt;100%*D2)),C23,IF(AND((D5&gt;=80%*D2),(D5&lt;90%*D2)),D23,IF(AND((D5&gt;=70%*D2),(D5&lt;80%*D2)),E23,IF(AND((D5&gt;=60%*D2),(D5&lt;70%*D2)),F23,IF(AND((D5&gt;=50%*D2),(D5&lt;60%*D2)),G23,IF(AND((D5&gt;=40%*D2),(D5&lt;50%*D2)),H23,IF(AND((D5&gt;=30%*D2),(D5&lt;40%*D2)),I23,IF(AND((D5&gt;=20%*D2),(D5&lt;30%*D2)),J23,IF(AND((D5&gt;=10%*D2),(D5&lt;20%*D2)),K23,IF((D5&lt;=10%*D2),L23,"Check")))))))))))</f>
        <v>0.105</v>
      </c>
      <c r="E6" s="553"/>
    </row>
    <row r="7" spans="1:12" x14ac:dyDescent="0.3">
      <c r="A7" s="532" t="s">
        <v>214</v>
      </c>
      <c r="B7" s="532"/>
      <c r="C7" s="532"/>
      <c r="D7" s="555">
        <f>D5*D6</f>
        <v>10500</v>
      </c>
      <c r="E7" s="555"/>
      <c r="L7" s="213"/>
    </row>
    <row r="8" spans="1:12" x14ac:dyDescent="0.3">
      <c r="A8" s="532" t="s">
        <v>111</v>
      </c>
      <c r="B8" s="532"/>
      <c r="C8" s="532"/>
      <c r="D8" s="558">
        <f>D5/D7</f>
        <v>9.5238095238095237</v>
      </c>
      <c r="E8" s="558"/>
    </row>
    <row r="9" spans="1:12" x14ac:dyDescent="0.3">
      <c r="A9" s="532" t="s">
        <v>134</v>
      </c>
      <c r="B9" s="532"/>
      <c r="C9" s="532"/>
      <c r="D9" s="559">
        <v>0.1</v>
      </c>
      <c r="E9" s="535"/>
    </row>
    <row r="10" spans="1:12" x14ac:dyDescent="0.3">
      <c r="A10" s="532" t="s">
        <v>157</v>
      </c>
      <c r="B10" s="532"/>
      <c r="C10" s="532"/>
      <c r="D10" s="534">
        <v>2</v>
      </c>
      <c r="E10" s="535"/>
    </row>
    <row r="11" spans="1:12" x14ac:dyDescent="0.3">
      <c r="A11" s="538" t="s">
        <v>160</v>
      </c>
      <c r="B11" s="539"/>
      <c r="C11" s="540"/>
      <c r="D11" s="541">
        <v>5</v>
      </c>
      <c r="E11" s="542"/>
    </row>
    <row r="12" spans="1:12" x14ac:dyDescent="0.3">
      <c r="A12" s="532" t="s">
        <v>161</v>
      </c>
      <c r="B12" s="532"/>
      <c r="C12" s="532"/>
      <c r="D12" s="560">
        <v>0.4</v>
      </c>
      <c r="E12" s="542"/>
    </row>
    <row r="13" spans="1:12" x14ac:dyDescent="0.3">
      <c r="A13" s="532" t="s">
        <v>158</v>
      </c>
      <c r="B13" s="532"/>
      <c r="C13" s="532"/>
      <c r="D13" s="534">
        <v>0.75</v>
      </c>
      <c r="E13" s="535"/>
    </row>
    <row r="14" spans="1:12" x14ac:dyDescent="0.3">
      <c r="A14" s="538" t="s">
        <v>159</v>
      </c>
      <c r="B14" s="539"/>
      <c r="C14" s="540"/>
      <c r="D14" s="541">
        <v>0.05</v>
      </c>
      <c r="E14" s="542"/>
    </row>
    <row r="15" spans="1:12" x14ac:dyDescent="0.3">
      <c r="A15" s="532" t="s">
        <v>248</v>
      </c>
      <c r="B15" s="532"/>
      <c r="C15" s="532"/>
      <c r="D15" s="216">
        <v>50</v>
      </c>
      <c r="E15" s="216">
        <v>50</v>
      </c>
    </row>
    <row r="16" spans="1:12" x14ac:dyDescent="0.3">
      <c r="A16" s="532" t="s">
        <v>254</v>
      </c>
      <c r="B16" s="532"/>
      <c r="C16" s="532"/>
      <c r="D16" s="216">
        <v>2</v>
      </c>
      <c r="E16" s="216">
        <v>2</v>
      </c>
    </row>
    <row r="17" spans="1:12" x14ac:dyDescent="0.3">
      <c r="A17" s="532" t="s">
        <v>279</v>
      </c>
      <c r="B17" s="532"/>
      <c r="C17" s="532"/>
      <c r="D17" s="533">
        <v>0</v>
      </c>
      <c r="E17" s="533"/>
    </row>
    <row r="18" spans="1:12" x14ac:dyDescent="0.3">
      <c r="A18" s="532" t="s">
        <v>173</v>
      </c>
      <c r="B18" s="532"/>
      <c r="C18" s="532"/>
      <c r="D18" s="533">
        <v>10</v>
      </c>
      <c r="E18" s="533"/>
    </row>
    <row r="19" spans="1:12" x14ac:dyDescent="0.3">
      <c r="A19" s="532" t="s">
        <v>272</v>
      </c>
      <c r="B19" s="532"/>
      <c r="C19" s="532"/>
      <c r="D19" s="3">
        <f ca="1">DATE(YEAR(NOW()),MONTH(NOW()),DAY(NOW()))+TIME(9,15,0)</f>
        <v>45769.385416666664</v>
      </c>
      <c r="E19" s="3">
        <v>0.39583333333333331</v>
      </c>
    </row>
    <row r="20" spans="1:12" x14ac:dyDescent="0.3">
      <c r="A20" s="532" t="s">
        <v>174</v>
      </c>
      <c r="B20" s="532"/>
      <c r="C20" s="532"/>
      <c r="D20" s="547">
        <f ca="1">NOW()</f>
        <v>45769.773114351854</v>
      </c>
      <c r="E20" s="547"/>
    </row>
    <row r="21" spans="1:12" ht="11.15" thickBot="1" x14ac:dyDescent="0.35"/>
    <row r="22" spans="1:12" ht="11.15" thickBot="1" x14ac:dyDescent="0.35">
      <c r="A22" s="536" t="s">
        <v>135</v>
      </c>
      <c r="B22" s="548"/>
      <c r="C22" s="217" t="s">
        <v>136</v>
      </c>
      <c r="D22" s="218" t="s">
        <v>137</v>
      </c>
      <c r="E22" s="218" t="s">
        <v>138</v>
      </c>
      <c r="F22" s="218" t="s">
        <v>139</v>
      </c>
      <c r="G22" s="218" t="s">
        <v>140</v>
      </c>
      <c r="H22" s="218" t="s">
        <v>141</v>
      </c>
      <c r="I22" s="218" t="s">
        <v>142</v>
      </c>
      <c r="J22" s="218" t="s">
        <v>143</v>
      </c>
      <c r="K22" s="218" t="s">
        <v>144</v>
      </c>
      <c r="L22" s="219" t="s">
        <v>145</v>
      </c>
    </row>
    <row r="23" spans="1:12" ht="11.15" thickBot="1" x14ac:dyDescent="0.35">
      <c r="A23" s="549" t="s">
        <v>4</v>
      </c>
      <c r="B23" s="550"/>
      <c r="C23" s="222">
        <f>D3</f>
        <v>0.105</v>
      </c>
      <c r="D23" s="220">
        <f t="shared" ref="D23:L23" si="0">C23*(100%-$D$9)</f>
        <v>9.4500000000000001E-2</v>
      </c>
      <c r="E23" s="220">
        <f t="shared" si="0"/>
        <v>8.5050000000000001E-2</v>
      </c>
      <c r="F23" s="220">
        <f t="shared" si="0"/>
        <v>7.6545000000000002E-2</v>
      </c>
      <c r="G23" s="220">
        <f t="shared" si="0"/>
        <v>6.8890500000000007E-2</v>
      </c>
      <c r="H23" s="220">
        <f t="shared" si="0"/>
        <v>6.2001450000000007E-2</v>
      </c>
      <c r="I23" s="220">
        <f t="shared" si="0"/>
        <v>5.5801305000000009E-2</v>
      </c>
      <c r="J23" s="220">
        <f t="shared" si="0"/>
        <v>5.0221174500000007E-2</v>
      </c>
      <c r="K23" s="220">
        <f t="shared" si="0"/>
        <v>4.5199057050000005E-2</v>
      </c>
      <c r="L23" s="221">
        <f t="shared" si="0"/>
        <v>4.0679151345000004E-2</v>
      </c>
    </row>
    <row r="24" spans="1:12" ht="11.15" thickBot="1" x14ac:dyDescent="0.35">
      <c r="F24" s="83"/>
    </row>
    <row r="25" spans="1:12" ht="11.15" thickBot="1" x14ac:dyDescent="0.35">
      <c r="A25" s="536" t="s">
        <v>92</v>
      </c>
      <c r="B25" s="537"/>
      <c r="C25" s="80" t="s">
        <v>67</v>
      </c>
      <c r="D25" s="67" t="s">
        <v>93</v>
      </c>
      <c r="E25" s="67" t="s">
        <v>94</v>
      </c>
      <c r="F25" s="67" t="s">
        <v>95</v>
      </c>
      <c r="G25" s="67" t="s">
        <v>96</v>
      </c>
      <c r="H25" s="67" t="s">
        <v>97</v>
      </c>
      <c r="I25" s="67" t="s">
        <v>98</v>
      </c>
      <c r="J25" s="67" t="s">
        <v>72</v>
      </c>
      <c r="K25" s="68" t="s">
        <v>73</v>
      </c>
    </row>
    <row r="26" spans="1:12" x14ac:dyDescent="0.3">
      <c r="A26" s="543" t="s">
        <v>99</v>
      </c>
      <c r="B26" s="544"/>
      <c r="C26" s="77">
        <v>2.0000000000000001E-4</v>
      </c>
      <c r="D26" s="69">
        <v>2.0999999999999999E-5</v>
      </c>
      <c r="E26" s="70">
        <v>0.14000000000000001</v>
      </c>
      <c r="F26" s="78">
        <v>5.0000000000000001E-3</v>
      </c>
      <c r="G26" s="78">
        <v>5.0000000000000001E-3</v>
      </c>
      <c r="H26" s="71" t="s">
        <v>20</v>
      </c>
      <c r="I26" s="72">
        <v>2.0000000000000002E-5</v>
      </c>
      <c r="J26" s="78">
        <v>1E-4</v>
      </c>
      <c r="K26" s="79">
        <v>4.0000000000000002E-4</v>
      </c>
    </row>
    <row r="27" spans="1:12" ht="11.15" thickBot="1" x14ac:dyDescent="0.35">
      <c r="A27" s="545" t="s">
        <v>100</v>
      </c>
      <c r="B27" s="546"/>
      <c r="C27" s="76">
        <v>20</v>
      </c>
      <c r="D27" s="73" t="s">
        <v>20</v>
      </c>
      <c r="E27" s="73" t="s">
        <v>20</v>
      </c>
      <c r="F27" s="73" t="s">
        <v>20</v>
      </c>
      <c r="G27" s="73" t="s">
        <v>20</v>
      </c>
      <c r="H27" s="74">
        <f>20/10000000</f>
        <v>1.9999999999999999E-6</v>
      </c>
      <c r="I27" s="73" t="s">
        <v>20</v>
      </c>
      <c r="J27" s="73" t="s">
        <v>20</v>
      </c>
      <c r="K27" s="75"/>
    </row>
    <row r="79" spans="1:2" x14ac:dyDescent="0.3">
      <c r="A79" s="4" t="s">
        <v>7</v>
      </c>
    </row>
    <row r="80" spans="1:2" x14ac:dyDescent="0.3">
      <c r="A80" s="57">
        <v>0</v>
      </c>
      <c r="B80" s="57" t="s">
        <v>5</v>
      </c>
    </row>
    <row r="81" spans="1:2" x14ac:dyDescent="0.3">
      <c r="A81" s="57">
        <v>1</v>
      </c>
      <c r="B81" s="57" t="s">
        <v>8</v>
      </c>
    </row>
  </sheetData>
  <mergeCells count="42">
    <mergeCell ref="A7:C7"/>
    <mergeCell ref="D7:E7"/>
    <mergeCell ref="A10:C10"/>
    <mergeCell ref="A17:C17"/>
    <mergeCell ref="D17:E17"/>
    <mergeCell ref="A8:C8"/>
    <mergeCell ref="D8:E8"/>
    <mergeCell ref="A15:C15"/>
    <mergeCell ref="D9:E9"/>
    <mergeCell ref="A9:C9"/>
    <mergeCell ref="A11:C11"/>
    <mergeCell ref="D11:E11"/>
    <mergeCell ref="A12:C12"/>
    <mergeCell ref="D12:E12"/>
    <mergeCell ref="A16:C16"/>
    <mergeCell ref="A1:C1"/>
    <mergeCell ref="D1:E1"/>
    <mergeCell ref="A2:C2"/>
    <mergeCell ref="D2:E2"/>
    <mergeCell ref="A6:C6"/>
    <mergeCell ref="D6:E6"/>
    <mergeCell ref="A3:C3"/>
    <mergeCell ref="D3:E3"/>
    <mergeCell ref="A5:C5"/>
    <mergeCell ref="D5:E5"/>
    <mergeCell ref="A4:C4"/>
    <mergeCell ref="D4:E4"/>
    <mergeCell ref="A26:B26"/>
    <mergeCell ref="A27:B27"/>
    <mergeCell ref="A20:C20"/>
    <mergeCell ref="D20:E20"/>
    <mergeCell ref="A22:B22"/>
    <mergeCell ref="A23:B23"/>
    <mergeCell ref="A18:C18"/>
    <mergeCell ref="D18:E18"/>
    <mergeCell ref="A19:C19"/>
    <mergeCell ref="D10:E10"/>
    <mergeCell ref="A25:B25"/>
    <mergeCell ref="A14:C14"/>
    <mergeCell ref="D14:E14"/>
    <mergeCell ref="A13:C13"/>
    <mergeCell ref="D13:E13"/>
  </mergeCells>
  <dataValidations disablePrompts="1" count="1">
    <dataValidation type="list" allowBlank="1" showInputMessage="1" showErrorMessage="1" sqref="D17:E17" xr:uid="{00000000-0002-0000-0500-000000000000}">
      <formula1>$A$80:$A$81</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Z14"/>
  <sheetViews>
    <sheetView zoomScale="120" zoomScaleNormal="120" workbookViewId="0">
      <pane xSplit="8" ySplit="3" topLeftCell="I4" activePane="bottomRight" state="frozen"/>
      <selection pane="topRight" activeCell="I1" sqref="I1"/>
      <selection pane="bottomLeft" activeCell="A4" sqref="A4"/>
      <selection pane="bottomRight" activeCell="J10" sqref="J10"/>
    </sheetView>
  </sheetViews>
  <sheetFormatPr defaultColWidth="9.109375" defaultRowHeight="10.5" x14ac:dyDescent="0.3"/>
  <cols>
    <col min="1" max="1" width="3.6640625" style="2" customWidth="1"/>
    <col min="2" max="2" width="12.6640625" style="2" customWidth="1"/>
    <col min="3" max="3" width="8.6640625" style="2" customWidth="1"/>
    <col min="4" max="4" width="7.6640625" style="2" customWidth="1"/>
    <col min="5" max="7" width="6.6640625" style="2" customWidth="1"/>
    <col min="8" max="8" width="15.6640625" style="2" customWidth="1"/>
    <col min="9" max="9" width="6.6640625" style="2" customWidth="1"/>
    <col min="10" max="11" width="5.6640625" style="2" customWidth="1"/>
    <col min="12" max="12" width="8.6640625" style="2" customWidth="1"/>
    <col min="13" max="13" width="7.6640625" style="2" customWidth="1"/>
    <col min="14" max="15" width="8.6640625" style="2" customWidth="1"/>
    <col min="16" max="16" width="6.6640625" style="2" customWidth="1"/>
    <col min="17" max="17" width="7.6640625" style="2" customWidth="1"/>
    <col min="18" max="18" width="3.6640625" style="2" customWidth="1"/>
    <col min="19" max="19" width="3.6640625" style="57" customWidth="1"/>
    <col min="20" max="30" width="7.6640625" style="2" customWidth="1"/>
    <col min="31" max="31" width="12.6640625" style="57" customWidth="1"/>
    <col min="32" max="32" width="14.6640625" style="57" customWidth="1"/>
    <col min="33" max="33" width="3.6640625" style="2" customWidth="1"/>
    <col min="34" max="34" width="3.6640625" style="57" customWidth="1"/>
    <col min="35" max="36" width="7.6640625" style="61" customWidth="1"/>
    <col min="37" max="37" width="7.6640625" style="60" customWidth="1"/>
    <col min="38" max="39" width="8.6640625" style="2" customWidth="1"/>
    <col min="40" max="40" width="4.6640625" style="2" customWidth="1"/>
    <col min="41" max="51" width="9.109375" style="2" customWidth="1"/>
    <col min="52" max="52" width="6.6640625" style="2" customWidth="1"/>
    <col min="53" max="53" width="16.44140625" style="2" customWidth="1"/>
    <col min="54" max="65" width="9.109375" style="2" customWidth="1"/>
    <col min="66" max="66" width="6.6640625" style="2" customWidth="1"/>
    <col min="67" max="67" width="5.6640625" style="2" customWidth="1"/>
    <col min="68" max="68" width="6.6640625" style="2" customWidth="1"/>
    <col min="69" max="70" width="10.6640625" style="2" customWidth="1"/>
    <col min="71" max="72" width="6.6640625" style="2" customWidth="1"/>
    <col min="73" max="77" width="7.6640625" style="2" customWidth="1"/>
    <col min="78" max="79" width="10.6640625" style="2" customWidth="1"/>
    <col min="80" max="82" width="8.6640625" style="2" customWidth="1"/>
    <col min="83" max="85" width="6.6640625" style="2" customWidth="1"/>
    <col min="86" max="87" width="6.6640625" style="57" customWidth="1"/>
    <col min="88" max="94" width="8.6640625" style="2" customWidth="1"/>
    <col min="95" max="106" width="7.6640625" style="2" customWidth="1"/>
    <col min="107" max="108" width="10.6640625" style="2" customWidth="1"/>
    <col min="109" max="110" width="12.6640625" style="2" customWidth="1"/>
    <col min="111" max="111" width="6.6640625" style="2" customWidth="1"/>
    <col min="112" max="112" width="9.6640625" style="2" customWidth="1"/>
    <col min="113" max="113" width="10.6640625" style="2" customWidth="1"/>
    <col min="114" max="121" width="9.6640625" style="2" customWidth="1"/>
    <col min="122" max="122" width="6.6640625" style="2" customWidth="1"/>
    <col min="123" max="123" width="9.6640625" style="2" customWidth="1"/>
    <col min="124" max="124" width="10.6640625" style="2" customWidth="1"/>
    <col min="125" max="128" width="9.6640625" style="2" customWidth="1"/>
    <col min="129" max="142" width="9.109375" style="2"/>
    <col min="143" max="143" width="15.6640625" style="2" customWidth="1"/>
    <col min="144" max="144" width="6.6640625" style="2" customWidth="1"/>
    <col min="145" max="146" width="7.6640625" style="2" customWidth="1"/>
    <col min="147" max="147" width="18.6640625" style="2" customWidth="1"/>
    <col min="148" max="148" width="7.6640625" style="2" customWidth="1"/>
    <col min="149" max="149" width="6.6640625" style="2" customWidth="1"/>
    <col min="150" max="150" width="5.6640625" style="2" customWidth="1"/>
    <col min="151" max="154" width="6.6640625" style="2" customWidth="1"/>
    <col min="155" max="16384" width="9.109375" style="2"/>
  </cols>
  <sheetData>
    <row r="1" spans="1:156" ht="19" x14ac:dyDescent="0.3">
      <c r="A1" s="84"/>
      <c r="B1" s="486">
        <f>[1]NOW!$C$6</f>
        <v>9345</v>
      </c>
      <c r="C1" s="487">
        <f>[1]NOW!$E$6</f>
        <v>28.3</v>
      </c>
      <c r="D1" s="488">
        <f ca="1">NOW()</f>
        <v>45769.773114351854</v>
      </c>
      <c r="E1" s="458"/>
      <c r="F1" s="489" t="s">
        <v>8</v>
      </c>
      <c r="G1" s="489" t="s">
        <v>8</v>
      </c>
      <c r="H1" s="497" t="s">
        <v>5</v>
      </c>
      <c r="K1" s="490"/>
      <c r="S1" s="2"/>
      <c r="AE1" s="2"/>
      <c r="AF1" s="2"/>
      <c r="AH1" s="2"/>
      <c r="AI1" s="2"/>
      <c r="AJ1" s="2"/>
      <c r="AK1" s="2"/>
      <c r="BG1" s="57"/>
      <c r="BH1" s="57"/>
      <c r="BI1" s="57"/>
      <c r="BJ1" s="57"/>
      <c r="BK1" s="57"/>
      <c r="BL1" s="57"/>
      <c r="BM1" s="57"/>
      <c r="BN1" s="573" t="s">
        <v>167</v>
      </c>
      <c r="BO1" s="574"/>
      <c r="BP1" s="505"/>
      <c r="BU1" s="477"/>
      <c r="BV1" s="477"/>
      <c r="BW1" s="477"/>
      <c r="BX1" s="477"/>
      <c r="BY1" s="477"/>
      <c r="BZ1" s="168"/>
      <c r="CA1" s="168"/>
      <c r="CC1" s="168"/>
      <c r="CD1" s="168"/>
      <c r="CE1" s="168"/>
      <c r="CF1" s="168"/>
      <c r="CG1" s="168"/>
      <c r="CH1" s="168"/>
      <c r="CI1" s="168"/>
      <c r="CJ1" s="587" t="s">
        <v>323</v>
      </c>
      <c r="CK1" s="587"/>
      <c r="CL1" s="587"/>
      <c r="CM1" s="587"/>
      <c r="CN1" s="587"/>
      <c r="CO1" s="587"/>
      <c r="CP1" s="588"/>
      <c r="CQ1" s="587" t="s">
        <v>321</v>
      </c>
      <c r="CR1" s="587"/>
      <c r="CS1" s="587"/>
      <c r="CT1" s="587"/>
      <c r="CU1" s="587"/>
      <c r="CV1" s="587"/>
      <c r="CW1" s="587"/>
      <c r="CX1" s="587"/>
      <c r="CY1" s="587"/>
      <c r="CZ1" s="587"/>
      <c r="DA1" s="587"/>
      <c r="DB1" s="587"/>
      <c r="DC1" s="587"/>
      <c r="DD1" s="587"/>
      <c r="DE1" s="587"/>
      <c r="DF1" s="589"/>
      <c r="DG1" s="575" t="s">
        <v>322</v>
      </c>
      <c r="DH1" s="576"/>
      <c r="DI1" s="576"/>
      <c r="DJ1" s="576"/>
      <c r="DK1" s="576"/>
      <c r="DL1" s="576"/>
      <c r="DM1" s="576"/>
      <c r="DN1" s="576"/>
      <c r="DO1" s="576"/>
      <c r="DP1" s="576"/>
      <c r="DQ1" s="577"/>
      <c r="DR1" s="570" t="s">
        <v>172</v>
      </c>
      <c r="DS1" s="571"/>
      <c r="DT1" s="571"/>
      <c r="DU1" s="571"/>
      <c r="DV1" s="571"/>
      <c r="DW1" s="571"/>
      <c r="DX1" s="572"/>
      <c r="EM1" s="562" t="s">
        <v>166</v>
      </c>
      <c r="EN1" s="563"/>
      <c r="EO1" s="564" t="s">
        <v>166</v>
      </c>
      <c r="EP1" s="565"/>
      <c r="EQ1" s="565"/>
      <c r="ER1" s="565"/>
      <c r="ES1" s="565"/>
      <c r="ET1" s="565"/>
      <c r="EU1" s="565"/>
      <c r="EV1" s="565"/>
      <c r="EW1" s="565"/>
      <c r="EX1" s="565"/>
      <c r="EY1" s="565"/>
      <c r="EZ1" s="565"/>
    </row>
    <row r="2" spans="1:156" s="58" customFormat="1" ht="55.65" customHeight="1" x14ac:dyDescent="0.3">
      <c r="A2" s="579" t="s">
        <v>1</v>
      </c>
      <c r="B2" s="561" t="s">
        <v>0</v>
      </c>
      <c r="C2" s="579" t="s">
        <v>60</v>
      </c>
      <c r="D2" s="579" t="s">
        <v>258</v>
      </c>
      <c r="E2" s="579" t="s">
        <v>257</v>
      </c>
      <c r="F2" s="579" t="s">
        <v>168</v>
      </c>
      <c r="G2" s="579" t="s">
        <v>169</v>
      </c>
      <c r="H2" s="579" t="s">
        <v>320</v>
      </c>
      <c r="I2" s="566" t="s">
        <v>319</v>
      </c>
      <c r="J2" s="579" t="s">
        <v>62</v>
      </c>
      <c r="K2" s="579" t="s">
        <v>59</v>
      </c>
      <c r="L2" s="579" t="s">
        <v>63</v>
      </c>
      <c r="M2" s="579" t="s">
        <v>61</v>
      </c>
      <c r="N2" s="579" t="s">
        <v>103</v>
      </c>
      <c r="O2" s="579" t="s">
        <v>120</v>
      </c>
      <c r="P2" s="579" t="s">
        <v>118</v>
      </c>
      <c r="Q2" s="579" t="s">
        <v>119</v>
      </c>
      <c r="R2" s="579" t="s">
        <v>237</v>
      </c>
      <c r="S2" s="568" t="s">
        <v>234</v>
      </c>
      <c r="T2" s="561" t="s">
        <v>295</v>
      </c>
      <c r="U2" s="566" t="s">
        <v>295</v>
      </c>
      <c r="V2" s="579" t="s">
        <v>177</v>
      </c>
      <c r="W2" s="579" t="s">
        <v>178</v>
      </c>
      <c r="X2" s="561" t="s">
        <v>121</v>
      </c>
      <c r="Y2" s="561" t="s">
        <v>122</v>
      </c>
      <c r="Z2" s="561" t="s">
        <v>304</v>
      </c>
      <c r="AA2" s="561" t="s">
        <v>305</v>
      </c>
      <c r="AB2" s="561" t="s">
        <v>294</v>
      </c>
      <c r="AC2" s="579" t="s">
        <v>175</v>
      </c>
      <c r="AD2" s="579" t="s">
        <v>176</v>
      </c>
      <c r="AE2" s="579" t="s">
        <v>256</v>
      </c>
      <c r="AF2" s="579" t="s">
        <v>249</v>
      </c>
      <c r="AG2" s="579" t="s">
        <v>123</v>
      </c>
      <c r="AH2" s="568" t="s">
        <v>233</v>
      </c>
      <c r="AI2" s="580" t="s">
        <v>64</v>
      </c>
      <c r="AJ2" s="580" t="s">
        <v>255</v>
      </c>
      <c r="AK2" s="581" t="s">
        <v>109</v>
      </c>
      <c r="AL2" s="568" t="s">
        <v>132</v>
      </c>
      <c r="AM2" s="568" t="s">
        <v>133</v>
      </c>
      <c r="AN2" s="584" t="s">
        <v>65</v>
      </c>
      <c r="AO2" s="579" t="s">
        <v>90</v>
      </c>
      <c r="AP2" s="568" t="s">
        <v>66</v>
      </c>
      <c r="AQ2" s="579" t="s">
        <v>67</v>
      </c>
      <c r="AR2" s="568" t="s">
        <v>68</v>
      </c>
      <c r="AS2" s="568" t="s">
        <v>69</v>
      </c>
      <c r="AT2" s="568" t="s">
        <v>70</v>
      </c>
      <c r="AU2" s="568" t="s">
        <v>71</v>
      </c>
      <c r="AV2" s="568" t="s">
        <v>72</v>
      </c>
      <c r="AW2" s="568" t="s">
        <v>73</v>
      </c>
      <c r="AX2" s="568" t="s">
        <v>74</v>
      </c>
      <c r="AY2" s="568" t="s">
        <v>91</v>
      </c>
      <c r="AZ2" s="568" t="s">
        <v>75</v>
      </c>
      <c r="BA2" s="591" t="s">
        <v>85</v>
      </c>
      <c r="BB2" s="585" t="s">
        <v>150</v>
      </c>
      <c r="BC2" s="585" t="s">
        <v>84</v>
      </c>
      <c r="BD2" s="585" t="s">
        <v>151</v>
      </c>
      <c r="BE2" s="586" t="s">
        <v>82</v>
      </c>
      <c r="BF2" s="585" t="s">
        <v>83</v>
      </c>
      <c r="BG2" s="585" t="s">
        <v>21</v>
      </c>
      <c r="BH2" s="585" t="s">
        <v>22</v>
      </c>
      <c r="BI2" s="585" t="s">
        <v>23</v>
      </c>
      <c r="BJ2" s="561" t="s">
        <v>87</v>
      </c>
      <c r="BK2" s="561" t="s">
        <v>57</v>
      </c>
      <c r="BL2" s="561" t="s">
        <v>58</v>
      </c>
      <c r="BM2" s="561" t="s">
        <v>86</v>
      </c>
      <c r="BN2" s="579" t="s">
        <v>124</v>
      </c>
      <c r="BO2" s="579" t="s">
        <v>125</v>
      </c>
      <c r="BP2" s="578" t="s">
        <v>112</v>
      </c>
      <c r="BQ2" s="578" t="s">
        <v>89</v>
      </c>
      <c r="BR2" s="578" t="s">
        <v>183</v>
      </c>
      <c r="BS2" s="578" t="s">
        <v>235</v>
      </c>
      <c r="BT2" s="578" t="s">
        <v>236</v>
      </c>
      <c r="BU2" s="561" t="s">
        <v>259</v>
      </c>
      <c r="BV2" s="561" t="s">
        <v>188</v>
      </c>
      <c r="BW2" s="561" t="s">
        <v>189</v>
      </c>
      <c r="BX2" s="561" t="s">
        <v>190</v>
      </c>
      <c r="BY2" s="561" t="s">
        <v>191</v>
      </c>
      <c r="BZ2" s="579" t="s">
        <v>193</v>
      </c>
      <c r="CA2" s="579" t="s">
        <v>192</v>
      </c>
      <c r="CB2" s="561" t="s">
        <v>306</v>
      </c>
      <c r="CC2" s="561" t="s">
        <v>307</v>
      </c>
      <c r="CD2" s="561" t="s">
        <v>308</v>
      </c>
      <c r="CE2" s="561" t="s">
        <v>309</v>
      </c>
      <c r="CF2" s="561" t="s">
        <v>310</v>
      </c>
      <c r="CG2" s="561" t="s">
        <v>311</v>
      </c>
      <c r="CH2" s="582" t="s">
        <v>317</v>
      </c>
      <c r="CI2" s="582" t="s">
        <v>318</v>
      </c>
      <c r="CJ2" s="561" t="s">
        <v>312</v>
      </c>
      <c r="CK2" s="561" t="s">
        <v>313</v>
      </c>
      <c r="CL2" s="561" t="s">
        <v>314</v>
      </c>
      <c r="CM2" s="561" t="s">
        <v>315</v>
      </c>
      <c r="CN2" s="561" t="s">
        <v>316</v>
      </c>
      <c r="CO2" s="579" t="s">
        <v>260</v>
      </c>
      <c r="CP2" s="579" t="s">
        <v>261</v>
      </c>
      <c r="CQ2" s="561" t="s">
        <v>238</v>
      </c>
      <c r="CR2" s="561" t="s">
        <v>239</v>
      </c>
      <c r="CS2" s="561" t="s">
        <v>331</v>
      </c>
      <c r="CT2" s="561" t="s">
        <v>332</v>
      </c>
      <c r="CU2" s="561" t="s">
        <v>329</v>
      </c>
      <c r="CV2" s="561" t="s">
        <v>330</v>
      </c>
      <c r="CW2" s="561" t="s">
        <v>240</v>
      </c>
      <c r="CX2" s="561" t="s">
        <v>241</v>
      </c>
      <c r="CY2" s="561" t="s">
        <v>335</v>
      </c>
      <c r="CZ2" s="561" t="s">
        <v>336</v>
      </c>
      <c r="DA2" s="561" t="s">
        <v>333</v>
      </c>
      <c r="DB2" s="561" t="s">
        <v>334</v>
      </c>
      <c r="DC2" s="568" t="s">
        <v>263</v>
      </c>
      <c r="DD2" s="568" t="s">
        <v>343</v>
      </c>
      <c r="DE2" s="568" t="s">
        <v>262</v>
      </c>
      <c r="DF2" s="568" t="s">
        <v>344</v>
      </c>
      <c r="DG2" s="578" t="s">
        <v>246</v>
      </c>
      <c r="DH2" s="578" t="str">
        <f>CONCATENATE("Max. Lots with Risk per Trade of Rs. ",'Base Data'!$D$7,"
[No. of Lots]")</f>
        <v>Max. Lots with Risk per Trade of Rs. 10500
[No. of Lots]</v>
      </c>
      <c r="DI2" s="569" t="str">
        <f>CONCATENATE("Hard Stop Loss &amp; Target Points. from Entry
[",'Base Data'!$D$10,"N]")</f>
        <v>Hard Stop Loss &amp; Target Points. from Entry
[2N]</v>
      </c>
      <c r="DJ2" s="569" t="s">
        <v>155</v>
      </c>
      <c r="DK2" s="569" t="str">
        <f>CONCATENATE("Hard Stop Loss
[",'Base Data'!$D$10,"N]")</f>
        <v>Hard Stop Loss
[2N]</v>
      </c>
      <c r="DL2" s="569" t="str">
        <f>CONCATENATE("Enter Additional Position
[",1*'Base Data'!$D$12,"N]")</f>
        <v>Enter Additional Position
[0.4N]</v>
      </c>
      <c r="DM2" s="569" t="str">
        <f>CONCATENATE("Enter Additional Position
[",2*'Base Data'!$D$12,"N]")</f>
        <v>Enter Additional Position
[0.8N]</v>
      </c>
      <c r="DN2" s="569" t="str">
        <f>CONCATENATE("Enter Additional Position
[",3*'Base Data'!$D$12,"N]")</f>
        <v>Enter Additional Position
[1.2N]</v>
      </c>
      <c r="DO2" s="569" t="str">
        <f>CONCATENATE("Enter Additional Position
[",4*'Base Data'!$D$12,"N]")</f>
        <v>Enter Additional Position
[1.6N]</v>
      </c>
      <c r="DP2" s="569" t="str">
        <f>CONCATENATE("Target
[",'Base Data'!$D$10,"N]")</f>
        <v>Target
[2N]</v>
      </c>
      <c r="DQ2" s="569" t="s">
        <v>278</v>
      </c>
      <c r="DR2" s="578" t="s">
        <v>247</v>
      </c>
      <c r="DS2" s="578" t="str">
        <f>CONCATENATE("Max. Lots with Risk per Trade of Rs. ",'Base Data'!$D$7,"
[No. of Lots]")</f>
        <v>Max. Lots with Risk per Trade of Rs. 10500
[No. of Lots]</v>
      </c>
      <c r="DT2" s="569" t="str">
        <f>CONCATENATE("Hard Stop Loss &amp; Target Points. from Entry
[",'Base Data'!$D$13,"N]")</f>
        <v>Hard Stop Loss &amp; Target Points. from Entry
[0.75N]</v>
      </c>
      <c r="DU2" s="569" t="s">
        <v>155</v>
      </c>
      <c r="DV2" s="569" t="str">
        <f>CONCATENATE("Hard Stop Loss
[",'Base Data'!$D$13,"N]")</f>
        <v>Hard Stop Loss
[0.75N]</v>
      </c>
      <c r="DW2" s="569" t="str">
        <f>CONCATENATE("Target
[",'Base Data'!$D$13,"N]")</f>
        <v>Target
[0.75N]</v>
      </c>
      <c r="DX2" s="569" t="s">
        <v>156</v>
      </c>
      <c r="DY2" s="568" t="s">
        <v>76</v>
      </c>
      <c r="DZ2" s="568" t="s">
        <v>77</v>
      </c>
      <c r="EA2" s="568" t="s">
        <v>78</v>
      </c>
      <c r="EB2" s="568" t="s">
        <v>79</v>
      </c>
      <c r="EC2" s="568" t="s">
        <v>80</v>
      </c>
      <c r="ED2" s="568" t="s">
        <v>81</v>
      </c>
      <c r="EE2" s="568" t="s">
        <v>101</v>
      </c>
      <c r="EF2" s="568" t="s">
        <v>102</v>
      </c>
      <c r="EG2" s="579" t="s">
        <v>242</v>
      </c>
      <c r="EH2" s="579" t="s">
        <v>243</v>
      </c>
      <c r="EI2" s="579" t="s">
        <v>244</v>
      </c>
      <c r="EJ2" s="579" t="s">
        <v>245</v>
      </c>
      <c r="EK2" s="579" t="s">
        <v>127</v>
      </c>
      <c r="EL2" s="579" t="s">
        <v>128</v>
      </c>
      <c r="EM2" s="579" t="s">
        <v>162</v>
      </c>
      <c r="EN2" s="579" t="s">
        <v>163</v>
      </c>
      <c r="EO2" s="568" t="s">
        <v>164</v>
      </c>
      <c r="EP2" s="568" t="s">
        <v>165</v>
      </c>
      <c r="EQ2" s="590" t="s">
        <v>171</v>
      </c>
      <c r="ER2" s="581" t="s">
        <v>104</v>
      </c>
      <c r="ES2" s="581" t="s">
        <v>88</v>
      </c>
      <c r="ET2" s="581" t="s">
        <v>116</v>
      </c>
      <c r="EU2" s="561" t="s">
        <v>113</v>
      </c>
      <c r="EV2" s="561" t="s">
        <v>114</v>
      </c>
      <c r="EW2" s="561" t="s">
        <v>115</v>
      </c>
      <c r="EX2" s="561" t="s">
        <v>282</v>
      </c>
      <c r="EY2" s="579" t="s">
        <v>170</v>
      </c>
      <c r="EZ2" s="579" t="s">
        <v>131</v>
      </c>
    </row>
    <row r="3" spans="1:156" ht="17.2" customHeight="1" x14ac:dyDescent="0.3">
      <c r="A3" s="579"/>
      <c r="B3" s="561"/>
      <c r="C3" s="579"/>
      <c r="D3" s="579"/>
      <c r="E3" s="579"/>
      <c r="F3" s="579"/>
      <c r="G3" s="579"/>
      <c r="H3" s="579"/>
      <c r="I3" s="567"/>
      <c r="J3" s="579"/>
      <c r="K3" s="579"/>
      <c r="L3" s="579"/>
      <c r="M3" s="579"/>
      <c r="N3" s="579"/>
      <c r="O3" s="579"/>
      <c r="P3" s="579"/>
      <c r="Q3" s="579"/>
      <c r="R3" s="579"/>
      <c r="S3" s="568"/>
      <c r="T3" s="561"/>
      <c r="U3" s="567"/>
      <c r="V3" s="579"/>
      <c r="W3" s="579"/>
      <c r="X3" s="561"/>
      <c r="Y3" s="561"/>
      <c r="Z3" s="561"/>
      <c r="AA3" s="561"/>
      <c r="AB3" s="561"/>
      <c r="AC3" s="579"/>
      <c r="AD3" s="579"/>
      <c r="AE3" s="579"/>
      <c r="AF3" s="579"/>
      <c r="AG3" s="579"/>
      <c r="AH3" s="568"/>
      <c r="AI3" s="580"/>
      <c r="AJ3" s="580"/>
      <c r="AK3" s="581"/>
      <c r="AL3" s="568"/>
      <c r="AM3" s="568"/>
      <c r="AN3" s="584"/>
      <c r="AO3" s="579"/>
      <c r="AP3" s="568"/>
      <c r="AQ3" s="579"/>
      <c r="AR3" s="568"/>
      <c r="AS3" s="568"/>
      <c r="AT3" s="568"/>
      <c r="AU3" s="568"/>
      <c r="AV3" s="568"/>
      <c r="AW3" s="568"/>
      <c r="AX3" s="568"/>
      <c r="AY3" s="568"/>
      <c r="AZ3" s="568"/>
      <c r="BA3" s="591"/>
      <c r="BB3" s="585"/>
      <c r="BC3" s="585"/>
      <c r="BD3" s="585"/>
      <c r="BE3" s="586"/>
      <c r="BF3" s="585"/>
      <c r="BG3" s="585"/>
      <c r="BH3" s="585"/>
      <c r="BI3" s="585"/>
      <c r="BJ3" s="561"/>
      <c r="BK3" s="561"/>
      <c r="BL3" s="561"/>
      <c r="BM3" s="561"/>
      <c r="BN3" s="579"/>
      <c r="BO3" s="579"/>
      <c r="BP3" s="578"/>
      <c r="BQ3" s="578"/>
      <c r="BR3" s="578"/>
      <c r="BS3" s="578"/>
      <c r="BT3" s="578"/>
      <c r="BU3" s="561"/>
      <c r="BV3" s="561"/>
      <c r="BW3" s="561"/>
      <c r="BX3" s="561"/>
      <c r="BY3" s="561"/>
      <c r="BZ3" s="579"/>
      <c r="CA3" s="579"/>
      <c r="CB3" s="561"/>
      <c r="CC3" s="561"/>
      <c r="CD3" s="561"/>
      <c r="CE3" s="561"/>
      <c r="CF3" s="561"/>
      <c r="CG3" s="561"/>
      <c r="CH3" s="583"/>
      <c r="CI3" s="583"/>
      <c r="CJ3" s="561"/>
      <c r="CK3" s="561"/>
      <c r="CL3" s="561"/>
      <c r="CM3" s="561"/>
      <c r="CN3" s="561"/>
      <c r="CO3" s="579"/>
      <c r="CP3" s="579"/>
      <c r="CQ3" s="561"/>
      <c r="CR3" s="561"/>
      <c r="CS3" s="561"/>
      <c r="CT3" s="561"/>
      <c r="CU3" s="561"/>
      <c r="CV3" s="561"/>
      <c r="CW3" s="561"/>
      <c r="CX3" s="561"/>
      <c r="CY3" s="561"/>
      <c r="CZ3" s="561"/>
      <c r="DA3" s="561"/>
      <c r="DB3" s="561"/>
      <c r="DC3" s="568"/>
      <c r="DD3" s="568"/>
      <c r="DE3" s="568"/>
      <c r="DF3" s="568"/>
      <c r="DG3" s="578"/>
      <c r="DH3" s="578"/>
      <c r="DI3" s="569"/>
      <c r="DJ3" s="569"/>
      <c r="DK3" s="569"/>
      <c r="DL3" s="569"/>
      <c r="DM3" s="569"/>
      <c r="DN3" s="569"/>
      <c r="DO3" s="569"/>
      <c r="DP3" s="569"/>
      <c r="DQ3" s="569"/>
      <c r="DR3" s="578"/>
      <c r="DS3" s="578"/>
      <c r="DT3" s="569"/>
      <c r="DU3" s="569"/>
      <c r="DV3" s="569"/>
      <c r="DW3" s="569"/>
      <c r="DX3" s="569"/>
      <c r="DY3" s="568"/>
      <c r="DZ3" s="568"/>
      <c r="EA3" s="568"/>
      <c r="EB3" s="568"/>
      <c r="EC3" s="568"/>
      <c r="ED3" s="568"/>
      <c r="EE3" s="568"/>
      <c r="EF3" s="568"/>
      <c r="EG3" s="579"/>
      <c r="EH3" s="579"/>
      <c r="EI3" s="579"/>
      <c r="EJ3" s="579"/>
      <c r="EK3" s="579"/>
      <c r="EL3" s="579"/>
      <c r="EM3" s="579"/>
      <c r="EN3" s="579"/>
      <c r="EO3" s="568"/>
      <c r="EP3" s="568"/>
      <c r="EQ3" s="590"/>
      <c r="ER3" s="581"/>
      <c r="ES3" s="581"/>
      <c r="ET3" s="581"/>
      <c r="EU3" s="561"/>
      <c r="EV3" s="561"/>
      <c r="EW3" s="561"/>
      <c r="EX3" s="561"/>
      <c r="EY3" s="579"/>
      <c r="EZ3" s="579"/>
    </row>
    <row r="4" spans="1:156" ht="2.95" customHeight="1" x14ac:dyDescent="0.3">
      <c r="A4" s="64"/>
      <c r="B4" s="160"/>
      <c r="C4" s="63"/>
      <c r="D4" s="63"/>
      <c r="E4" s="63"/>
      <c r="F4" s="64"/>
      <c r="G4" s="64"/>
      <c r="H4" s="64"/>
      <c r="I4" s="63"/>
      <c r="J4" s="62"/>
      <c r="K4" s="62"/>
      <c r="L4" s="62"/>
      <c r="M4" s="64"/>
      <c r="N4" s="62"/>
      <c r="O4" s="64"/>
      <c r="P4" s="64"/>
      <c r="Q4" s="64"/>
      <c r="R4" s="62"/>
      <c r="S4" s="64"/>
      <c r="T4" s="64"/>
      <c r="U4" s="64"/>
      <c r="V4" s="495"/>
      <c r="W4" s="495"/>
      <c r="X4" s="64"/>
      <c r="Y4" s="62"/>
      <c r="Z4" s="62"/>
      <c r="AA4" s="62"/>
      <c r="AB4" s="64"/>
      <c r="AC4" s="64"/>
      <c r="AD4" s="64"/>
      <c r="AE4" s="65"/>
      <c r="AF4" s="65"/>
      <c r="AG4" s="62"/>
      <c r="AH4" s="64"/>
      <c r="AI4" s="85"/>
      <c r="AJ4" s="85"/>
      <c r="AK4" s="85"/>
      <c r="AL4" s="81"/>
      <c r="AM4" s="65"/>
      <c r="AN4" s="62"/>
      <c r="AO4" s="66"/>
      <c r="AP4" s="66"/>
      <c r="AQ4" s="63"/>
      <c r="AR4" s="63"/>
      <c r="AS4" s="63"/>
      <c r="AT4" s="63"/>
      <c r="AU4" s="63"/>
      <c r="AV4" s="63"/>
      <c r="AW4" s="63"/>
      <c r="AX4" s="63"/>
      <c r="AY4" s="81"/>
      <c r="AZ4" s="62"/>
      <c r="BA4" s="62"/>
      <c r="BB4" s="63"/>
      <c r="BC4" s="63"/>
      <c r="BD4" s="63"/>
      <c r="BE4" s="64"/>
      <c r="BF4" s="63"/>
      <c r="BG4" s="63"/>
      <c r="BH4" s="63"/>
      <c r="BI4" s="63"/>
      <c r="BJ4" s="63"/>
      <c r="BK4" s="63"/>
      <c r="BL4" s="63"/>
      <c r="BM4" s="63"/>
      <c r="BN4" s="62"/>
      <c r="BO4" s="62"/>
      <c r="BP4" s="62"/>
      <c r="BQ4" s="62"/>
      <c r="BR4" s="62"/>
      <c r="BS4" s="62"/>
      <c r="BT4" s="62"/>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81"/>
      <c r="EF4" s="81"/>
      <c r="EG4" s="63"/>
      <c r="EH4" s="63"/>
      <c r="EI4" s="63"/>
      <c r="EJ4" s="63"/>
      <c r="EK4" s="169"/>
      <c r="EL4" s="169"/>
      <c r="EM4" s="64"/>
      <c r="EN4" s="64"/>
      <c r="EO4" s="161"/>
      <c r="EP4" s="161"/>
      <c r="EQ4" s="64"/>
      <c r="ER4" s="65"/>
      <c r="ES4" s="65"/>
      <c r="ET4" s="65"/>
      <c r="EU4" s="65"/>
      <c r="EV4" s="65"/>
      <c r="EW4" s="65"/>
      <c r="EX4" s="65"/>
      <c r="EY4" s="169"/>
      <c r="EZ4" s="169"/>
    </row>
    <row r="5" spans="1:156" x14ac:dyDescent="0.3">
      <c r="A5" s="190">
        <v>1</v>
      </c>
      <c r="B5" s="498" t="s">
        <v>3</v>
      </c>
      <c r="C5" s="186">
        <f>IF(AND(I5=1,BD5&lt;&gt;0),BD5,IF(AND(I5=2,BB5&lt;&gt;0),BB5,BC5))</f>
        <v>25845.55</v>
      </c>
      <c r="D5" s="186">
        <f>(BC5-BG5)</f>
        <v>115.54999999999927</v>
      </c>
      <c r="E5" s="186">
        <f>(BC5-BM5)</f>
        <v>2503.7999999999993</v>
      </c>
      <c r="F5" s="64"/>
      <c r="G5" s="64"/>
      <c r="H5" s="64"/>
      <c r="I5" s="64">
        <f>IF(OR(J5=0,K5=0),0,IF(AND(M5=1,N5="Up-BO"),IF(OR(AND(J5="PGDn",K5="D-CL"),AND(J5="FGDn",K5="D-L"),AND(J5="PGDn",K5="U-CO"),AND(J5="PGDn",K5="U-OL"),AND(J5="PGUp",K5="U-HC"),AND(J5="PGUp",K5="D-OC"),AND(J5="PGUp",K5="D-HO"),AND(J5="FGDn",K5="U-L")),1,IF(AND(M5=2,N5="Dn-BO"),IF(OR(AND(J5="PGDUp",K5="U-HC"),AND(J5="FGUp",K5="U-H"),AND(J5="PGUp",K5="D-OC"),AND(J5="PGUp",K5="D-HO"),AND(J5="PGDn",K5="D-CL"),AND(J5="PGDn",K5="U-CO"),AND(J5="PGDn",K5="U-OL"),AND(J5="FGUp",K5="D-H")),2,IF(AND(M5=1,N5="Dn2Up-BO"),1,IF(AND(M5=2,N5="Up2Dn-BO"),2,0))),0)),IF(AND(M5=1,N5="Up-BO"),IF(OR(AND(J5="PGDn",K5="D-CL"),AND(J5="FGDn",K5="D-L"),AND(J5="PGDn",K5="U-CO"),AND(J5="PGDn",K5="U-OL"),AND(J5="PGUp",K5="U-HC"),AND(J5="PGUp",K5="D-OC"),AND(J5="PGUp",K5="D-HO"),AND(J5="FGDn",K5="U-L")),1,IF(AND(M5=2,N5="Dn-BO"),IF(OR(AND(J5="PGDUp",K5="U-HC"),AND(J5="FGUp",K5="U-H"),AND(J5="PGUp",K5="D-OC"),AND(J5="PGUp",K5="D-HO"),AND(J5="PGDn",K5="D-CL"),AND(J5="PGDn",K5="U-CO"),AND(J5="PGDn",K5="U-OL"),AND(J5="FGUp",K5="D-H")),2,IF(AND(M5=1,N5="Dn2Up-BO"),1,IF(AND(M5=2,N5="Up2Dn-BO"),2,0))),0)),0)))</f>
        <v>0</v>
      </c>
      <c r="J5" s="190" t="str">
        <f>IF(AND(BG5&gt;BM5,BG5&lt;=BK5),"PGUp",IF(AND(BG5&gt;BM5,BG5&gt;BK5),"FGUp",IF(AND(BG5&lt;BM5,BG5&gt;=BL5),"PGDn",IF(AND(BG5&lt;BM5,BG5&lt;BL5),"FGDn",0))))</f>
        <v>FGUp</v>
      </c>
      <c r="K5" s="190" t="str">
        <f>IF(BM5&gt;BJ5,IF(BG5&gt;BK5,"U-H",IF(AND(BG5&lt;=BK5,BG5&gt;BM5),"U-HC",IF(AND(BG5&lt;BM5,BG5&gt;=BJ5),"U-CO",IF(AND(BG5&lt;BJ5,BG5&gt;=BL5),"U-OL",IF(BG5&lt;BL5,"U-L",0))))),IF(BM5&lt;BJ5,IF(BG5&gt;BK5,"D-H",IF(AND(BG5&lt;=BK5,BG5&gt;BJ5),"D-HO",IF(AND(BG5&lt;=BJ5,BG5&gt;BM5),"D-OC",IF(AND(BG5&lt;BM5,BG5&gt;=BL5),"D-CL",IF(BG5&lt;BL5,"D-L",0))))),0))</f>
        <v>D-H</v>
      </c>
      <c r="L5" s="203" t="str">
        <f>IF(BM5&gt;BJ5,IF(BG5&gt;BK5,"Fade-Short",IF(AND(BG5&lt;=BK5,BG5&gt;BM5),"Fade-Short",IF(AND(BG5&lt;BM5,BG5&gt;=BJ5),"Fade-Long",IF(AND(BG5&lt;BJ5,BG5&gt;=BL5),"Fade-Long",IF(BG5&lt;BL5,"GA-Short",0))))),IF(BM5&lt;BJ5,IF(BG5&gt;BK5,"GA-Long",IF(AND(BG5&lt;=BK5,BG5&gt;BJ5),"Fade-Short",IF(AND(BG5&lt;=BJ5,BG5&gt;BM5),"Fade-Short",IF(AND(BG5&lt;BM5,BG5&gt;=BL5),"Fade-Long",IF(BG5&lt;BL5,"Fade-Long",0))))),0))</f>
        <v>GA-Long</v>
      </c>
      <c r="M5" s="64">
        <f>IF(BG5=BI5,1,IF(BG5=BH5,2,0))</f>
        <v>0</v>
      </c>
      <c r="N5" s="64">
        <f>IF(AND(BG5&lt;BK5,BC5&gt;BK5),"Up-BO",IF(AND(BG5&gt;BL5,BC5&lt;BL5),"Dn-BO",IF(AND(J5="FGDn",BC5&gt;BL5),"Dn2Up-BO",IF(AND(J5="FGUp",BC5&lt;BK5),"Up2Dn-BO",0))))</f>
        <v>0</v>
      </c>
      <c r="O5" s="64">
        <f>IF(AND((IF(BV5&gt;BW5,1,-1)&gt;0),(IF(CB5&gt;CC5,1,-1)&gt;0)),1,IF(AND((IF(BV5&gt;BW5,1,-1)&lt;0),(IF(CB5&gt;CC5,1,-1)&lt;0)),2,0))</f>
        <v>1</v>
      </c>
      <c r="P5" s="64">
        <f>IF(BC5&gt;(BH5-(BG5*0.5%)),1,IF(BC5&lt;(BI5+(BG5*0.5%)),2,0))</f>
        <v>1</v>
      </c>
      <c r="Q5" s="64">
        <f>IF(C5&gt;((BG5+BK5+BL5+BM5)/4),1,IF(C5&lt;((BG5+BK5+BL5+BM5)/4),2,0))</f>
        <v>1</v>
      </c>
      <c r="R5" s="64">
        <f>IF((BS5&gt;BT5),1,0)</f>
        <v>1</v>
      </c>
      <c r="S5" s="478">
        <f>DS5</f>
        <v>0</v>
      </c>
      <c r="T5" s="202">
        <f>'BNF-Nifty'!$FC$69</f>
        <v>2.7487487976727532</v>
      </c>
      <c r="U5" s="202" t="str">
        <f>IF(S5&lt;&gt;0,T5,"-")</f>
        <v>-</v>
      </c>
      <c r="V5" s="211" t="str">
        <f>IF(U5="-","-",_xlfn.RANK.EQ(U5,$U$5:$U$12,0))</f>
        <v>-</v>
      </c>
      <c r="W5" s="211" t="str">
        <f>IF(U5="-","-",_xlfn.RANK.EQ(U5,$U$5:$U$12,1))</f>
        <v>-</v>
      </c>
      <c r="X5" s="190" t="str">
        <f>'BNF-Nifty'!$FS$69</f>
        <v>T-R</v>
      </c>
      <c r="Y5" s="190">
        <f>'BNF-Nifty'!$FP$69</f>
        <v>2</v>
      </c>
      <c r="Z5" s="491">
        <f>'BNF-Nifty'!$DZ$69</f>
        <v>2.2468628503305384E-2</v>
      </c>
      <c r="AA5" s="491">
        <f>'BNF-Nifty'!$ER$69</f>
        <v>3.8260261003251334E-2</v>
      </c>
      <c r="AB5" s="202">
        <f>'BNF-Nifty'!$FB$69</f>
        <v>5.0661725185129001</v>
      </c>
      <c r="AC5" s="493">
        <f>_xlfn.RANK.AVG(AB5,$AB$5:$AB$12,0)</f>
        <v>2</v>
      </c>
      <c r="AD5" s="493">
        <f>_xlfn.RANK.AVG(AB5,$AB$5:$AB$12,1)</f>
        <v>3</v>
      </c>
      <c r="AE5" s="193" t="str">
        <f>IF(AND(BC5&gt;BU5,BC5&gt;BV5,BZ5&gt;=CA5,BX5&gt;BY5),"1. Strong Up-R",IF(AND(BC5&gt;BU5,BC5&gt;BV5,BZ5&gt;=CA5,BX5=BY5),"1. Strong Up-F",IF(AND(BC5&gt;BU5,BC5&gt;BV5,BZ5&gt;=CA5,BX5&lt;BY5),"1. Strong Up-D",IF(AND(BC5&gt;BU5,BC5&gt;BV5,BZ5&lt;CA5,BX5&gt;BY5),"2. Weak Up-R",IF(AND(BC5&gt;BU5,BC5&gt;BV5,BZ5&lt;CA5,BX5=BY5),"2. Weak Up-F",IF(AND(BC5&gt;BU5,BC5&gt;BV5,BZ5&lt;CA5,BX5&lt;BY5),"2. Weak Up-D",IF(AND(BC5&lt;BU5,BC5&lt;BV5,BZ5&lt;=CA5,BX5&lt;BY5),"1. Strong Dn-D",IF(AND(BC5&lt;BU5,BC5&lt;BV5,BZ5&lt;=CA5,BX5=BY5),"1. Strong Dn-F",IF(AND(BC5&lt;BU5,BC5&lt;BV5,BZ5&lt;=CA5,BX5&gt;BY5),"1. Strong Dn-R",IF(AND(BC5&lt;BU5,BC5&lt;BV5,BZ5&gt;CA5,BX5&lt;BY5),"2. Weak Dn-D",IF(AND(BC5&lt;BU5,BC5&lt;BV5,BZ5&gt;CA5,BX5=BY5),"2. Weak Dn-F",IF(AND(BC5&lt;BU5,BC5&lt;BV5,BZ5&gt;CA5,BX5&gt;BY5),"2. Weak Dn-R","-"))))))))))))</f>
        <v>1. Strong Up-R</v>
      </c>
      <c r="AF5" s="193" t="str">
        <f>IF(CE5&gt;CH5,"MFI Nr. Max. Level",IF(CE5&lt;CI5,"MFI Nr. Min. Level",IF(AND(BC5&gt;BU5,CB5&gt;CC5,CC5&gt;CD5,CB5&gt;=0,CE5&gt;CJ5,CE5&gt;CF5,CE5&gt;=50,CF5&gt;=50),"1. Ultimate Up - R",IF(AND(BC5&gt;BU5,CB5&gt;CC5,CC5&gt;CD5,CB5&gt;=0,CE5&gt;CJ5,CE5=CF5,CE5&gt;=50,CF5&gt;=50),"1. Ultimate Up - F",IF(AND(BC5&gt;BU5,CB5&gt;CC5,CC5&gt;CD5,CB5&gt;=0,CE5&gt;CJ5,CE5&lt;CF5,CE5&gt;=50,CF5&gt;=50),"1. Ultimate Up - D",IF(AND(BC5&gt;BU5,CB5&gt;CC5,CC5&gt;CD5,CB5&lt;0,CE5&gt;CJ5,CE5&gt;CF5,CE5&gt;=50,CF5&gt;=50),"2. Extreme Up - R",IF(AND(BC5&gt;BU5,CB5&gt;CC5,CC5&gt;CD5,CB5&lt;0,CE5&gt;CJ5,CE5=CF5,CE5&gt;=50,CF5&gt;=50),"2. Extreme Up - F",IF(AND(BC5&gt;BU5,CB5&gt;CC5,CC5&gt;CD5,CB5&lt;0,CE5&gt;CJ5,CE5&lt;CF5,CE5&gt;=50,CF5&gt;=50),"2. Extreme Up - D",IF(AND(BC5&gt;BU5,CB5&gt;CC5,CC5&gt;CD5,CB5&gt;=0,CE5&gt;CJ5,CE5&gt;CF5,CE5&gt;=50,CF5&lt;50),"3. Uber Up",IF(AND(BC5&gt;BU5,CB5&gt;CC5,CC5&gt;CD5,CB5&lt;0,CE5&gt;CJ5,CE5&gt;CF5,CE5&gt;=50,CF5&lt;50),"4. Ultra Up",IF(AND(BC5&gt;BU5,CB5&gt;CC5,CC5&gt;CD5,CB5&gt;=0,CE5&gt;CJ5,CE5&gt;CF5,CE5&lt;50),"5. Hyper Up - R",IF(AND(BC5&gt;BU5,CB5&gt;CC5,CC5&gt;CD5,CB5&gt;=0,CE5&gt;CJ5,CE5=CF5,CE5&lt;50),"5. Hyper Up - F",IF(AND(BC5&gt;BU5,CB5&gt;CC5,CC5&gt;CD5,CB5&gt;=0,CE5&gt;CJ5,CE5&lt;CF5,CE5&lt;50),"5. Hyper Up - D",IF(AND(BC5&gt;BU5,CB5&gt;CC5,CC5&gt;CD5,CB5&lt;0,CE5&gt;CJ5,CE5&gt;CF5,CE5&lt;50),"6. Super Up - R",IF(AND(BC5&gt;BU5,CB5&gt;CC5,CC5&gt;CD5,CB5&lt;0,CE5&gt;CJ5,CE5=CF5,CE5&lt;50),"6. Super Up - F",IF(AND(BC5&gt;BU5,CB5&gt;CC5,CC5&gt;CD5,CB5&lt;0,CE5&gt;CJ5,CE5&lt;CF5,CE5&lt;50),"6. Super Up - D",IF(AND(BC5&gt;BU5,CB5&gt;CC5,CC5&lt;CD5,CB5&gt;=0,CE5&gt;CF5,CE5&gt;=50,CF5&gt;=50),"7. Extra Strong Up - R",IF(AND(BC5&gt;BU5,CB5&gt;CC5,CC5&lt;CD5,CB5&gt;=0,CE5=CF5,CE5&gt;=50,CF5&gt;=50),"7. Extra Strong Up - F",IF(AND(BC5&gt;BU5,CB5&gt;CC5,CC5&lt;CD5,CB5&gt;=0,CE5&lt;CF5,CE5&gt;=50,CF5&gt;=50),"7. Extra Strong Up - D",IF(AND(BC5&gt;BU5,CB5&gt;CC5,CC5&lt;CD5,CB5&gt;=0,CE5&gt;CF5,CE5&gt;=50,CF5&lt;50),"8. Strong Up",IF(AND(BC5&gt;BU5,CB5&gt;CC5,CC5&lt;CD5,CB5&lt;0,CE5&gt;CJ5,CE5&gt;CF5,CE5&gt;=50,CF5&gt;=50),"9. Up - R",IF(AND(BC5&gt;BU5,CB5&gt;CC5,CC5&lt;CD5,CB5&lt;0,CE5&gt;CJ5,CE5=CF5,CE5&gt;=50,CF5&gt;=50),"9. Up - F",IF(AND(BC5&gt;BU5,CB5&gt;CC5,CC5&lt;CD5,CB5&lt;0,CE5&gt;CJ5,CE5&lt;CF5,CE5&gt;=50,CF5&gt;=50),"9. Up - D",IF(AND(BC5&gt;BU5,CB5&gt;CC5,CC5&lt;CD5,CB5&lt;0,CE5&gt;CF5,CE5&gt;=50,CF5&gt;=50),"10. Weak Up - R",IF(AND(BC5&gt;BU5,CB5&gt;CC5,CC5&lt;CD5,CB5&lt;0,CE5=CF5,CE5&gt;=50,CF5&gt;=50),"10. Weak Up - F",IF(AND(BC5&gt;BU5,CB5&gt;CC5,CC5&lt;CD5,CB5&lt;0,CE5&lt;CF5,CE5&gt;=50,CF5&gt;=50),"10. Weak Up - D",IF(AND(BC5&gt;BU5,CB5&gt;CC5,CC5&lt;CD5,CB5&lt;0,CE5&gt;CF5,CE5&gt;=50,CF5&lt;50),"11. Extra Weak Up",IF(AND(BC5&gt;BU5,CB5&gt;CC5,CC5&gt;CD5,CE5&gt;CF5,CE5&lt;50,CF5&lt;50),"12. Very Weak Up - R",IF(AND(BC5&gt;BU5,CB5&gt;CC5,CC5&gt;CD5,CE5=CF5,CE5&lt;50,CF5&lt;50),"12. Very Weak Up - F",IF(AND(BC5&gt;BU5,CB5&gt;CC5,CC5&gt;CD5,CE5&lt;CF5,CE5&lt;50,CF5&lt;50),"12. Very Weak Up - D",IF(AND(BC5&lt;BU5,CB5&lt;CC5,CC5&lt;CD5,CB5&lt;=0,CE5&lt;CJ5,CE5&lt;CF5,CE5&lt;50,CF5&lt;50),"1. Ultimate Dn - D",IF(AND(BC5&lt;BU5,CB5&lt;CC5,CC5&lt;CD5,CB5&lt;=0,CE5&lt;CJ5,CE5=CF5,CE5&lt;50,CF5&lt;50),"1. Ultimate Dn - F",IF(AND(BC5&lt;BU5,CB5&lt;CC5,CC5&lt;CD5,CB5&lt;=0,CE5&lt;CJ5,CE5&gt;CF5,CE5&lt;50,CF5&lt;50),"1. Ultimate Up - R",IF(AND(BC5&lt;BU5,CB5&lt;CC5,CC5&lt;CD5,CB5&gt;0,CE5&lt;CJ5,CE5&lt;CF5,CE5&lt;50,CF5&lt;50),"2. Extreme Dn - D",IF(AND(BC5&lt;BU5,CB5&lt;CC5,CC5&lt;CD5,CB5&gt;0,CE5&lt;CJ5,CE5=CF5,CE5&lt;50,CF5&lt;50),"2. Extreme Dn - F",IF(AND(BC5&lt;BU5,CB5&lt;CC5,CC5&lt;CD5,CB5&gt;0,CE5&lt;CJ5,CE5&gt;CF5,CE5&lt;50,CF5&lt;50),"2. Extreme Dn - R",IF(AND(BC5&lt;BU5,CB5&lt;CC5,CC5&lt;CD5,CB5&lt;=0,CE5&lt;CJ5,CE5&lt;CF5,CE5&lt;50,CF5&gt;=50),"3. Uber Dn",IF(AND(BC5&lt;BU5,CB5&lt;CC5,CC5&lt;CD5,CB5&gt;0,CE5&lt;CJ5,CE5&lt;CF5,CE5&lt;50,CF5&gt;=50),"4. Ultra Dn",IF(AND(BC5&lt;BU5,CB5&lt;CC5,CC5&lt;CD5,CB5&lt;=0,CE5&lt;CJ5,CE5&lt;CF5,CE5&gt;=50),"5. Hyper Dn - D",IF(AND(BC5&lt;BU5,CB5&lt;CC5,CC5&lt;CD5,CB5&lt;=0,CE5&lt;CJ5,CE5=CF5,CE5&gt;=50),"5. Hyper Dn - F",IF(AND(BC5&lt;BU5,CB5&lt;CC5,CC5&lt;CD5,CB5&lt;=0,CE5&lt;CJ5,CE5&gt;CF5,CE5&gt;=50),"5. Hyper Dn - R",IF(AND(BC5&lt;BU5,CB5&lt;CC5,CC5&lt;CD5,CB5&gt;0,CE5&lt;CJ5,CE5&lt;CF5,CE5&gt;=50),"6. Super Dn - D",IF(AND(BC5&lt;BU5,CB5&lt;CC5,CC5&lt;CD5,CB5&gt;0,CE5&lt;CJ5,CE5=CF5,CE5&gt;=50),"6. Super Dn - F",IF(AND(BC5&lt;BU5,CB5&lt;CC5,CC5&lt;CD5,CB5&gt;0,CE5&lt;CJ5,CE5&gt;CF5,CE5&gt;=50),"6. Super Dn - R",IF(AND(BC5&lt;BU5,CB5&lt;CC5,CC5&gt;CD5,CB5&lt;=0,CE5&lt;CF5,CE5&lt;50,CF5&lt;50),"7. Extra Strong Dn - D",IF(AND(BC5&lt;BU5,CB5&lt;CC5,CC5&gt;CD5,CB5&lt;=0,CE5=CF5,CE5&lt;50,CF5&lt;50),"7. Extra Strong Dn - F",IF(AND(BC5&lt;BU5,CB5&lt;CC5,CC5&gt;CD5,CB5&lt;=0,CE5&gt;CF5,CE5&lt;50,CF5&lt;50),"7. Extra Strong Dn - R",IF(AND(BC5&lt;BU5,CB5&lt;CC5,CC5&gt;CD5,CB5&lt;=0,CE5&lt;CF5,CE5&lt;50,CF5&gt;=50),"8. Strong Dn",IF(AND(BC5&lt;BU5,CB5&lt;CC5,CC5&gt;CD5,CB5&gt;0,CE5&lt;CJ5,CE5&lt;CF5,CE5&lt;50,CF5&lt;50),"9. Dn - D",IF(AND(BC5&lt;BU5,CB5&lt;CC5,CC5&gt;CD5,CB5&gt;0,CE5&lt;CJ5,CE5=CF5,CE5&lt;50,CF5&lt;50),"9. Dn - F",IF(AND(BC5&lt;BU5,CB5&lt;CC5,CC5&gt;CD5,CB5&gt;0,CE5&lt;CJ5,CE5&gt;CF5,CE5&lt;50,CF5&lt;50),"9. Dn - R",IF(AND(BC5&lt;BU5,CB5&lt;CC5,CC5&gt;CD5,CB5&gt;0,CE5&lt;CF5,CE5&lt;50,CF5&lt;50),"10. Weak Dn - D",IF(AND(BC5&lt;BU5,CB5&lt;CC5,CC5&gt;CD5,CB5&gt;0,CE5=CF5,CE5&lt;50,CF5&lt;50),"10. Weak Dn - F",IF(AND(BC5&lt;BU5,CB5&lt;CC5,CC5&gt;CD5,CB5&gt;0,CE5&gt;CF5,CE5&lt;50,CF5&lt;50),"10. Weak Dn - R",IF(AND(BC5&lt;BU5,CB5&lt;CC5,CC5&gt;CD5,CB5&gt;0,CE5&lt;CF5,CE5&lt;50,CF5&gt;=50),"11. Extra Weak Dn",IF(AND(BC5&lt;BU5,CB5&lt;CC5,CC5&lt;CD5,CE5&lt;CF5,CE5&gt;=50,CF5&gt;=50),"12. Very Weak Dn - D",IF(AND(BC5&lt;BU5,CB5&lt;CC5,CC5&lt;CD5,CE5=CF5,CE5&gt;=50,CF5&gt;=50),"12. Very Weak Dn - F",IF(AND(BC5&lt;BU5,CB5&lt;CC5,CC5&lt;CD5,CE5&gt;CF5,CE5&gt;=50,CF5&gt;=50),"12. Very Weak Dn - R","No Trend"))))))))))))))))))))))))))))))))))))))))))))))))))))))))))</f>
        <v>1. Ultimate Up - R</v>
      </c>
      <c r="AG5" s="64">
        <f>IF(BQ5&gt;BR5,1,0)</f>
        <v>1</v>
      </c>
      <c r="AH5" s="478">
        <f>DH5</f>
        <v>0</v>
      </c>
      <c r="AI5" s="82"/>
      <c r="AJ5" s="82"/>
      <c r="AK5" s="193" t="str">
        <f>IF(AI5="","",IF(AI5&gt;0,(C5-AI5),IF(AI5&lt;0,(-AI5-C5),"Check")))</f>
        <v/>
      </c>
      <c r="AL5" s="81" t="str">
        <f>IF(AI5="","",(AY5-AX5))</f>
        <v/>
      </c>
      <c r="AM5" s="65" t="str">
        <f>IF(AI5&lt;&gt;"",AL5/AO5,"")</f>
        <v/>
      </c>
      <c r="AN5" s="197"/>
      <c r="AO5" s="198" t="str">
        <f>IF(AI5&lt;&gt;"",(BF5*AH5),"")</f>
        <v/>
      </c>
      <c r="AP5" s="198">
        <f>(C5*AH5*BE5)</f>
        <v>0</v>
      </c>
      <c r="AQ5" s="186" t="str">
        <f>IF(AI5="","",(AP5*'Base Data'!$C$26*2))</f>
        <v/>
      </c>
      <c r="AR5" s="186" t="str">
        <f>IF(AI5="","",(AP5*'Base Data'!$D$26*2))</f>
        <v/>
      </c>
      <c r="AS5" s="186" t="str">
        <f>IF(AI5="","",((AQ5+AR5)*'Base Data'!$E$26)+(((AQ5+AR5)*'Base Data'!$E$26)*'Base Data'!$F$26)+(((AQ5+AR5)*'Base Data'!$E$26)*'Base Data'!$G$26))</f>
        <v/>
      </c>
      <c r="AT5" s="186" t="str">
        <f>IF(AI5="","",(AP5*'Base Data'!$H$27*2))</f>
        <v/>
      </c>
      <c r="AU5" s="186" t="str">
        <f>IF(AI5="","",(AP5*'Base Data'!$I$26*2))</f>
        <v/>
      </c>
      <c r="AV5" s="186" t="str">
        <f>IF(AI5="","",(AP5*'Base Data'!$J$26))</f>
        <v/>
      </c>
      <c r="AW5" s="186" t="str">
        <f>IF(AI5="","",(AP5*'Base Data'!$K$26*2))</f>
        <v/>
      </c>
      <c r="AX5" s="186" t="str">
        <f>IF(AI5="","",SUM(AQ5:AW5))</f>
        <v/>
      </c>
      <c r="AY5" s="193" t="str">
        <f>IF(AI5="","",IF(AI5&gt;0,((C5-AI5)*AH5*BE5),IF(AI5&lt;0,((-AI5-C5)*AH5*BE5),"Check")))</f>
        <v/>
      </c>
      <c r="AZ5" s="190" t="str">
        <f>IF(AI5="","",IF(AI5&gt;0,1,IF(AI5&lt;0,2,0)))</f>
        <v/>
      </c>
      <c r="BA5" s="197" t="str">
        <f>CONCATENATE(B5,'Base Data'!$D$1)</f>
        <v>BankNifty18NovFut</v>
      </c>
      <c r="BB5" s="186">
        <f>VLOOKUP(BA5,[2]Sheet1!$A:$D,2,FALSE)</f>
        <v>25845</v>
      </c>
      <c r="BC5" s="186">
        <f>VLOOKUP(BA5,[2]Sheet1!$A:$D,3,FALSE)</f>
        <v>25845.55</v>
      </c>
      <c r="BD5" s="186">
        <f>VLOOKUP(BA5,[2]Sheet1!$A:$D,4,FALSE)</f>
        <v>25848</v>
      </c>
      <c r="BE5" s="190">
        <f>VLOOKUP(B5,'[3]Margin - NSE Fut (5Paisa)'!$A:$K,2,FALSE)</f>
        <v>20</v>
      </c>
      <c r="BF5" s="186">
        <f>VLOOKUP(B5,'[3]Margin - NSE Fut (5Paisa)'!$A:$K,11,FALSE)</f>
        <v>49806.74</v>
      </c>
      <c r="BG5" s="186">
        <f>VLOOKUP(BA5,[2]Sheet1!$A:$L,9,FALSE)</f>
        <v>25730</v>
      </c>
      <c r="BH5" s="186">
        <f>VLOOKUP(BA5,[2]Sheet1!$A:$L,10,FALSE)</f>
        <v>25880</v>
      </c>
      <c r="BI5" s="186">
        <f>VLOOKUP(BA5,[2]Sheet1!$A:$L,11,FALSE)</f>
        <v>25630.1</v>
      </c>
      <c r="BJ5" s="186">
        <f>'BNF-Nifty'!$N$67</f>
        <v>23389.5</v>
      </c>
      <c r="BK5" s="186">
        <f>'BNF-Nifty'!$O$67</f>
        <v>23399</v>
      </c>
      <c r="BL5" s="186">
        <f>'BNF-Nifty'!$P$67</f>
        <v>23280</v>
      </c>
      <c r="BM5" s="186">
        <f>'BNF-Nifty'!$Q$67</f>
        <v>23341.75</v>
      </c>
      <c r="BN5" s="193">
        <f>(BG5-BM5)</f>
        <v>2388.25</v>
      </c>
      <c r="BO5" s="191">
        <f>(BG5-BM5)/BM5</f>
        <v>0.10231666434607517</v>
      </c>
      <c r="BP5" s="199">
        <f>'BNF-Nifty'!$AB$69</f>
        <v>1.0780017712439309</v>
      </c>
      <c r="BQ5" s="186">
        <f>'BNF-Nifty'!$R$69</f>
        <v>107918</v>
      </c>
      <c r="BR5" s="186">
        <f>'BNF-Nifty'!$R$73</f>
        <v>68980.952380952382</v>
      </c>
      <c r="BS5" s="200">
        <f>'BNF-Nifty'!$AS$69</f>
        <v>0.20985980241785129</v>
      </c>
      <c r="BT5" s="200">
        <f>'BNF-Nifty'!$AS$73</f>
        <v>0.19464594776505836</v>
      </c>
      <c r="BU5" s="201">
        <f>'BNF-Nifty'!$AY$69</f>
        <v>22205.74459900814</v>
      </c>
      <c r="BV5" s="201">
        <f>'BNF-Nifty'!$BD$69</f>
        <v>23545.590359965307</v>
      </c>
      <c r="BW5" s="201">
        <f>'BNF-Nifty'!$BD$67</f>
        <v>22960.066739683396</v>
      </c>
      <c r="BX5" s="193">
        <f>'BNF-Nifty'!$BI$69</f>
        <v>24422.16215382826</v>
      </c>
      <c r="BY5" s="193">
        <f>'BNF-Nifty'!$BI$67</f>
        <v>23213.905355109357</v>
      </c>
      <c r="BZ5" s="191">
        <f>IF(BX5="","",(BC5-BX5)/BX5)</f>
        <v>5.8282630227668782E-2</v>
      </c>
      <c r="CA5" s="191">
        <f>IF(BY5="","",(BM5-BY5)/BY5)</f>
        <v>5.5072441683107374E-3</v>
      </c>
      <c r="CB5" s="202">
        <f>'BNF-Nifty'!$CP$69</f>
        <v>227.94465374547207</v>
      </c>
      <c r="CC5" s="202">
        <f>'BNF-Nifty'!$CP$67</f>
        <v>4.744165695253173</v>
      </c>
      <c r="CD5" s="202">
        <f>'BNF-Nifty'!$CP$66</f>
        <v>1.4390278286169291</v>
      </c>
      <c r="CE5" s="202">
        <f>'BNF-Nifty'!$DF$69</f>
        <v>72.348013858546707</v>
      </c>
      <c r="CF5" s="202">
        <f>'BNF-Nifty'!$DF$67</f>
        <v>64.697313514330105</v>
      </c>
      <c r="CG5" s="202">
        <f>'BNF-Nifty'!$DF$66</f>
        <v>60.944038822020147</v>
      </c>
      <c r="CH5" s="496">
        <f>'BNF-Nifty'!$DD$73</f>
        <v>84</v>
      </c>
      <c r="CI5" s="193">
        <f>'BNF-Nifty'!$DG$73</f>
        <v>48</v>
      </c>
      <c r="CJ5" s="202">
        <f>'BNF-Nifty'!$DG$69</f>
        <v>69.790174375709157</v>
      </c>
      <c r="CK5" s="202">
        <f>'BNF-Nifty'!$DG$67</f>
        <v>69.839328840726736</v>
      </c>
      <c r="CL5" s="202">
        <f>'BNF-Nifty'!$DG$66</f>
        <v>70.011303109883329</v>
      </c>
      <c r="CM5" s="202">
        <f>'BNF-Nifty'!$DH$69</f>
        <v>72.568943410364568</v>
      </c>
      <c r="CN5" s="202">
        <f>'BNF-Nifty'!$DH$67</f>
        <v>72.696507022555664</v>
      </c>
      <c r="CO5" s="190">
        <f>IF(AND(BC5&gt;BU5,CG5&lt;CL5,CF5&gt;CK5,CE5&gt;CJ5,CE5&gt;CF5,CJ5&gt;CK5),"M34-1",IF(AND(BC5&lt;BU5,CG5&gt;CL5,CF5&lt;CK5,CE5&lt;CJ5,CE5&lt;CF5,CJ5&lt;CK5),"M34-2",0))</f>
        <v>0</v>
      </c>
      <c r="CP5" s="190">
        <f>IF(AI5="",0,IF(AND(AJ5="M34-1",CF5&gt;CN5,CE5&lt;CM5),"Exit-Long",IF(AND(AJ5="M34-2",CF5&lt;CN5,CE5&gt;CM5),"Exit-Short","Hold")))</f>
        <v>0</v>
      </c>
      <c r="CQ5" s="201">
        <f>'BNF-Nifty'!$BW$69</f>
        <v>22654.619410273372</v>
      </c>
      <c r="CR5" s="201">
        <f>'BNF-Nifty'!$BW$67</f>
        <v>22490.243993290922</v>
      </c>
      <c r="CS5" s="201">
        <f>'BNF-Nifty'!$BX$69</f>
        <v>23134.928851456309</v>
      </c>
      <c r="CT5" s="201">
        <f>'BNF-Nifty'!$BX$67</f>
        <v>22813.485674670286</v>
      </c>
      <c r="CU5" s="201">
        <f>'BNF-Nifty'!$BY$69</f>
        <v>23424.3807301735</v>
      </c>
      <c r="CV5" s="201">
        <f>'BNF-Nifty'!$BY$67</f>
        <v>23101.2514175943</v>
      </c>
      <c r="CW5" s="201">
        <f>'BNF-Nifty'!$BT$69</f>
        <v>23236.288802444935</v>
      </c>
      <c r="CX5" s="201">
        <f>'BNF-Nifty'!$BT$67</f>
        <v>22912.979847823815</v>
      </c>
      <c r="CY5" s="201">
        <f>'BNF-Nifty'!$BU$69</f>
        <v>23966.106590616677</v>
      </c>
      <c r="CZ5" s="201">
        <f>'BNF-Nifty'!$BU$67</f>
        <v>23155.229737744925</v>
      </c>
      <c r="DA5" s="201">
        <f>'BNF-Nifty'!$BV$69</f>
        <v>24158.939493282665</v>
      </c>
      <c r="DB5" s="201">
        <f>'BNF-Nifty'!$BV$67</f>
        <v>23348.441266165893</v>
      </c>
      <c r="DC5" s="190">
        <f>IF(AND(BC5&gt;BU5,BM5&lt;CR5,BC5&gt;CQ5,BC5&gt;BM5),"P34-1",IF(AND(BC5&lt;BU5,BM5&gt;CR5,BC5&lt;CQ5,BC5&lt;BM5),"P34-2",IF(AND(BC5&gt;BU5,BM5&lt;CX5,BC5&gt;CW5,BC5&gt;BM5),"P13-1",IF(AND(BC5&lt;BU5,BM5&gt;CX5,BC5&lt;CW5,BC5&lt;BM5),"P13-2",0))))</f>
        <v>0</v>
      </c>
      <c r="DD5" s="190">
        <f>IF(AI5="",0,IF(OR(AND(AJ5="P34-1",BM5&gt;CT5,BC5&lt;CS5),AND(AJ5="P13-1",BM5&gt;CZ5,BC5&lt;CY5)),"Exit-Long",IF(OR(AND(AJ5="P34-2",BM5&lt;CV5,BC5&gt;CU5),AND(AJ5="P13-2",BM5&lt;DB5,BC5&gt;DA5)),"Exit-Short","Hold")))</f>
        <v>0</v>
      </c>
      <c r="DE5" s="190">
        <f>IF(AND(BC5&gt;BU5,CG5&lt;CL5,CF5&gt;CK5,CE5&gt;CJ5,CE5&gt;CF5,CJ5&gt;CK5),"M34-1",IF(AND(BC5&lt;BU5,CG5&gt;CL5,CF5&lt;CK5,CE5&lt;CJ5,CE5&lt;CF5,CJ5&lt;CK5),"M34-2",IF(AND(BC5&gt;BU5,BM5&lt;CR5,BC5&gt;CQ5,BC5&gt;BM5),"P34-1",IF(AND(BC5&lt;BU5,BM5&gt;CR5,BC5&lt;CQ5,BC5&lt;BM5),"P34-2",IF(AND(BC5&gt;BU5,BM5&lt;CX5,BC5&gt;CW5,BC5&gt;BM5),"P13-1",IF(AND(BC5&lt;BU5,BM5&gt;CX5,BC5&lt;CW5,BC5&lt;BM5),"P13-2",0))))))</f>
        <v>0</v>
      </c>
      <c r="DF5" s="190">
        <f>IF(AI5="",0,IF(OR(AND(AJ5="M34-1",CF5&gt;CK5,CE5&lt;CJ5),AND(AJ5="P34-1",BM5&gt;CT5,BC5&lt;CS5),AND(AJ5="P13-1",BM5&gt;CZ5,BC5&lt;CY5)),"Exit-Long",IF(OR(AND(AJ5="M34-2",CF5&lt;CK5,CE5&gt;CJ5),AND(AJ5="P34-2",BM5&lt;CV5,BC5&gt;CU5),AND(AJ5="P13-2",BM5&lt;DB5,BC5&gt;DA5)),"Exit-Short","Hold")))</f>
        <v>0</v>
      </c>
      <c r="DG5" s="186">
        <f>'BNF-Nifty'!$DV$69</f>
        <v>580.71406141360444</v>
      </c>
      <c r="DH5" s="211">
        <f>'BNF-Nifty'!$DY$69</f>
        <v>0</v>
      </c>
      <c r="DI5" s="193" t="str">
        <f>IF(AI5="","-",'Base Data'!$D$10*DG5)</f>
        <v>-</v>
      </c>
      <c r="DJ5" s="193" t="str">
        <f>IF(DK5="-","-",IF(AI5&gt;0,(DK5-AI5),IF(AI5&lt;0,(DK5+AI5),"Check")))</f>
        <v>-</v>
      </c>
      <c r="DK5" s="193" t="str">
        <f>IF(AI5="","-",IF(AI5&gt;0,(AI5-DI5),IF(AI5&lt;0,(-AI5+DI5),"Check")))</f>
        <v>-</v>
      </c>
      <c r="DL5" s="193" t="str">
        <f>IF(AI5="","-",IF(AI5&gt;0,(AI5+(1*'Base Data'!$D$12*DG5)),IF(AI5&lt;0,(-AI5-(1*'Base Data'!$D$12*DG5)),"Check")))</f>
        <v>-</v>
      </c>
      <c r="DM5" s="193" t="str">
        <f>IF(AI5="","-",IF(AI5&gt;0,(AI5+(2*'Base Data'!$D$12*DG5)),IF(AI5&lt;0,(-AI5-(2*'Base Data'!$D$12*DG5)),"Check")))</f>
        <v>-</v>
      </c>
      <c r="DN5" s="193" t="str">
        <f>IF(AI5="","-",IF(AI5&gt;0,(AI5+(3*'Base Data'!$D$12*DG5)),IF(AI5&lt;0,(-AI5-(3*'Base Data'!$D$12*DG5)),"Check")))</f>
        <v>-</v>
      </c>
      <c r="DO5" s="193" t="str">
        <f>IF(AI5="","-",IF(AI5&gt;0,(AI5+(4*'Base Data'!$D$12*DG5)),IF(AI5&lt;0,(-AI5-(4*'Base Data'!$D$12*DG5)),"Check")))</f>
        <v>-</v>
      </c>
      <c r="DP5" s="193" t="str">
        <f>IF(AI5="","-",IF(AI5&gt;0,(AI5+DI5),IF(AI5&lt;0,(-AI5-DI5),"Check")))</f>
        <v>-</v>
      </c>
      <c r="DQ5" s="193" t="str">
        <f>IF(DP5="-","-",IF(AI5&gt;0,(DP5-AI5),IF(AI5&lt;0,(DP5+AI5),"Check")))</f>
        <v>-</v>
      </c>
      <c r="DR5" s="186">
        <f>'BNF-Nifty'!$EN$69</f>
        <v>988.85748877258254</v>
      </c>
      <c r="DS5" s="211">
        <f>'BNF-Nifty'!$EQ$69</f>
        <v>0</v>
      </c>
      <c r="DT5" s="193" t="str">
        <f>IF(AI5="","-",'Base Data'!$D$13*DR5)</f>
        <v>-</v>
      </c>
      <c r="DU5" s="193" t="str">
        <f>IF(DV5="-","-",IF(AI5&gt;0,(DV5-AI5),IF(AI5&lt;0,(DV5+AI5),"Check")))</f>
        <v>-</v>
      </c>
      <c r="DV5" s="193" t="str">
        <f>IF(AI5="","-",IF(AI5&gt;0,(AI5-DT5),IF(AI5&lt;0,(-AI5+DT5),"Check")))</f>
        <v>-</v>
      </c>
      <c r="DW5" s="193" t="str">
        <f>IF(AI5="","-",IF(AI5&gt;0,(AI5+DT5),IF(AI5&lt;0,(-AI5-DT5),"Check")))</f>
        <v>-</v>
      </c>
      <c r="DX5" s="193" t="str">
        <f>IF(DW5="-","-",IF(AI5&gt;0,(DW5-AI5),IF(AI5&lt;0,(DW5+AI5),"Check")))</f>
        <v>-</v>
      </c>
      <c r="DY5" s="197"/>
      <c r="DZ5" s="197"/>
      <c r="EA5" s="197"/>
      <c r="EB5" s="197"/>
      <c r="EC5" s="197"/>
      <c r="ED5" s="197"/>
      <c r="EE5" s="193" t="str">
        <f>IF(AI5="","",IF(AL5&gt;0,AL5,0))</f>
        <v/>
      </c>
      <c r="EF5" s="193" t="str">
        <f>IF(AI5="","",IF(AL5&lt;=0,AL5,0))</f>
        <v/>
      </c>
      <c r="EG5" s="186" t="str">
        <f>IF(AI5="","",IF(AI5&gt;0,(BF5*AH5),0))</f>
        <v/>
      </c>
      <c r="EH5" s="186" t="str">
        <f>IF(AI5="","",IF(AI5&lt;=0,(BF5*AH5),0))</f>
        <v/>
      </c>
      <c r="EI5" s="186" t="str">
        <f>IF(AI5="","",IF(AI5&gt;0,(BF5*S5),0))</f>
        <v/>
      </c>
      <c r="EJ5" s="186" t="str">
        <f>IF(AI5="","",IF(AI5&lt;=0,(BF5*S5),0))</f>
        <v/>
      </c>
      <c r="EK5" s="203" t="str">
        <f>IF(AI5="","",IF(AL5&gt;0,1,0))</f>
        <v/>
      </c>
      <c r="EL5" s="203" t="str">
        <f>IF(AI5="","",IF(AL5&lt;=0,1,0))</f>
        <v/>
      </c>
      <c r="EM5" s="64" t="str">
        <f>IF(AND(EN5=1,OR(AND(ER5&gt;=0.5%,ER5&lt;=1.5%),AND(ER5&lt;=-0.5%,ER5&gt;=-1.5%)),ES5&gt;=0.5%),CONCATENATE("Long ",B5),IF(AND(EN5=2,OR(AND(ER5&gt;=0.5%,ER5&lt;=1.5%),AND(ER5&lt;=-0.5%,ER5&gt;=-1.5%)),ES5&gt;=0.5%),CONCATENATE("Short ",B5),"Do Not Trade"))</f>
        <v>Do Not Trade</v>
      </c>
      <c r="EN5" s="64">
        <f>IF(OR(EO5="",EP5=""),"",IF(BC5&gt;=(EO5+'Base Data'!$D$14),1,IF(BC5&lt;=(EP5-'Base Data'!$D$14),2,0)))</f>
        <v>0</v>
      </c>
      <c r="EO5" s="214">
        <f>BH5</f>
        <v>25880</v>
      </c>
      <c r="EP5" s="214">
        <f>BI5</f>
        <v>25630.1</v>
      </c>
      <c r="EQ5" s="64" t="str">
        <f>IF(AI5="","",IF(AI5&gt;0,IF(BC5&lt;EP5,"Exit Long &amp; Go Short",IF(BC5&gt;(AI5+(EO5-EP5)),"Exit - TP","Hold")),IF(AI5&lt;0,IF(BC5&gt;EO5,"Exit Short &amp; Go Long",IF(BC5&lt;(-AI5-(EO5-EP5)),"Exit - TP","Hold")))))</f>
        <v/>
      </c>
      <c r="ER5" s="191">
        <f>(BC5-BM5)/BM5</f>
        <v>0.10726702153865923</v>
      </c>
      <c r="ES5" s="191">
        <f>IF(OR(EO5&lt;&gt;"",EP5&lt;&gt;""),(EO5-EP5)/BG5,(BH5-BI5)/BG5)</f>
        <v>9.7123979790128823E-3</v>
      </c>
      <c r="ET5" s="192">
        <f>IF(AND(EU5="",EV5="",EW5="",EX5=""),"",IF(AND(EU5&lt;(80%*EX5),EV5&lt;(80%*EX5),EW5&lt;(80%*EX5)),0,IF(AND(EU5&gt;=(80%*EX5),EV5&lt;(80%*EX5),EW5&lt;(80%*EX5)),5,IF(AND(EU5&lt;(80%*EX5),EV5&gt;=(80%*EX5),EW5&lt;(80%*EX5)),10,IF(AND(EU5&lt;(80%*EX5),EV5&lt;(80%*EX5),EW5&gt;=(80%*EX5)),15,IF(AND(EU5&gt;=(80%*EX5),EV5&gt;=(80%*EX5),EW5&lt;(80%*EX5)),20,IF(AND(EU5&gt;=(80%*EX5),EV5&lt;(80%*EX5),EW5&gt;=(80%*EX5)),25,IF(AND(EU5&lt;(80%*EX5),EV5&gt;=(80%*EX5),EW5&gt;=(80%*EX5)),30,IF(AND(EU5&gt;=(80%*EX5),EV5&gt;=(80%*EX5),EW5&gt;=(80%*EX5)),35,"Check")))))))))</f>
        <v>35</v>
      </c>
      <c r="EU5" s="191">
        <f>'BNF-Nifty'!$FH$69</f>
        <v>1.1999153203747068E-2</v>
      </c>
      <c r="EV5" s="191">
        <f>'BNF-Nifty'!$FI$69</f>
        <v>1.0656266453482145E-2</v>
      </c>
      <c r="EW5" s="191">
        <f>'BNF-Nifty'!$FJ$69</f>
        <v>9.7105907895868766E-3</v>
      </c>
      <c r="EX5" s="191">
        <f>'BNF-Nifty'!$FG$73</f>
        <v>9.5637766732543199E-3</v>
      </c>
      <c r="EY5" s="203">
        <f>IF(OR(AND(EN5=1,OR(AND(ER5&gt;=0.5%,ER5&lt;=1.5%),AND(ER5&lt;=-0.5%,ER5&gt;=-1.5%)),ES5&gt;=0.5%),AND(EN5=2,OR(AND(ER5&gt;=0.5%,ER5&lt;=1.5%),AND(ER5&lt;=-0.5%,ER5&gt;=-1.5%)),ES5&gt;=0.5%)),1,0)</f>
        <v>0</v>
      </c>
      <c r="EZ5" s="203">
        <f>IF(OR(EQ5="Exit Long &amp; Go Short",EQ5="Exit Short &amp; Go Long"),1,0)</f>
        <v>0</v>
      </c>
    </row>
    <row r="6" spans="1:156" ht="2.95" customHeight="1" x14ac:dyDescent="0.3">
      <c r="A6" s="64"/>
      <c r="B6" s="160"/>
      <c r="C6" s="63"/>
      <c r="D6" s="63"/>
      <c r="E6" s="63"/>
      <c r="F6" s="64"/>
      <c r="G6" s="64"/>
      <c r="H6" s="64"/>
      <c r="I6" s="64"/>
      <c r="J6" s="62"/>
      <c r="K6" s="62"/>
      <c r="L6" s="62"/>
      <c r="M6" s="64"/>
      <c r="N6" s="62"/>
      <c r="O6" s="64"/>
      <c r="P6" s="64"/>
      <c r="Q6" s="64"/>
      <c r="R6" s="62"/>
      <c r="S6" s="64"/>
      <c r="T6" s="64"/>
      <c r="U6" s="64"/>
      <c r="V6" s="495"/>
      <c r="W6" s="495"/>
      <c r="X6" s="64"/>
      <c r="Y6" s="62"/>
      <c r="Z6" s="62"/>
      <c r="AA6" s="62"/>
      <c r="AB6" s="64"/>
      <c r="AC6" s="64"/>
      <c r="AD6" s="64"/>
      <c r="AE6" s="65"/>
      <c r="AF6" s="65"/>
      <c r="AG6" s="62"/>
      <c r="AH6" s="64"/>
      <c r="AI6" s="85"/>
      <c r="AJ6" s="85"/>
      <c r="AK6" s="85"/>
      <c r="AL6" s="81"/>
      <c r="AM6" s="65"/>
      <c r="AN6" s="62"/>
      <c r="AO6" s="66"/>
      <c r="AP6" s="66"/>
      <c r="AQ6" s="63"/>
      <c r="AR6" s="63"/>
      <c r="AS6" s="63"/>
      <c r="AT6" s="63"/>
      <c r="AU6" s="63"/>
      <c r="AV6" s="63"/>
      <c r="AW6" s="63"/>
      <c r="AX6" s="63"/>
      <c r="AY6" s="81"/>
      <c r="AZ6" s="62"/>
      <c r="BA6" s="62"/>
      <c r="BB6" s="63"/>
      <c r="BC6" s="63"/>
      <c r="BD6" s="63"/>
      <c r="BE6" s="64"/>
      <c r="BF6" s="63"/>
      <c r="BG6" s="63"/>
      <c r="BH6" s="63"/>
      <c r="BI6" s="63"/>
      <c r="BJ6" s="63"/>
      <c r="BK6" s="63"/>
      <c r="BL6" s="63"/>
      <c r="BM6" s="63"/>
      <c r="BN6" s="62"/>
      <c r="BO6" s="62"/>
      <c r="BP6" s="62"/>
      <c r="BQ6" s="62"/>
      <c r="BR6" s="62"/>
      <c r="BS6" s="62"/>
      <c r="BT6" s="62"/>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81"/>
      <c r="EF6" s="81"/>
      <c r="EG6" s="63"/>
      <c r="EH6" s="63"/>
      <c r="EI6" s="63"/>
      <c r="EJ6" s="63"/>
      <c r="EK6" s="169"/>
      <c r="EL6" s="169"/>
      <c r="EM6" s="64"/>
      <c r="EN6" s="64"/>
      <c r="EO6" s="161"/>
      <c r="EP6" s="161"/>
      <c r="EQ6" s="64"/>
      <c r="ER6" s="65"/>
      <c r="ES6" s="65"/>
      <c r="ET6" s="65"/>
      <c r="EU6" s="65"/>
      <c r="EV6" s="65"/>
      <c r="EW6" s="65"/>
      <c r="EX6" s="65"/>
      <c r="EY6" s="169"/>
      <c r="EZ6" s="169"/>
    </row>
    <row r="7" spans="1:156" x14ac:dyDescent="0.3">
      <c r="A7" s="189">
        <f>A5+1</f>
        <v>2</v>
      </c>
      <c r="B7" s="499" t="s">
        <v>6</v>
      </c>
      <c r="C7" s="188">
        <f>IF(AND(I7=1,BD7&lt;&gt;0),BD7,IF(AND(I7=2,BB7&lt;&gt;0),BB7,BC7))</f>
        <v>10619.8</v>
      </c>
      <c r="D7" s="188">
        <f>(BC7-BG7)</f>
        <v>18.799999999999272</v>
      </c>
      <c r="E7" s="188">
        <f>(BC7-BM7)</f>
        <v>967.19999999999891</v>
      </c>
      <c r="F7" s="64"/>
      <c r="G7" s="64"/>
      <c r="H7" s="64"/>
      <c r="I7" s="64"/>
      <c r="J7" s="189" t="str">
        <f>IF(AND(BG7&gt;BM7,BG7&lt;=BK7),"PGUp",IF(AND(BG7&gt;BM7,BG7&gt;BK7),"FGUp",IF(AND(BG7&lt;BM7,BG7&gt;=BL7),"PGDn",IF(AND(BG7&lt;BM7,BG7&lt;BL7),"FGDn",0))))</f>
        <v>FGUp</v>
      </c>
      <c r="K7" s="189" t="str">
        <f>IF(BM7&gt;BJ7,IF(BG7&gt;BK7,"U-H",IF(AND(BG7&lt;=BK7,BG7&gt;BM7),"U-HC",IF(AND(BG7&lt;BM7,BG7&gt;=BJ7),"U-CO",IF(AND(BG7&lt;BJ7,BG7&gt;=BL7),"U-OL",IF(BG7&lt;BL7,"U-L",0))))),IF(BM7&lt;BJ7,IF(BG7&gt;BK7,"D-H",IF(AND(BG7&lt;=BK7,BG7&gt;BJ7),"D-HO",IF(AND(BG7&lt;=BJ7,BG7&gt;BM7),"D-OC",IF(AND(BG7&lt;BM7,BG7&gt;=BL7),"D-CL",IF(BG7&lt;BL7,"D-L",0))))),0))</f>
        <v>D-H</v>
      </c>
      <c r="L7" s="210" t="str">
        <f>IF(BM7&gt;BJ7,IF(BG7&gt;BK7,"Fade-Short",IF(AND(BG7&lt;=BK7,BG7&gt;BM7),"Fade-Short",IF(AND(BG7&lt;BM7,BG7&gt;=BJ7),"Fade-Long",IF(AND(BG7&lt;BJ7,BG7&gt;=BL7),"Fade-Long",IF(BG7&lt;BL7,"GA-Short",0))))),IF(BM7&lt;BJ7,IF(BG7&gt;BK7,"GA-Long",IF(AND(BG7&lt;=BK7,BG7&gt;BJ7),"Fade-Short",IF(AND(BG7&lt;=BJ7,BG7&gt;BM7),"Fade-Short",IF(AND(BG7&lt;BM7,BG7&gt;=BL7),"Fade-Long",IF(BG7&lt;BL7,"Fade-Long",0))))),0))</f>
        <v>GA-Long</v>
      </c>
      <c r="M7" s="64">
        <f>IF(BG7=BI7,1,IF(BG7=BH7,2,0))</f>
        <v>0</v>
      </c>
      <c r="N7" s="64">
        <f>IF(AND(BG7&lt;BK7,BC7&gt;BK7),"Up-BO",IF(AND(BG7&gt;BL7,BC7&lt;BL7),"Dn-BO",IF(AND(J7="FGDn",BC7&gt;BL7),"Dn2Up-BO",IF(AND(J7="FGUp",BC7&lt;BK7),"Up2Dn-BO",0))))</f>
        <v>0</v>
      </c>
      <c r="O7" s="64">
        <f>IF(AND((IF(BV7&gt;BW7,1,-1)&gt;0),(IF(CB7&gt;CC7,1,-1)&gt;0)),1,IF(AND((IF(BV7&gt;BW7,1,-1)&lt;0),(IF(CB7&gt;CC7,1,-1)&lt;0)),2,0))</f>
        <v>1</v>
      </c>
      <c r="P7" s="64">
        <f>IF(BC7&gt;(BH7-(BG7*0.5%)),1,IF(BC7&lt;(BI7+(BG7*0.5%)),2,0))</f>
        <v>1</v>
      </c>
      <c r="Q7" s="64">
        <f>IF(C7&gt;((BG7+BK7+BL7+BM7)/4),1,IF(C7&lt;((BG7+BK7+BL7+BM7)/4),2,0))</f>
        <v>1</v>
      </c>
      <c r="R7" s="64">
        <f>IF((BS7&gt;BT7),1,0)</f>
        <v>1</v>
      </c>
      <c r="S7" s="479">
        <f>DS7</f>
        <v>0</v>
      </c>
      <c r="T7" s="209">
        <f>'BNF-Nifty'!$FE$69</f>
        <v>3.4614676942285274</v>
      </c>
      <c r="U7" s="209" t="str">
        <f>IF(S7&lt;&gt;0,T7,"-")</f>
        <v>-</v>
      </c>
      <c r="V7" s="212" t="str">
        <f>IF(U7="-","-",_xlfn.RANK.EQ(U7,$U$5:$U$12,0))</f>
        <v>-</v>
      </c>
      <c r="W7" s="212" t="str">
        <f>IF(U7="-","-",_xlfn.RANK.EQ(U7,$U$5:$U$12,1))</f>
        <v>-</v>
      </c>
      <c r="X7" s="189" t="str">
        <f>'BNF-Nifty'!$FU$69</f>
        <v>T-R</v>
      </c>
      <c r="Y7" s="189">
        <f>'BNF-Nifty'!$FQ$69</f>
        <v>2</v>
      </c>
      <c r="Z7" s="492">
        <f>'BNF-Nifty'!$EI$69</f>
        <v>1.5880955341618996E-2</v>
      </c>
      <c r="AA7" s="492">
        <f>'BNF-Nifty'!$FA$69</f>
        <v>2.8731563695411917E-2</v>
      </c>
      <c r="AB7" s="209">
        <f>'BNF-Nifty'!$FD$69</f>
        <v>6.7946390409571418</v>
      </c>
      <c r="AC7" s="494">
        <f>_xlfn.RANK.AVG(AB7,$AB$5:$AB$12,0)</f>
        <v>1</v>
      </c>
      <c r="AD7" s="494">
        <f>_xlfn.RANK.AVG(AB7,$AB$5:$AB$12,1)</f>
        <v>4</v>
      </c>
      <c r="AE7" s="196" t="str">
        <f>IF(AND(BC7&gt;BU7,BC7&gt;BV7,BZ7&gt;=CA7,BX7&gt;BY7),"1. Strong Up-R",IF(AND(BC7&gt;BU7,BC7&gt;BV7,BZ7&gt;=CA7,BX7=BY7),"1. Strong Up-F",IF(AND(BC7&gt;BU7,BC7&gt;BV7,BZ7&gt;=CA7,BX7&lt;BY7),"1. Strong Up-D",IF(AND(BC7&gt;BU7,BC7&gt;BV7,BZ7&lt;CA7,BX7&gt;BY7),"2. Weak Up-R",IF(AND(BC7&gt;BU7,BC7&gt;BV7,BZ7&lt;CA7,BX7=BY7),"2. Weak Up-F",IF(AND(BC7&gt;BU7,BC7&gt;BV7,BZ7&lt;CA7,BX7&lt;BY7),"2. Weak Up-D",IF(AND(BC7&lt;BU7,BC7&lt;BV7,BZ7&lt;=CA7,BX7&lt;BY7),"1. Strong Dn-D",IF(AND(BC7&lt;BU7,BC7&lt;BV7,BZ7&lt;=CA7,BX7=BY7),"1. Strong Dn-F",IF(AND(BC7&lt;BU7,BC7&lt;BV7,BZ7&lt;=CA7,BX7&gt;BY7),"1. Strong Dn-R",IF(AND(BC7&lt;BU7,BC7&lt;BV7,BZ7&gt;CA7,BX7&lt;BY7),"2. Weak Dn-D",IF(AND(BC7&lt;BU7,BC7&lt;BV7,BZ7&gt;CA7,BX7=BY7),"2. Weak Dn-F",IF(AND(BC7&lt;BU7,BC7&lt;BV7,BZ7&gt;CA7,BX7&gt;BY7),"2. Weak Dn-R","-"))))))))))))</f>
        <v>1. Strong Up-R</v>
      </c>
      <c r="AF7" s="196" t="str">
        <f>IF(CE7&gt;CH7,"MFI Nr. Max. Level",IF(CE7&lt;CI7,"MFI Nr. Min. Level",IF(AND(BC7&gt;BU7,CB7&gt;CC7,CC7&gt;CD7,CB7&gt;=0,CE7&gt;CJ7,CE7&gt;CF7,CE7&gt;=50,CF7&gt;=50),"1. Ultimate Up - R",IF(AND(BC7&gt;BU7,CB7&gt;CC7,CC7&gt;CD7,CB7&gt;=0,CE7&gt;CJ7,CE7=CF7,CE7&gt;=50,CF7&gt;=50),"1. Ultimate Up - F",IF(AND(BC7&gt;BU7,CB7&gt;CC7,CC7&gt;CD7,CB7&gt;=0,CE7&gt;CJ7,CE7&lt;CF7,CE7&gt;=50,CF7&gt;=50),"1. Ultimate Up - D",IF(AND(BC7&gt;BU7,CB7&gt;CC7,CC7&gt;CD7,CB7&lt;0,CE7&gt;CJ7,CE7&gt;CF7,CE7&gt;=50,CF7&gt;=50),"2. Extreme Up - R",IF(AND(BC7&gt;BU7,CB7&gt;CC7,CC7&gt;CD7,CB7&lt;0,CE7&gt;CJ7,CE7=CF7,CE7&gt;=50,CF7&gt;=50),"2. Extreme Up - F",IF(AND(BC7&gt;BU7,CB7&gt;CC7,CC7&gt;CD7,CB7&lt;0,CE7&gt;CJ7,CE7&lt;CF7,CE7&gt;=50,CF7&gt;=50),"2. Extreme Up - D",IF(AND(BC7&gt;BU7,CB7&gt;CC7,CC7&gt;CD7,CB7&gt;=0,CE7&gt;CJ7,CE7&gt;CF7,CE7&gt;=50,CF7&lt;50),"3. Uber Up",IF(AND(BC7&gt;BU7,CB7&gt;CC7,CC7&gt;CD7,CB7&lt;0,CE7&gt;CJ7,CE7&gt;CF7,CE7&gt;=50,CF7&lt;50),"4. Ultra Up",IF(AND(BC7&gt;BU7,CB7&gt;CC7,CC7&gt;CD7,CB7&gt;=0,CE7&gt;CJ7,CE7&gt;CF7,CE7&lt;50),"5. Hyper Up - R",IF(AND(BC7&gt;BU7,CB7&gt;CC7,CC7&gt;CD7,CB7&gt;=0,CE7&gt;CJ7,CE7=CF7,CE7&lt;50),"5. Hyper Up - F",IF(AND(BC7&gt;BU7,CB7&gt;CC7,CC7&gt;CD7,CB7&gt;=0,CE7&gt;CJ7,CE7&lt;CF7,CE7&lt;50),"5. Hyper Up - D",IF(AND(BC7&gt;BU7,CB7&gt;CC7,CC7&gt;CD7,CB7&lt;0,CE7&gt;CJ7,CE7&gt;CF7,CE7&lt;50),"6. Super Up - R",IF(AND(BC7&gt;BU7,CB7&gt;CC7,CC7&gt;CD7,CB7&lt;0,CE7&gt;CJ7,CE7=CF7,CE7&lt;50),"6. Super Up - F",IF(AND(BC7&gt;BU7,CB7&gt;CC7,CC7&gt;CD7,CB7&lt;0,CE7&gt;CJ7,CE7&lt;CF7,CE7&lt;50),"6. Super Up - D",IF(AND(BC7&gt;BU7,CB7&gt;CC7,CC7&lt;CD7,CB7&gt;=0,CE7&gt;CF7,CE7&gt;=50,CF7&gt;=50),"7. Extra Strong Up - R",IF(AND(BC7&gt;BU7,CB7&gt;CC7,CC7&lt;CD7,CB7&gt;=0,CE7=CF7,CE7&gt;=50,CF7&gt;=50),"7. Extra Strong Up - F",IF(AND(BC7&gt;BU7,CB7&gt;CC7,CC7&lt;CD7,CB7&gt;=0,CE7&lt;CF7,CE7&gt;=50,CF7&gt;=50),"7. Extra Strong Up - D",IF(AND(BC7&gt;BU7,CB7&gt;CC7,CC7&lt;CD7,CB7&gt;=0,CE7&gt;CF7,CE7&gt;=50,CF7&lt;50),"8. Strong Up",IF(AND(BC7&gt;BU7,CB7&gt;CC7,CC7&lt;CD7,CB7&lt;0,CE7&gt;CJ7,CE7&gt;CF7,CE7&gt;=50,CF7&gt;=50),"9. Up - R",IF(AND(BC7&gt;BU7,CB7&gt;CC7,CC7&lt;CD7,CB7&lt;0,CE7&gt;CJ7,CE7=CF7,CE7&gt;=50,CF7&gt;=50),"9. Up - F",IF(AND(BC7&gt;BU7,CB7&gt;CC7,CC7&lt;CD7,CB7&lt;0,CE7&gt;CJ7,CE7&lt;CF7,CE7&gt;=50,CF7&gt;=50),"9. Up - D",IF(AND(BC7&gt;BU7,CB7&gt;CC7,CC7&lt;CD7,CB7&lt;0,CE7&gt;CF7,CE7&gt;=50,CF7&gt;=50),"10. Weak Up - R",IF(AND(BC7&gt;BU7,CB7&gt;CC7,CC7&lt;CD7,CB7&lt;0,CE7=CF7,CE7&gt;=50,CF7&gt;=50),"10. Weak Up - F",IF(AND(BC7&gt;BU7,CB7&gt;CC7,CC7&lt;CD7,CB7&lt;0,CE7&lt;CF7,CE7&gt;=50,CF7&gt;=50),"10. Weak Up - D",IF(AND(BC7&gt;BU7,CB7&gt;CC7,CC7&lt;CD7,CB7&lt;0,CE7&gt;CF7,CE7&gt;=50,CF7&lt;50),"11. Extra Weak Up",IF(AND(BC7&gt;BU7,CB7&gt;CC7,CC7&gt;CD7,CE7&gt;CF7,CE7&lt;50,CF7&lt;50),"12. Very Weak Up - R",IF(AND(BC7&gt;BU7,CB7&gt;CC7,CC7&gt;CD7,CE7=CF7,CE7&lt;50,CF7&lt;50),"12. Very Weak Up - F",IF(AND(BC7&gt;BU7,CB7&gt;CC7,CC7&gt;CD7,CE7&lt;CF7,CE7&lt;50,CF7&lt;50),"12. Very Weak Up - D",IF(AND(BC7&lt;BU7,CB7&lt;CC7,CC7&lt;CD7,CB7&lt;=0,CE7&lt;CJ7,CE7&lt;CF7,CE7&lt;50,CF7&lt;50),"1. Ultimate Dn - D",IF(AND(BC7&lt;BU7,CB7&lt;CC7,CC7&lt;CD7,CB7&lt;=0,CE7&lt;CJ7,CE7=CF7,CE7&lt;50,CF7&lt;50),"1. Ultimate Dn - F",IF(AND(BC7&lt;BU7,CB7&lt;CC7,CC7&lt;CD7,CB7&lt;=0,CE7&lt;CJ7,CE7&gt;CF7,CE7&lt;50,CF7&lt;50),"1. Ultimate Up - R",IF(AND(BC7&lt;BU7,CB7&lt;CC7,CC7&lt;CD7,CB7&gt;0,CE7&lt;CJ7,CE7&lt;CF7,CE7&lt;50,CF7&lt;50),"2. Extreme Dn - D",IF(AND(BC7&lt;BU7,CB7&lt;CC7,CC7&lt;CD7,CB7&gt;0,CE7&lt;CJ7,CE7=CF7,CE7&lt;50,CF7&lt;50),"2. Extreme Dn - F",IF(AND(BC7&lt;BU7,CB7&lt;CC7,CC7&lt;CD7,CB7&gt;0,CE7&lt;CJ7,CE7&gt;CF7,CE7&lt;50,CF7&lt;50),"2. Extreme Dn - R",IF(AND(BC7&lt;BU7,CB7&lt;CC7,CC7&lt;CD7,CB7&lt;=0,CE7&lt;CJ7,CE7&lt;CF7,CE7&lt;50,CF7&gt;=50),"3. Uber Dn",IF(AND(BC7&lt;BU7,CB7&lt;CC7,CC7&lt;CD7,CB7&gt;0,CE7&lt;CJ7,CE7&lt;CF7,CE7&lt;50,CF7&gt;=50),"4. Ultra Dn",IF(AND(BC7&lt;BU7,CB7&lt;CC7,CC7&lt;CD7,CB7&lt;=0,CE7&lt;CJ7,CE7&lt;CF7,CE7&gt;=50),"5. Hyper Dn - D",IF(AND(BC7&lt;BU7,CB7&lt;CC7,CC7&lt;CD7,CB7&lt;=0,CE7&lt;CJ7,CE7=CF7,CE7&gt;=50),"5. Hyper Dn - F",IF(AND(BC7&lt;BU7,CB7&lt;CC7,CC7&lt;CD7,CB7&lt;=0,CE7&lt;CJ7,CE7&gt;CF7,CE7&gt;=50),"5. Hyper Dn - R",IF(AND(BC7&lt;BU7,CB7&lt;CC7,CC7&lt;CD7,CB7&gt;0,CE7&lt;CJ7,CE7&lt;CF7,CE7&gt;=50),"6. Super Dn - D",IF(AND(BC7&lt;BU7,CB7&lt;CC7,CC7&lt;CD7,CB7&gt;0,CE7&lt;CJ7,CE7=CF7,CE7&gt;=50),"6. Super Dn - F",IF(AND(BC7&lt;BU7,CB7&lt;CC7,CC7&lt;CD7,CB7&gt;0,CE7&lt;CJ7,CE7&gt;CF7,CE7&gt;=50),"6. Super Dn - R",IF(AND(BC7&lt;BU7,CB7&lt;CC7,CC7&gt;CD7,CB7&lt;=0,CE7&lt;CF7,CE7&lt;50,CF7&lt;50),"7. Extra Strong Dn - D",IF(AND(BC7&lt;BU7,CB7&lt;CC7,CC7&gt;CD7,CB7&lt;=0,CE7=CF7,CE7&lt;50,CF7&lt;50),"7. Extra Strong Dn - F",IF(AND(BC7&lt;BU7,CB7&lt;CC7,CC7&gt;CD7,CB7&lt;=0,CE7&gt;CF7,CE7&lt;50,CF7&lt;50),"7. Extra Strong Dn - R",IF(AND(BC7&lt;BU7,CB7&lt;CC7,CC7&gt;CD7,CB7&lt;=0,CE7&lt;CF7,CE7&lt;50,CF7&gt;=50),"8. Strong Dn",IF(AND(BC7&lt;BU7,CB7&lt;CC7,CC7&gt;CD7,CB7&gt;0,CE7&lt;CJ7,CE7&lt;CF7,CE7&lt;50,CF7&lt;50),"9. Dn - D",IF(AND(BC7&lt;BU7,CB7&lt;CC7,CC7&gt;CD7,CB7&gt;0,CE7&lt;CJ7,CE7=CF7,CE7&lt;50,CF7&lt;50),"9. Dn - F",IF(AND(BC7&lt;BU7,CB7&lt;CC7,CC7&gt;CD7,CB7&gt;0,CE7&lt;CJ7,CE7&gt;CF7,CE7&lt;50,CF7&lt;50),"9. Dn - R",IF(AND(BC7&lt;BU7,CB7&lt;CC7,CC7&gt;CD7,CB7&gt;0,CE7&lt;CF7,CE7&lt;50,CF7&lt;50),"10. Weak Dn - D",IF(AND(BC7&lt;BU7,CB7&lt;CC7,CC7&gt;CD7,CB7&gt;0,CE7=CF7,CE7&lt;50,CF7&lt;50),"10. Weak Dn - F",IF(AND(BC7&lt;BU7,CB7&lt;CC7,CC7&gt;CD7,CB7&gt;0,CE7&gt;CF7,CE7&lt;50,CF7&lt;50),"10. Weak Dn - R",IF(AND(BC7&lt;BU7,CB7&lt;CC7,CC7&gt;CD7,CB7&gt;0,CE7&lt;CF7,CE7&lt;50,CF7&gt;=50),"11. Extra Weak Dn",IF(AND(BC7&lt;BU7,CB7&lt;CC7,CC7&lt;CD7,CE7&lt;CF7,CE7&gt;=50,CF7&gt;=50),"12. Very Weak Dn - D",IF(AND(BC7&lt;BU7,CB7&lt;CC7,CC7&lt;CD7,CE7=CF7,CE7&gt;=50,CF7&gt;=50),"12. Very Weak Dn - F",IF(AND(BC7&lt;BU7,CB7&lt;CC7,CC7&lt;CD7,CE7&gt;CF7,CE7&gt;=50,CF7&gt;=50),"12. Very Weak Dn - R","No Trend"))))))))))))))))))))))))))))))))))))))))))))))))))))))))))</f>
        <v>1. Ultimate Up - R</v>
      </c>
      <c r="AG7" s="64">
        <f>IF(BQ7&gt;BR7,1,0)</f>
        <v>1</v>
      </c>
      <c r="AH7" s="479">
        <f>DH7</f>
        <v>0</v>
      </c>
      <c r="AI7" s="82"/>
      <c r="AJ7" s="82"/>
      <c r="AK7" s="196" t="str">
        <f>IF(AI7="","",IF(AI7&gt;0,(C7-AI7),IF(AI7&lt;0,(-AI7-C7),"Check")))</f>
        <v/>
      </c>
      <c r="AL7" s="81" t="str">
        <f>IF(AI7="","",(AY7-AX7))</f>
        <v/>
      </c>
      <c r="AM7" s="65" t="str">
        <f>IF(AI7&lt;&gt;"",AL7/AO7,"")</f>
        <v/>
      </c>
      <c r="AN7" s="204"/>
      <c r="AO7" s="205" t="str">
        <f>IF(AI7&lt;&gt;"",(BF7*AH7),"")</f>
        <v/>
      </c>
      <c r="AP7" s="205">
        <f>(C7*AH7*BE7)</f>
        <v>0</v>
      </c>
      <c r="AQ7" s="188" t="str">
        <f>IF(AI7="","",(AP7*'Base Data'!$C$26*2))</f>
        <v/>
      </c>
      <c r="AR7" s="188" t="str">
        <f>IF(AI7="","",(AP7*'Base Data'!$D$26*2))</f>
        <v/>
      </c>
      <c r="AS7" s="188" t="str">
        <f>IF(AI7="","",((AQ7+AR7)*'Base Data'!$E$26)+(((AQ7+AR7)*'Base Data'!$E$26)*'Base Data'!$F$26)+(((AQ7+AR7)*'Base Data'!$E$26)*'Base Data'!$G$26))</f>
        <v/>
      </c>
      <c r="AT7" s="188" t="str">
        <f>IF(AI7="","",(AP7*'Base Data'!$H$27*2))</f>
        <v/>
      </c>
      <c r="AU7" s="188" t="str">
        <f>IF(AI7="","",(AP7*'Base Data'!$I$26*2))</f>
        <v/>
      </c>
      <c r="AV7" s="188" t="str">
        <f>IF(AI7="","",(AP7*'Base Data'!$J$26))</f>
        <v/>
      </c>
      <c r="AW7" s="188" t="str">
        <f>IF(AI7="","",(AP7*'Base Data'!$K$26*2))</f>
        <v/>
      </c>
      <c r="AX7" s="188" t="str">
        <f>IF(AI7="","",SUM(AQ7:AW7))</f>
        <v/>
      </c>
      <c r="AY7" s="196" t="str">
        <f>IF(AI7="","",IF(AI7&gt;0,((C7-AI7)*AH7*BE7),IF(AI7&lt;0,((-AI7-C7)*AH7*BE7),"Check")))</f>
        <v/>
      </c>
      <c r="AZ7" s="189" t="str">
        <f>IF(AI7="","",IF(AI7&gt;0,1,IF(AI7&lt;0,2,0)))</f>
        <v/>
      </c>
      <c r="BA7" s="204" t="str">
        <f>CONCATENATE(B7,'Base Data'!$D$1)</f>
        <v>Nifty18NovFut</v>
      </c>
      <c r="BB7" s="188">
        <f>VLOOKUP(BA7,[2]Sheet1!$A:$D,2,FALSE)</f>
        <v>10618</v>
      </c>
      <c r="BC7" s="188">
        <f>VLOOKUP(BA7,[2]Sheet1!$A:$D,3,FALSE)</f>
        <v>10619.8</v>
      </c>
      <c r="BD7" s="188">
        <f>VLOOKUP(BA7,[2]Sheet1!$A:$D,4,FALSE)</f>
        <v>10619.8</v>
      </c>
      <c r="BE7" s="189">
        <f>VLOOKUP(B7,'[3]Margin - NSE Fut (5Paisa)'!$A:$K,2,FALSE)</f>
        <v>75</v>
      </c>
      <c r="BF7" s="188">
        <f>VLOOKUP(B7,'[3]Margin - NSE Fut (5Paisa)'!$A:$K,11,FALSE)</f>
        <v>76212.887499999997</v>
      </c>
      <c r="BG7" s="188">
        <f>VLOOKUP(BA7,[2]Sheet1!$A:$L,9,FALSE)</f>
        <v>10601</v>
      </c>
      <c r="BH7" s="188">
        <f>VLOOKUP(BA7,[2]Sheet1!$A:$L,10,FALSE)</f>
        <v>10643.95</v>
      </c>
      <c r="BI7" s="188">
        <f>VLOOKUP(BA7,[2]Sheet1!$A:$L,11,FALSE)</f>
        <v>10571.1</v>
      </c>
      <c r="BJ7" s="188">
        <f>'BNF-Nifty'!$T$67</f>
        <v>9660.15</v>
      </c>
      <c r="BK7" s="188">
        <f>'BNF-Nifty'!$U$67</f>
        <v>9672</v>
      </c>
      <c r="BL7" s="188">
        <f>'BNF-Nifty'!$V$67</f>
        <v>9643.2000000000007</v>
      </c>
      <c r="BM7" s="188">
        <f>'BNF-Nifty'!$W$67</f>
        <v>9652.6</v>
      </c>
      <c r="BN7" s="196">
        <f>(BG7-BM7)</f>
        <v>948.39999999999964</v>
      </c>
      <c r="BO7" s="194">
        <f>(BG7-BM7)/BM7</f>
        <v>9.8253320348921494E-2</v>
      </c>
      <c r="BP7" s="206">
        <f>'BNF-Nifty'!$AC$69</f>
        <v>0.99999999999999989</v>
      </c>
      <c r="BQ7" s="188">
        <f>'BNF-Nifty'!$X$69</f>
        <v>120113</v>
      </c>
      <c r="BR7" s="188">
        <f>'BNF-Nifty'!$X$73</f>
        <v>110474.90476190476</v>
      </c>
      <c r="BS7" s="207">
        <f>'BNF-Nifty'!$AW$69</f>
        <v>0.14210660005906672</v>
      </c>
      <c r="BT7" s="207">
        <f>'BNF-Nifty'!$AW$73</f>
        <v>0.13531035035778866</v>
      </c>
      <c r="BU7" s="208">
        <f>'BNF-Nifty'!$BA$69</f>
        <v>9322.5794260298117</v>
      </c>
      <c r="BV7" s="208">
        <f>'BNF-Nifty'!$BL$69</f>
        <v>9673.2394499960283</v>
      </c>
      <c r="BW7" s="208">
        <f>'BNF-Nifty'!$BL$67</f>
        <v>9503.0505078207934</v>
      </c>
      <c r="BX7" s="196">
        <f>'BNF-Nifty'!$BQ$69</f>
        <v>9996.657367009213</v>
      </c>
      <c r="BY7" s="196">
        <f>'BNF-Nifty'!$BQ$67</f>
        <v>9592.9029676842456</v>
      </c>
      <c r="BZ7" s="194">
        <f>IF(BX7="","",(BC7-BX7)/BX7)</f>
        <v>6.2335099635131071E-2</v>
      </c>
      <c r="CA7" s="194">
        <f>IF(BY7="","",(BM7-BY7)/BY7)</f>
        <v>6.2230414001743836E-3</v>
      </c>
      <c r="CB7" s="209">
        <f>'BNF-Nifty'!$CY$69</f>
        <v>79.196763713467107</v>
      </c>
      <c r="CC7" s="209">
        <f>'BNF-Nifty'!$CY$67</f>
        <v>9.0270956594684577</v>
      </c>
      <c r="CD7" s="209">
        <f>'BNF-Nifty'!$CY$66</f>
        <v>6.744796627712077</v>
      </c>
      <c r="CE7" s="209">
        <f>'BNF-Nifty'!$DO$69</f>
        <v>69.940467924597442</v>
      </c>
      <c r="CF7" s="209">
        <f>'BNF-Nifty'!$DO$67</f>
        <v>64.291370026114038</v>
      </c>
      <c r="CG7" s="209">
        <f>'BNF-Nifty'!$DO$66</f>
        <v>60.694720357204304</v>
      </c>
      <c r="CH7" s="196">
        <f>'BNF-Nifty'!$DM$73</f>
        <v>77</v>
      </c>
      <c r="CI7" s="196">
        <f>'BNF-Nifty'!$DP$73</f>
        <v>31</v>
      </c>
      <c r="CJ7" s="209">
        <f>'BNF-Nifty'!$DP$69</f>
        <v>57.031463654677701</v>
      </c>
      <c r="CK7" s="209">
        <f>'BNF-Nifty'!$DP$67</f>
        <v>56.281432740248434</v>
      </c>
      <c r="CL7" s="209">
        <f>'BNF-Nifty'!$DP$66</f>
        <v>55.852216991346005</v>
      </c>
      <c r="CM7" s="209">
        <f>'BNF-Nifty'!$DQ$69</f>
        <v>59.912579195601523</v>
      </c>
      <c r="CN7" s="209">
        <f>'BNF-Nifty'!$DQ$67</f>
        <v>59.708349036279003</v>
      </c>
      <c r="CO7" s="189">
        <f>IF(AND(BC7&gt;BU7,CG7&lt;CL7,CF7&gt;CK7,CE7&gt;CJ7,CE7&gt;CF7,CJ7&gt;CK7),"M34-1",IF(AND(BC7&lt;BU7,CG7&gt;CL7,CF7&lt;CK7,CE7&lt;CJ7,CE7&lt;CF7,CJ7&lt;CK7),"M34-2",0))</f>
        <v>0</v>
      </c>
      <c r="CP7" s="189">
        <f>IF(AI7="",0,IF(AND(AJ7="M34-1",CF7&gt;CN7,CE7&lt;CM7),"Exit-Long",IF(AND(AJ7="M34-2",CF7&lt;CN7,CE7&gt;CM7),"Exit-Short","Hold")))</f>
        <v>0</v>
      </c>
      <c r="CQ7" s="208">
        <f>'BNF-Nifty'!$CE$69</f>
        <v>9416.3593276220854</v>
      </c>
      <c r="CR7" s="208">
        <f>'BNF-Nifty'!$CE$67</f>
        <v>9373.755585590834</v>
      </c>
      <c r="CS7" s="208">
        <f>'BNF-Nifty'!$CF$69</f>
        <v>9541.0905237520656</v>
      </c>
      <c r="CT7" s="208">
        <f>'BNF-Nifty'!$CF$67</f>
        <v>9458.3208126132213</v>
      </c>
      <c r="CU7" s="208">
        <f>'BNF-Nifty'!$CG$69</f>
        <v>9624.6759002172421</v>
      </c>
      <c r="CV7" s="208">
        <f>'BNF-Nifty'!$CG$67</f>
        <v>9542.1020907214861</v>
      </c>
      <c r="CW7" s="208">
        <f>'BNF-Nifty'!$CB$69</f>
        <v>9575.9033742166066</v>
      </c>
      <c r="CX7" s="208">
        <f>'BNF-Nifty'!$CB$67</f>
        <v>9491.4507418679077</v>
      </c>
      <c r="CY7" s="208">
        <f>'BNF-Nifty'!$CC$69</f>
        <v>9872.9020500468851</v>
      </c>
      <c r="CZ7" s="208">
        <f>'BNF-Nifty'!$CC$67</f>
        <v>9586.8300887459991</v>
      </c>
      <c r="DA7" s="208">
        <f>'BNF-Nifty'!$CD$69</f>
        <v>9922.4750342440584</v>
      </c>
      <c r="DB7" s="208">
        <f>'BNF-Nifty'!$CD$67</f>
        <v>9645.0047136379781</v>
      </c>
      <c r="DC7" s="189">
        <f>IF(AND(BC7&gt;BU7,BM7&lt;CR7,BC7&gt;CQ7,BC7&gt;BM7),"P34-1",IF(AND(BC7&lt;BU7,BM7&gt;CR7,BC7&lt;CQ7,BC7&lt;BM7),"P34-2",IF(AND(BC7&gt;BU7,BM7&lt;CX7,BC7&gt;CW7,BC7&gt;BM7),"P13-1",IF(AND(BC7&lt;BU7,BM7&gt;CX7,BC7&lt;CW7,BC7&lt;BM7),"P13-2",0))))</f>
        <v>0</v>
      </c>
      <c r="DD7" s="189">
        <f>IF(AI7="",0,IF(OR(AND(AJ7="P34-1",BM7&gt;CT7,BC7&lt;CS7),AND(AJ7="P13-1",BM7&gt;CZ7,BC7&lt;CY7)),"Exit-Long",IF(OR(AND(AJ7="P34-2",BM7&lt;CV7,BC7&gt;CU7),AND(AJ7="P13-2",BM7&lt;DB7,BC7&gt;DA7)),"Exit-Short","Hold")))</f>
        <v>0</v>
      </c>
      <c r="DE7" s="189">
        <f>IF(AND(BC7&gt;BU7,CG7&lt;CL7,CF7&gt;CK7,CE7&gt;CJ7,CE7&gt;CF7,CJ7&gt;CK7),"M34-1",IF(AND(BC7&lt;BU7,CG7&gt;CL7,CF7&lt;CK7,CE7&lt;CJ7,CE7&lt;CF7,CJ7&lt;CK7),"M34-2",IF(AND(BC7&gt;BU7,BM7&lt;CR7,BC7&gt;CQ7,BC7&gt;BM7),"P34-1",IF(AND(BC7&lt;BU7,BM7&gt;CR7,BC7&lt;CQ7,BC7&lt;BM7),"P34-2",IF(AND(BC7&gt;BU7,BM7&lt;CX7,BC7&gt;CW7,BC7&gt;BM7),"P13-1",IF(AND(BC7&lt;BU7,BM7&gt;CX7,BC7&lt;CW7,BC7&lt;BM7),"P13-2",0))))))</f>
        <v>0</v>
      </c>
      <c r="DF7" s="189">
        <f>IF(AI7="",0,IF(OR(AND(AJ7="M34-1",CF7&gt;CK7,CE7&lt;CJ7),AND(AJ7="P34-1",BM7&gt;CT7,BC7&lt;CS7),AND(AJ7="P13-1",BM7&gt;CZ7,BC7&lt;CY7)),"Exit-Long",IF(OR(AND(AJ7="M34-2",CF7&lt;CK7,CE7&gt;CJ7),AND(AJ7="P34-2",BM7&lt;CV7,BC7&gt;CU7),AND(AJ7="P13-2",BM7&lt;DB7,BC7&gt;DA7)),"Exit-Short","Hold")))</f>
        <v>0</v>
      </c>
      <c r="DG7" s="188">
        <f>'BNF-Nifty'!$EE$69</f>
        <v>168.6525695369254</v>
      </c>
      <c r="DH7" s="212">
        <f>'BNF-Nifty'!$EH$69</f>
        <v>0</v>
      </c>
      <c r="DI7" s="196" t="str">
        <f>IF(AI7="","-",'Base Data'!$D$10*DG7)</f>
        <v>-</v>
      </c>
      <c r="DJ7" s="196" t="str">
        <f>IF(DK7="-","-",IF(AI7&gt;0,(DK7-AI7),IF(AI7&lt;0,(DK7+AI7),"Check")))</f>
        <v>-</v>
      </c>
      <c r="DK7" s="196" t="str">
        <f>IF(AI7="","-",IF(AI7&gt;0,(AI7-DI7),IF(AI7&lt;0,(-AI7+DI7),"Check")))</f>
        <v>-</v>
      </c>
      <c r="DL7" s="196" t="str">
        <f>IF(AI7="","-",IF(AI7&gt;0,(AI7+(1*'Base Data'!$D$12*DG7)),IF(AI7&lt;0,(-AI7-(1*'Base Data'!$D$12*DG7)),"Check")))</f>
        <v>-</v>
      </c>
      <c r="DM7" s="196" t="str">
        <f>IF(AI7="","-",IF(AI7&gt;0,(AI7+(2*'Base Data'!$D$12*DG7)),IF(AI7&lt;0,(-AI7-(2*'Base Data'!$D$12*DG7)),"Check")))</f>
        <v>-</v>
      </c>
      <c r="DN7" s="196" t="str">
        <f>IF(AI7="","-",IF(AI7&gt;0,(AI7+(3*'Base Data'!$D$12*DG7)),IF(AI7&lt;0,(-AI7-(3*'Base Data'!$D$12*DG7)),"Check")))</f>
        <v>-</v>
      </c>
      <c r="DO7" s="196" t="str">
        <f>IF(AI7="","-",IF(AI7&gt;0,(AI7+(4*'Base Data'!$D$12*DG7)),IF(AI7&lt;0,(-AI7-(4*'Base Data'!$D$12*DG7)),"Check")))</f>
        <v>-</v>
      </c>
      <c r="DP7" s="196" t="str">
        <f>IF(AI7="","-",IF(AI7&gt;0,(AI7+DI7),IF(AI7&lt;0,(-AI7-DI7),"Check")))</f>
        <v>-</v>
      </c>
      <c r="DQ7" s="196" t="str">
        <f>IF(DP7="-","-",IF(AI7&gt;0,(DP7-AI7),IF(AI7&lt;0,(DP7+AI7),"Check")))</f>
        <v>-</v>
      </c>
      <c r="DR7" s="188">
        <f>'BNF-Nifty'!$EW$69</f>
        <v>305.12346013253546</v>
      </c>
      <c r="DS7" s="212">
        <f>'BNF-Nifty'!$EZ$69</f>
        <v>0</v>
      </c>
      <c r="DT7" s="196" t="str">
        <f>IF(AI7="","-",'Base Data'!$D$13*DR7)</f>
        <v>-</v>
      </c>
      <c r="DU7" s="196" t="str">
        <f>IF(DV7="-","-",IF(AI7&gt;0,(DV7-AI7),IF(AI7&lt;0,(DV7+AI7),"Check")))</f>
        <v>-</v>
      </c>
      <c r="DV7" s="196" t="str">
        <f>IF(AI7="","-",IF(AI7&gt;0,(AI7-DT7),IF(AI7&lt;0,(-AI7+DT7),"Check")))</f>
        <v>-</v>
      </c>
      <c r="DW7" s="196" t="str">
        <f>IF(AI7="","-",IF(AI7&gt;0,(AI7+DT7),IF(AI7&lt;0,(-AI7-DT7),"Check")))</f>
        <v>-</v>
      </c>
      <c r="DX7" s="196" t="str">
        <f>IF(DW7="-","-",IF(AI7&gt;0,(DW7-AI7),IF(AI7&lt;0,(DW7+AI7),"Check")))</f>
        <v>-</v>
      </c>
      <c r="DY7" s="204"/>
      <c r="DZ7" s="204"/>
      <c r="EA7" s="204"/>
      <c r="EB7" s="204"/>
      <c r="EC7" s="204"/>
      <c r="ED7" s="204"/>
      <c r="EE7" s="196" t="str">
        <f>IF(AI7="","",IF(AL7&gt;0,AL7,0))</f>
        <v/>
      </c>
      <c r="EF7" s="196" t="str">
        <f>IF(AI7="","",IF(AL7&lt;=0,AL7,0))</f>
        <v/>
      </c>
      <c r="EG7" s="188" t="str">
        <f>IF(AI7="","",IF(AI7&gt;0,(BF7*AH7),0))</f>
        <v/>
      </c>
      <c r="EH7" s="188" t="str">
        <f>IF(AI7="","",IF(AI7&lt;=0,(BF7*AH7),0))</f>
        <v/>
      </c>
      <c r="EI7" s="188" t="str">
        <f>IF(AI7="","",IF(AI7&gt;0,(BF7*S7),0))</f>
        <v/>
      </c>
      <c r="EJ7" s="188" t="str">
        <f>IF(AI7="","",IF(AI7&lt;=0,(BF7*S7),0))</f>
        <v/>
      </c>
      <c r="EK7" s="210" t="str">
        <f>IF(AI7="","",IF(AL7&gt;0,1,0))</f>
        <v/>
      </c>
      <c r="EL7" s="210" t="str">
        <f>IF(AI7="","",IF(AL7&lt;=0,1,0))</f>
        <v/>
      </c>
      <c r="EM7" s="64" t="str">
        <f>IF(AND(EN7=1,OR(AND(ER7&gt;=0.5%,ER7&lt;=1.5%),AND(ER7&lt;=-0.5%,ER7&gt;=-1.5%)),ES7&gt;=0.5%),CONCATENATE("Long ",B7),IF(AND(EN7=2,OR(AND(ER7&gt;=0.5%,ER7&lt;=1.5%),AND(ER7&lt;=-0.5%,ER7&gt;=-1.5%)),ES7&gt;=0.5%),CONCATENATE("Short ",B7),"Do Not Trade"))</f>
        <v>Do Not Trade</v>
      </c>
      <c r="EN7" s="64">
        <f>IF(OR(EO7="",EP7=""),"",IF(BC7&gt;=(EO7+'Base Data'!$D$14),1,IF(BC7&lt;=(EP7-'Base Data'!$D$14),2,0)))</f>
        <v>0</v>
      </c>
      <c r="EO7" s="215">
        <f>BH7</f>
        <v>10643.95</v>
      </c>
      <c r="EP7" s="215">
        <f>BI7</f>
        <v>10571.1</v>
      </c>
      <c r="EQ7" s="64" t="str">
        <f>IF(AI7="","",IF(AI7&gt;0,IF(BC7&lt;EP7,"Exit Long &amp; Go Short",IF(BC7&gt;(AI7+(EO7-EP7)),"Exit - TP","Hold")),IF(AI7&lt;0,IF(BC7&gt;EO7,"Exit Short &amp; Go Long",IF(BC7&lt;(-AI7-(EO7-EP7)),"Exit - TP","Hold")))))</f>
        <v/>
      </c>
      <c r="ER7" s="194">
        <f>(BC7-BM7)/BM7</f>
        <v>0.10020098211880725</v>
      </c>
      <c r="ES7" s="194">
        <f>IF(OR(EO7&lt;&gt;"",EP7&lt;&gt;""),(EO7-EP7)/BG7,(BH7-BI7)/BG7)</f>
        <v>6.8719932081879407E-3</v>
      </c>
      <c r="ET7" s="195">
        <f>IF(AND(EU7="",EV7="",EW7="",EX7=""),"",IF(AND(EU7&lt;(80%*EX7),EV7&lt;(80%*EX7),EW7&lt;(80%*EX7)),0,IF(AND(EU7&gt;=(80%*EX7),EV7&lt;(80%*EX7),EW7&lt;(80%*EX7)),5,IF(AND(EU7&lt;(80%*EX7),EV7&gt;=(80%*EX7),EW7&lt;(80%*EX7)),10,IF(AND(EU7&lt;(80%*EX7),EV7&lt;(80%*EX7),EW7&gt;=(80%*EX7)),15,IF(AND(EU7&gt;=(80%*EX7),EV7&gt;=(80%*EX7),EW7&lt;(80%*EX7)),20,IF(AND(EU7&gt;=(80%*EX7),EV7&lt;(80%*EX7),EW7&gt;=(80%*EX7)),25,IF(AND(EU7&lt;(80%*EX7),EV7&gt;=(80%*EX7),EW7&gt;=(80%*EX7)),30,IF(AND(EU7&gt;=(80%*EX7),EV7&gt;=(80%*EX7),EW7&gt;=(80%*EX7)),35,"Check")))))))))</f>
        <v>35</v>
      </c>
      <c r="EU7" s="194">
        <f>'BNF-Nifty'!$FM$69</f>
        <v>7.5649754857103815E-3</v>
      </c>
      <c r="EV7" s="194">
        <f>'BNF-Nifty'!$FN$69</f>
        <v>7.6803294359778134E-3</v>
      </c>
      <c r="EW7" s="194">
        <f>'BNF-Nifty'!$FO$69</f>
        <v>6.7478588097105285E-3</v>
      </c>
      <c r="EX7" s="194">
        <f>'BNF-Nifty'!$FL$73</f>
        <v>6.4854967650267454E-3</v>
      </c>
      <c r="EY7" s="210">
        <f>IF(OR(AND(EN7=1,OR(AND(ER7&gt;=0.5%,ER7&lt;=1.5%),AND(ER7&lt;=-0.5%,ER7&gt;=-1.5%)),ES7&gt;=0.5%),AND(EN7=2,OR(AND(ER7&gt;=0.5%,ER7&lt;=1.5%),AND(ER7&lt;=-0.5%,ER7&gt;=-1.5%)),ES7&gt;=0.5%)),1,0)</f>
        <v>0</v>
      </c>
      <c r="EZ7" s="210">
        <f>IF(OR(EQ7="Exit Long &amp; Go Short",EQ7="Exit Short &amp; Go Long"),1,0)</f>
        <v>0</v>
      </c>
    </row>
    <row r="8" spans="1:156" ht="2.95" customHeight="1" x14ac:dyDescent="0.3">
      <c r="A8" s="64"/>
      <c r="B8" s="160"/>
      <c r="C8" s="63"/>
      <c r="D8" s="63"/>
      <c r="E8" s="63"/>
      <c r="F8" s="64"/>
      <c r="G8" s="64"/>
      <c r="H8" s="64"/>
      <c r="I8" s="64"/>
      <c r="J8" s="62"/>
      <c r="K8" s="62"/>
      <c r="L8" s="62"/>
      <c r="M8" s="64"/>
      <c r="N8" s="62"/>
      <c r="O8" s="64"/>
      <c r="P8" s="64"/>
      <c r="Q8" s="64"/>
      <c r="R8" s="62"/>
      <c r="S8" s="64"/>
      <c r="T8" s="64"/>
      <c r="U8" s="64"/>
      <c r="V8" s="495"/>
      <c r="W8" s="495"/>
      <c r="X8" s="64"/>
      <c r="Y8" s="62"/>
      <c r="Z8" s="62"/>
      <c r="AA8" s="62"/>
      <c r="AB8" s="64"/>
      <c r="AC8" s="64"/>
      <c r="AD8" s="64"/>
      <c r="AE8" s="65"/>
      <c r="AF8" s="65"/>
      <c r="AG8" s="62"/>
      <c r="AH8" s="64"/>
      <c r="AI8" s="85"/>
      <c r="AJ8" s="85"/>
      <c r="AK8" s="85"/>
      <c r="AL8" s="81"/>
      <c r="AM8" s="65"/>
      <c r="AN8" s="62"/>
      <c r="AO8" s="66"/>
      <c r="AP8" s="66"/>
      <c r="AQ8" s="63"/>
      <c r="AR8" s="63"/>
      <c r="AS8" s="63"/>
      <c r="AT8" s="63"/>
      <c r="AU8" s="63"/>
      <c r="AV8" s="63"/>
      <c r="AW8" s="63"/>
      <c r="AX8" s="63"/>
      <c r="AY8" s="81"/>
      <c r="AZ8" s="62"/>
      <c r="BA8" s="62"/>
      <c r="BB8" s="63"/>
      <c r="BC8" s="63"/>
      <c r="BD8" s="63"/>
      <c r="BE8" s="64"/>
      <c r="BF8" s="63"/>
      <c r="BG8" s="63"/>
      <c r="BH8" s="63"/>
      <c r="BI8" s="63"/>
      <c r="BJ8" s="63"/>
      <c r="BK8" s="63"/>
      <c r="BL8" s="63"/>
      <c r="BM8" s="63"/>
      <c r="BN8" s="62"/>
      <c r="BO8" s="62"/>
      <c r="BP8" s="62"/>
      <c r="BQ8" s="62"/>
      <c r="BR8" s="62"/>
      <c r="BS8" s="62"/>
      <c r="BT8" s="62"/>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2"/>
      <c r="DD8" s="62"/>
      <c r="DE8" s="62"/>
      <c r="DF8" s="62"/>
      <c r="DG8" s="62"/>
      <c r="DH8" s="62"/>
      <c r="DI8" s="62"/>
      <c r="DJ8" s="62"/>
      <c r="DK8" s="62"/>
      <c r="DL8" s="62"/>
      <c r="DM8" s="62"/>
      <c r="DN8" s="62"/>
      <c r="DO8" s="62"/>
      <c r="DP8" s="62"/>
      <c r="DQ8" s="62"/>
      <c r="DR8" s="62"/>
      <c r="DS8" s="62"/>
      <c r="DT8" s="62"/>
      <c r="DU8" s="62"/>
      <c r="DV8" s="62"/>
      <c r="DW8" s="62"/>
      <c r="DX8" s="62"/>
      <c r="DY8" s="62"/>
      <c r="DZ8" s="62"/>
      <c r="EA8" s="62"/>
      <c r="EB8" s="62"/>
      <c r="EC8" s="62"/>
      <c r="ED8" s="62"/>
      <c r="EE8" s="81"/>
      <c r="EF8" s="81"/>
      <c r="EG8" s="63"/>
      <c r="EH8" s="63"/>
      <c r="EI8" s="63"/>
      <c r="EJ8" s="63"/>
      <c r="EK8" s="169"/>
      <c r="EL8" s="169"/>
      <c r="EM8" s="64"/>
      <c r="EN8" s="64"/>
      <c r="EO8" s="161"/>
      <c r="EP8" s="161"/>
      <c r="EQ8" s="64"/>
      <c r="ER8" s="65"/>
      <c r="ES8" s="65"/>
      <c r="ET8" s="65"/>
      <c r="EU8" s="65"/>
      <c r="EV8" s="65"/>
      <c r="EW8" s="65"/>
      <c r="EX8" s="65"/>
      <c r="EY8" s="169"/>
      <c r="EZ8" s="169"/>
    </row>
    <row r="9" spans="1:156" x14ac:dyDescent="0.3">
      <c r="A9" s="531">
        <f>A7+1</f>
        <v>3</v>
      </c>
      <c r="B9" s="185" t="s">
        <v>129</v>
      </c>
      <c r="C9" s="186">
        <f>IF(AND(I9=1,BD9&lt;&gt;0),BD9,IF(AND(I9=2,BB9&lt;&gt;0),BB9,BC9))</f>
        <v>94.4</v>
      </c>
      <c r="D9" s="186">
        <f t="shared" ref="D9" si="0">(BC9-BG9)</f>
        <v>1.4000000000000057</v>
      </c>
      <c r="E9" s="186">
        <f t="shared" ref="E9" si="1">(BC9-BM9)</f>
        <v>1</v>
      </c>
      <c r="F9" s="64"/>
      <c r="G9" s="64"/>
      <c r="H9" s="64"/>
      <c r="I9" s="64">
        <f t="shared" ref="I9" si="2">IF(OR(J9=0,K9=0),0,IF(AND(M9=1,N9="Up-BO"),IF(OR(AND(J9="PGDn",K9="D-CL"),AND(J9="FGDn",K9="D-L"),AND(J9="PGDn",K9="U-CO"),AND(J9="PGDn",K9="U-OL"),AND(J9="PGUp",K9="U-HC"),AND(J9="PGUp",K9="D-OC"),AND(J9="PGUp",K9="D-HO"),AND(J9="FGDn",K9="U-L")),1,IF(AND(M9=2,N9="Dn-BO"),IF(OR(AND(J9="PGDUp",K9="U-HC"),AND(J9="FGUp",K9="U-H"),AND(J9="PGUp",K9="D-OC"),AND(J9="PGUp",K9="D-HO"),AND(J9="PGDn",K9="D-CL"),AND(J9="PGDn",K9="U-CO"),AND(J9="PGDn",K9="U-OL"),AND(J9="FGUp",K9="D-H")),2,IF(AND(M9=1,N9="Dn2Up-BO"),1,IF(AND(M9=2,N9="Up2Dn-BO"),2,0))),0)),IF(AND(M9=1,N9="Up-BO"),IF(OR(AND(J9="PGDn",K9="D-CL"),AND(J9="FGDn",K9="D-L"),AND(J9="PGDn",K9="U-CO"),AND(J9="PGDn",K9="U-OL"),AND(J9="PGUp",K9="U-HC"),AND(J9="PGUp",K9="D-OC"),AND(J9="PGUp",K9="D-HO"),AND(J9="FGDn",K9="U-L")),1,IF(AND(M9=2,N9="Dn-BO"),IF(OR(AND(J9="PGDUp",K9="U-HC"),AND(J9="FGUp",K9="U-H"),AND(J9="PGUp",K9="D-OC"),AND(J9="PGUp",K9="D-HO"),AND(J9="PGDn",K9="D-CL"),AND(J9="PGDn",K9="U-CO"),AND(J9="PGDn",K9="U-OL"),AND(J9="FGUp",K9="D-H")),2,IF(AND(M9=1,N9="Dn2Up-BO"),1,IF(AND(M9=2,N9="Up2Dn-BO"),2,0))),0)),0)))</f>
        <v>0</v>
      </c>
      <c r="J9" s="190" t="str">
        <f t="shared" ref="J9" si="3">IF(AND(BG9&gt;BM9,BG9&lt;=BK9),"PGUp",IF(AND(BG9&gt;BM9,BG9&gt;BK9),"FGUp",IF(AND(BG9&lt;BM9,BG9&gt;=BL9),"PGDn",IF(AND(BG9&lt;BM9,BG9&lt;BL9),"FGDn",0))))</f>
        <v>PGDn</v>
      </c>
      <c r="K9" s="190" t="str">
        <f t="shared" ref="K9" si="4">IF(BM9&gt;BJ9,IF(BG9&gt;BK9,"U-H",IF(AND(BG9&lt;=BK9,BG9&gt;BM9),"U-HC",IF(AND(BG9&lt;BM9,BG9&gt;=BJ9),"U-CO",IF(AND(BG9&lt;BJ9,BG9&gt;=BL9),"U-OL",IF(BG9&lt;BL9,"U-L",0))))),IF(BM9&lt;BJ9,IF(BG9&gt;BK9,"D-H",IF(AND(BG9&lt;=BK9,BG9&gt;BJ9),"D-HO",IF(AND(BG9&lt;=BJ9,BG9&gt;BM9),"D-OC",IF(AND(BG9&lt;BM9,BG9&gt;=BL9),"D-CL",IF(BG9&lt;BL9,"D-L",0))))),0))</f>
        <v>U-CO</v>
      </c>
      <c r="L9" s="203" t="str">
        <f t="shared" ref="L9" si="5">IF(BM9&gt;BJ9,IF(BG9&gt;BK9,"Fade-Short",IF(AND(BG9&lt;=BK9,BG9&gt;BM9),"Fade-Short",IF(AND(BG9&lt;BM9,BG9&gt;=BJ9),"Fade-Long",IF(AND(BG9&lt;BJ9,BG9&gt;=BL9),"Fade-Long",IF(BG9&lt;BL9,"GA-Short",0))))),IF(BM9&lt;BJ9,IF(BG9&gt;BK9,"GA-Long",IF(AND(BG9&lt;=BK9,BG9&gt;BJ9),"Fade-Short",IF(AND(BG9&lt;=BJ9,BG9&gt;BM9),"Fade-Short",IF(AND(BG9&lt;BM9,BG9&gt;=BL9),"Fade-Long",IF(BG9&lt;BL9,"Fade-Long",0))))),0))</f>
        <v>Fade-Long</v>
      </c>
      <c r="M9" s="64">
        <f t="shared" ref="M9" si="6">IF(BG9=BI9,1,IF(BG9=BH9,2,0))</f>
        <v>0</v>
      </c>
      <c r="N9" s="64" t="str">
        <f>IF(AND(BG9&lt;BK9,BC9&gt;BK9),"Up-BO",IF(AND(BG9&gt;BL9,BC9&lt;BL9),"Dn-BO",IF(AND(J9="FGDn",BC9&gt;BL9),"Dn2Up-BO",IF(AND(J9="FGUp",BC9&lt;BK9),"Up2Dn-BO",0))))</f>
        <v>Up-BO</v>
      </c>
      <c r="O9" s="64">
        <f t="shared" ref="O9" si="7">IF(AND((IF(BV9&gt;BW9,1,-1)&gt;0),(IF(CB9&gt;CC9,1,-1)&gt;0)),1,IF(AND((IF(BV9&gt;BW9,1,-1)&lt;0),(IF(CB9&gt;CC9,1,-1)&lt;0)),2,0))</f>
        <v>0</v>
      </c>
      <c r="P9" s="64">
        <f t="shared" ref="P9" si="8">IF(BC9&gt;(BH9-(BG9*0.5%)),1,IF(BC9&lt;(BI9+(BG9*0.5%)),2,0))</f>
        <v>1</v>
      </c>
      <c r="Q9" s="64">
        <f>IF(C9&gt;((BG9+BK9+BL9+BM9)/4),1,IF(C9&lt;((BG9+BK9+BL9+BM9)/4),2,0))</f>
        <v>1</v>
      </c>
      <c r="R9" s="64">
        <f t="shared" ref="R9" si="9">IF((BS9&gt;BT9),1,0)</f>
        <v>1</v>
      </c>
      <c r="S9" s="478">
        <f t="shared" ref="S9" si="10">DS9</f>
        <v>0</v>
      </c>
      <c r="T9" s="202">
        <f>'Ashok-AsianP'!$ES$69</f>
        <v>0.98020726433598304</v>
      </c>
      <c r="U9" s="202" t="str">
        <f t="shared" ref="U9" si="11">IF(S9&lt;&gt;0,T9,"-")</f>
        <v>-</v>
      </c>
      <c r="V9" s="211" t="str">
        <f>IF(U9="-","-",_xlfn.RANK.EQ(U9,$U$5:$U$12,0))</f>
        <v>-</v>
      </c>
      <c r="W9" s="211" t="str">
        <f>IF(U9="-","-",_xlfn.RANK.EQ(U9,$U$5:$U$12,1))</f>
        <v>-</v>
      </c>
      <c r="X9" s="190" t="str">
        <f>'Ashok-AsianP'!$FI$69</f>
        <v>T-R</v>
      </c>
      <c r="Y9" s="190">
        <f>'Ashok-AsianP'!$FF$69</f>
        <v>2</v>
      </c>
      <c r="Z9" s="491">
        <f>'Ashok-AsianP'!$DP$69</f>
        <v>3.9765198196350049E-2</v>
      </c>
      <c r="AA9" s="491">
        <f>'Ashok-AsianP'!$EH$69</f>
        <v>4.0639284940791991E-2</v>
      </c>
      <c r="AB9" s="202">
        <f>'Ashok-AsianP'!$ER$69</f>
        <v>1.8626455432173963</v>
      </c>
      <c r="AC9" s="493">
        <f>_xlfn.RANK.AVG(AB9,$AB$5:$AB$12,0)</f>
        <v>3</v>
      </c>
      <c r="AD9" s="493">
        <f>_xlfn.RANK.AVG(AB9,$AB$5:$AB$12,1)</f>
        <v>2</v>
      </c>
      <c r="AE9" s="193" t="str">
        <f>IF(AND(BC9&gt;BU9,BC9&gt;BV9,BZ9&gt;=CA9,BX9&gt;BY9),"1. Strong Up-R",IF(AND(BC9&gt;BU9,BC9&gt;BV9,BZ9&gt;=CA9,BX9=BY9),"1. Strong Up-F",IF(AND(BC9&gt;BU9,BC9&gt;BV9,BZ9&gt;=CA9,BX9&lt;BY9),"1. Strong Up-D",IF(AND(BC9&gt;BU9,BC9&gt;BV9,BZ9&lt;CA9,BX9&gt;BY9),"2. Weak Up-R",IF(AND(BC9&gt;BU9,BC9&gt;BV9,BZ9&lt;CA9,BX9=BY9),"2. Weak Up-F",IF(AND(BC9&gt;BU9,BC9&gt;BV9,BZ9&lt;CA9,BX9&lt;BY9),"2. Weak Up-D",IF(AND(BC9&lt;BU9,BC9&lt;BV9,BZ9&lt;=CA9,BX9&lt;BY9),"1. Strong Dn-D",IF(AND(BC9&lt;BU9,BC9&lt;BV9,BZ9&lt;=CA9,BX9=BY9),"1. Strong Dn-F",IF(AND(BC9&lt;BU9,BC9&lt;BV9,BZ9&lt;=CA9,BX9&gt;BY9),"1. Strong Dn-R",IF(AND(BC9&lt;BU9,BC9&lt;BV9,BZ9&gt;CA9,BX9&lt;BY9),"2. Weak Dn-D",IF(AND(BC9&lt;BU9,BC9&lt;BV9,BZ9&gt;CA9,BX9=BY9),"2. Weak Dn-F",IF(AND(BC9&lt;BU9,BC9&lt;BV9,BZ9&gt;CA9,BX9&gt;BY9),"2. Weak Dn-R","-"))))))))))))</f>
        <v>1. Strong Up-R</v>
      </c>
      <c r="AF9" s="193" t="str">
        <f>IF(CE9&gt;CH9,"MFI Nr. Max. Level",IF(CE9&lt;CI9,"MFI Nr. Min. Level",IF(AND(BC9&gt;BU9,CB9&gt;CC9,CC9&gt;CD9,CB9&gt;=0,CE9&gt;CJ9,CE9&gt;CF9,CE9&gt;=50,CF9&gt;=50),"1. Ultimate Up - R",IF(AND(BC9&gt;BU9,CB9&gt;CC9,CC9&gt;CD9,CB9&gt;=0,CE9&gt;CJ9,CE9=CF9,CE9&gt;=50,CF9&gt;=50),"1. Ultimate Up - F",IF(AND(BC9&gt;BU9,CB9&gt;CC9,CC9&gt;CD9,CB9&gt;=0,CE9&gt;CJ9,CE9&lt;CF9,CE9&gt;=50,CF9&gt;=50),"1. Ultimate Up - D",IF(AND(BC9&gt;BU9,CB9&gt;CC9,CC9&gt;CD9,CB9&lt;0,CE9&gt;CJ9,CE9&gt;CF9,CE9&gt;=50,CF9&gt;=50),"2. Extreme Up - R",IF(AND(BC9&gt;BU9,CB9&gt;CC9,CC9&gt;CD9,CB9&lt;0,CE9&gt;CJ9,CE9=CF9,CE9&gt;=50,CF9&gt;=50),"2. Extreme Up - F",IF(AND(BC9&gt;BU9,CB9&gt;CC9,CC9&gt;CD9,CB9&lt;0,CE9&gt;CJ9,CE9&lt;CF9,CE9&gt;=50,CF9&gt;=50),"2. Extreme Up - D",IF(AND(BC9&gt;BU9,CB9&gt;CC9,CC9&gt;CD9,CB9&gt;=0,CE9&gt;CJ9,CE9&gt;CF9,CE9&gt;=50,CF9&lt;50),"3. Uber Up",IF(AND(BC9&gt;BU9,CB9&gt;CC9,CC9&gt;CD9,CB9&lt;0,CE9&gt;CJ9,CE9&gt;CF9,CE9&gt;=50,CF9&lt;50),"4. Ultra Up",IF(AND(BC9&gt;BU9,CB9&gt;CC9,CC9&gt;CD9,CB9&gt;=0,CE9&gt;CJ9,CE9&gt;CF9,CE9&lt;50),"5. Hyper Up - R",IF(AND(BC9&gt;BU9,CB9&gt;CC9,CC9&gt;CD9,CB9&gt;=0,CE9&gt;CJ9,CE9=CF9,CE9&lt;50),"5. Hyper Up - F",IF(AND(BC9&gt;BU9,CB9&gt;CC9,CC9&gt;CD9,CB9&gt;=0,CE9&gt;CJ9,CE9&lt;CF9,CE9&lt;50),"5. Hyper Up - D",IF(AND(BC9&gt;BU9,CB9&gt;CC9,CC9&gt;CD9,CB9&lt;0,CE9&gt;CJ9,CE9&gt;CF9,CE9&lt;50),"6. Super Up - R",IF(AND(BC9&gt;BU9,CB9&gt;CC9,CC9&gt;CD9,CB9&lt;0,CE9&gt;CJ9,CE9=CF9,CE9&lt;50),"6. Super Up - F",IF(AND(BC9&gt;BU9,CB9&gt;CC9,CC9&gt;CD9,CB9&lt;0,CE9&gt;CJ9,CE9&lt;CF9,CE9&lt;50),"6. Super Up - D",IF(AND(BC9&gt;BU9,CB9&gt;CC9,CC9&lt;CD9,CB9&gt;=0,CE9&gt;CF9,CE9&gt;=50,CF9&gt;=50),"7. Extra Strong Up - R",IF(AND(BC9&gt;BU9,CB9&gt;CC9,CC9&lt;CD9,CB9&gt;=0,CE9=CF9,CE9&gt;=50,CF9&gt;=50),"7. Extra Strong Up - F",IF(AND(BC9&gt;BU9,CB9&gt;CC9,CC9&lt;CD9,CB9&gt;=0,CE9&lt;CF9,CE9&gt;=50,CF9&gt;=50),"7. Extra Strong Up - D",IF(AND(BC9&gt;BU9,CB9&gt;CC9,CC9&lt;CD9,CB9&gt;=0,CE9&gt;CF9,CE9&gt;=50,CF9&lt;50),"8. Strong Up",IF(AND(BC9&gt;BU9,CB9&gt;CC9,CC9&lt;CD9,CB9&lt;0,CE9&gt;CJ9,CE9&gt;CF9,CE9&gt;=50,CF9&gt;=50),"9. Up - R",IF(AND(BC9&gt;BU9,CB9&gt;CC9,CC9&lt;CD9,CB9&lt;0,CE9&gt;CJ9,CE9=CF9,CE9&gt;=50,CF9&gt;=50),"9. Up - F",IF(AND(BC9&gt;BU9,CB9&gt;CC9,CC9&lt;CD9,CB9&lt;0,CE9&gt;CJ9,CE9&lt;CF9,CE9&gt;=50,CF9&gt;=50),"9. Up - D",IF(AND(BC9&gt;BU9,CB9&gt;CC9,CC9&lt;CD9,CB9&lt;0,CE9&gt;CF9,CE9&gt;=50,CF9&gt;=50),"10. Weak Up - R",IF(AND(BC9&gt;BU9,CB9&gt;CC9,CC9&lt;CD9,CB9&lt;0,CE9=CF9,CE9&gt;=50,CF9&gt;=50),"10. Weak Up - F",IF(AND(BC9&gt;BU9,CB9&gt;CC9,CC9&lt;CD9,CB9&lt;0,CE9&lt;CF9,CE9&gt;=50,CF9&gt;=50),"10. Weak Up - D",IF(AND(BC9&gt;BU9,CB9&gt;CC9,CC9&lt;CD9,CB9&lt;0,CE9&gt;CF9,CE9&gt;=50,CF9&lt;50),"11. Extra Weak Up",IF(AND(BC9&gt;BU9,CB9&gt;CC9,CC9&gt;CD9,CE9&gt;CF9,CE9&lt;50,CF9&lt;50),"12. Very Weak Up - R",IF(AND(BC9&gt;BU9,CB9&gt;CC9,CC9&gt;CD9,CE9=CF9,CE9&lt;50,CF9&lt;50),"12. Very Weak Up - F",IF(AND(BC9&gt;BU9,CB9&gt;CC9,CC9&gt;CD9,CE9&lt;CF9,CE9&lt;50,CF9&lt;50),"12. Very Weak Up - D",IF(AND(BC9&lt;BU9,CB9&lt;CC9,CC9&lt;CD9,CB9&lt;=0,CE9&lt;CJ9,CE9&lt;CF9,CE9&lt;50,CF9&lt;50),"1. Ultimate Dn - D",IF(AND(BC9&lt;BU9,CB9&lt;CC9,CC9&lt;CD9,CB9&lt;=0,CE9&lt;CJ9,CE9=CF9,CE9&lt;50,CF9&lt;50),"1. Ultimate Dn - F",IF(AND(BC9&lt;BU9,CB9&lt;CC9,CC9&lt;CD9,CB9&lt;=0,CE9&lt;CJ9,CE9&gt;CF9,CE9&lt;50,CF9&lt;50),"1. Ultimate Up - R",IF(AND(BC9&lt;BU9,CB9&lt;CC9,CC9&lt;CD9,CB9&gt;0,CE9&lt;CJ9,CE9&lt;CF9,CE9&lt;50,CF9&lt;50),"2. Extreme Dn - D",IF(AND(BC9&lt;BU9,CB9&lt;CC9,CC9&lt;CD9,CB9&gt;0,CE9&lt;CJ9,CE9=CF9,CE9&lt;50,CF9&lt;50),"2. Extreme Dn - F",IF(AND(BC9&lt;BU9,CB9&lt;CC9,CC9&lt;CD9,CB9&gt;0,CE9&lt;CJ9,CE9&gt;CF9,CE9&lt;50,CF9&lt;50),"2. Extreme Dn - R",IF(AND(BC9&lt;BU9,CB9&lt;CC9,CC9&lt;CD9,CB9&lt;=0,CE9&lt;CJ9,CE9&lt;CF9,CE9&lt;50,CF9&gt;=50),"3. Uber Dn",IF(AND(BC9&lt;BU9,CB9&lt;CC9,CC9&lt;CD9,CB9&gt;0,CE9&lt;CJ9,CE9&lt;CF9,CE9&lt;50,CF9&gt;=50),"4. Ultra Dn",IF(AND(BC9&lt;BU9,CB9&lt;CC9,CC9&lt;CD9,CB9&lt;=0,CE9&lt;CJ9,CE9&lt;CF9,CE9&gt;=50),"5. Hyper Dn - D",IF(AND(BC9&lt;BU9,CB9&lt;CC9,CC9&lt;CD9,CB9&lt;=0,CE9&lt;CJ9,CE9=CF9,CE9&gt;=50),"5. Hyper Dn - F",IF(AND(BC9&lt;BU9,CB9&lt;CC9,CC9&lt;CD9,CB9&lt;=0,CE9&lt;CJ9,CE9&gt;CF9,CE9&gt;=50),"5. Hyper Dn - R",IF(AND(BC9&lt;BU9,CB9&lt;CC9,CC9&lt;CD9,CB9&gt;0,CE9&lt;CJ9,CE9&lt;CF9,CE9&gt;=50),"6. Super Dn - D",IF(AND(BC9&lt;BU9,CB9&lt;CC9,CC9&lt;CD9,CB9&gt;0,CE9&lt;CJ9,CE9=CF9,CE9&gt;=50),"6. Super Dn - F",IF(AND(BC9&lt;BU9,CB9&lt;CC9,CC9&lt;CD9,CB9&gt;0,CE9&lt;CJ9,CE9&gt;CF9,CE9&gt;=50),"6. Super Dn - R",IF(AND(BC9&lt;BU9,CB9&lt;CC9,CC9&gt;CD9,CB9&lt;=0,CE9&lt;CF9,CE9&lt;50,CF9&lt;50),"7. Extra Strong Dn - D",IF(AND(BC9&lt;BU9,CB9&lt;CC9,CC9&gt;CD9,CB9&lt;=0,CE9=CF9,CE9&lt;50,CF9&lt;50),"7. Extra Strong Dn - F",IF(AND(BC9&lt;BU9,CB9&lt;CC9,CC9&gt;CD9,CB9&lt;=0,CE9&gt;CF9,CE9&lt;50,CF9&lt;50),"7. Extra Strong Dn - R",IF(AND(BC9&lt;BU9,CB9&lt;CC9,CC9&gt;CD9,CB9&lt;=0,CE9&lt;CF9,CE9&lt;50,CF9&gt;=50),"8. Strong Dn",IF(AND(BC9&lt;BU9,CB9&lt;CC9,CC9&gt;CD9,CB9&gt;0,CE9&lt;CJ9,CE9&lt;CF9,CE9&lt;50,CF9&lt;50),"9. Dn - D",IF(AND(BC9&lt;BU9,CB9&lt;CC9,CC9&gt;CD9,CB9&gt;0,CE9&lt;CJ9,CE9=CF9,CE9&lt;50,CF9&lt;50),"9. Dn - F",IF(AND(BC9&lt;BU9,CB9&lt;CC9,CC9&gt;CD9,CB9&gt;0,CE9&lt;CJ9,CE9&gt;CF9,CE9&lt;50,CF9&lt;50),"9. Dn - R",IF(AND(BC9&lt;BU9,CB9&lt;CC9,CC9&gt;CD9,CB9&gt;0,CE9&lt;CF9,CE9&lt;50,CF9&lt;50),"10. Weak Dn - D",IF(AND(BC9&lt;BU9,CB9&lt;CC9,CC9&gt;CD9,CB9&gt;0,CE9=CF9,CE9&lt;50,CF9&lt;50),"10. Weak Dn - F",IF(AND(BC9&lt;BU9,CB9&lt;CC9,CC9&gt;CD9,CB9&gt;0,CE9&gt;CF9,CE9&lt;50,CF9&lt;50),"10. Weak Dn - R",IF(AND(BC9&lt;BU9,CB9&lt;CC9,CC9&gt;CD9,CB9&gt;0,CE9&lt;CF9,CE9&lt;50,CF9&gt;=50),"11. Extra Weak Dn",IF(AND(BC9&lt;BU9,CB9&lt;CC9,CC9&lt;CD9,CE9&lt;CF9,CE9&gt;=50,CF9&gt;=50),"12. Very Weak Dn - D",IF(AND(BC9&lt;BU9,CB9&lt;CC9,CC9&lt;CD9,CE9=CF9,CE9&gt;=50,CF9&gt;=50),"12. Very Weak Dn - F",IF(AND(BC9&lt;BU9,CB9&lt;CC9,CC9&lt;CD9,CE9&gt;CF9,CE9&gt;=50,CF9&gt;=50),"12. Very Weak Dn - R","No Trend"))))))))))))))))))))))))))))))))))))))))))))))))))))))))))</f>
        <v>No Trend</v>
      </c>
      <c r="AG9" s="64">
        <f t="shared" ref="AG9" si="12">IF(BQ9&gt;BR9,1,0)</f>
        <v>0</v>
      </c>
      <c r="AH9" s="478">
        <f t="shared" ref="AH9" si="13">DH9</f>
        <v>0</v>
      </c>
      <c r="AI9" s="82"/>
      <c r="AJ9" s="82"/>
      <c r="AK9" s="193" t="str">
        <f>IF(AI9="","",IF(AI9&gt;0,(C9-AI9),IF(AI9&lt;0,(-AI9-C9),"Check")))</f>
        <v/>
      </c>
      <c r="AL9" s="81" t="str">
        <f t="shared" ref="AL9" si="14">IF(AI9="","",(AY9-AX9))</f>
        <v/>
      </c>
      <c r="AM9" s="65" t="str">
        <f t="shared" ref="AM9" si="15">IF(AI9&lt;&gt;"",AL9/AO9,"")</f>
        <v/>
      </c>
      <c r="AN9" s="197"/>
      <c r="AO9" s="198" t="str">
        <f t="shared" ref="AO9" si="16">IF(AI9&lt;&gt;"",(BF9*AH9),"")</f>
        <v/>
      </c>
      <c r="AP9" s="198">
        <f>(C9*AH9*BE9)</f>
        <v>0</v>
      </c>
      <c r="AQ9" s="186" t="str">
        <f>IF(AI9="","",(AP9*'Base Data'!$C$26*2))</f>
        <v/>
      </c>
      <c r="AR9" s="186" t="str">
        <f>IF(AI9="","",(AP9*'Base Data'!$D$26*2))</f>
        <v/>
      </c>
      <c r="AS9" s="186" t="str">
        <f>IF(AI9="","",((AQ9+AR9)*'Base Data'!$E$26)+(((AQ9+AR9)*'Base Data'!$E$26)*'Base Data'!$F$26)+(((AQ9+AR9)*'Base Data'!$E$26)*'Base Data'!$G$26))</f>
        <v/>
      </c>
      <c r="AT9" s="186" t="str">
        <f>IF(AI9="","",(AP9*'Base Data'!$H$27*2))</f>
        <v/>
      </c>
      <c r="AU9" s="186" t="str">
        <f>IF(AI9="","",(AP9*'Base Data'!$I$26*2))</f>
        <v/>
      </c>
      <c r="AV9" s="186" t="str">
        <f>IF(AI9="","",(AP9*'Base Data'!$J$26))</f>
        <v/>
      </c>
      <c r="AW9" s="186" t="str">
        <f>IF(AI9="","",(AP9*'Base Data'!$K$26*2))</f>
        <v/>
      </c>
      <c r="AX9" s="186" t="str">
        <f t="shared" ref="AX9" si="17">IF(AI9="","",SUM(AQ9:AW9))</f>
        <v/>
      </c>
      <c r="AY9" s="193" t="str">
        <f>IF(AI9="","",IF(AI9&gt;0,((C9-AI9)*AH9*BE9),IF(AI9&lt;0,((-AI9-C9)*AH9*BE9),"Check")))</f>
        <v/>
      </c>
      <c r="AZ9" s="190" t="str">
        <f t="shared" ref="AZ9" si="18">IF(AI9="","",IF(AI9&gt;0,1,IF(AI9&lt;0,2,0)))</f>
        <v/>
      </c>
      <c r="BA9" s="197" t="str">
        <f>CONCATENATE(B9,'Base Data'!$D$1)</f>
        <v>AshokLey18NovFut</v>
      </c>
      <c r="BB9" s="186">
        <v>94.6</v>
      </c>
      <c r="BC9" s="186">
        <v>94.4</v>
      </c>
      <c r="BD9" s="186">
        <v>94.8</v>
      </c>
      <c r="BE9" s="190">
        <f>VLOOKUP(B9,'[3]Margin - NSE Fut (5Paisa)'!$A:$K,2,FALSE)</f>
        <v>4000</v>
      </c>
      <c r="BF9" s="186">
        <f>VLOOKUP(B9,'[3]Margin - NSE Fut (5Paisa)'!$A:$K,11,FALSE)</f>
        <v>70890</v>
      </c>
      <c r="BG9" s="186">
        <f>'Ashok-AsianP'!N69</f>
        <v>93</v>
      </c>
      <c r="BH9" s="186">
        <f>'Ashok-AsianP'!O69</f>
        <v>94.8</v>
      </c>
      <c r="BI9" s="186">
        <f>'Ashok-AsianP'!P69</f>
        <v>92.65</v>
      </c>
      <c r="BJ9" s="186">
        <f>'Ashok-AsianP'!$N$67</f>
        <v>92</v>
      </c>
      <c r="BK9" s="186">
        <f>'Ashok-AsianP'!$O$67</f>
        <v>93.8</v>
      </c>
      <c r="BL9" s="186">
        <f>'Ashok-AsianP'!$P$67</f>
        <v>91.65</v>
      </c>
      <c r="BM9" s="186">
        <f>'Ashok-AsianP'!$Q$67</f>
        <v>93.4</v>
      </c>
      <c r="BN9" s="193">
        <f>(BG9-BM9)</f>
        <v>-0.40000000000000568</v>
      </c>
      <c r="BO9" s="191">
        <f>(BG9-BM9)/BM9</f>
        <v>-4.2826552462527376E-3</v>
      </c>
      <c r="BP9" s="199">
        <f>'Ashok-AsianP'!$AB$69</f>
        <v>0.24141068963258094</v>
      </c>
      <c r="BQ9" s="186">
        <f>'Ashok-AsianP'!$R$69</f>
        <v>4000</v>
      </c>
      <c r="BR9" s="186">
        <f>'Ashok-AsianP'!$R$73</f>
        <v>4493.1904761904761</v>
      </c>
      <c r="BS9" s="200">
        <f>'Ashok-AsianP'!$AO$69</f>
        <v>0.60350918533147269</v>
      </c>
      <c r="BT9" s="200">
        <f>'Ashok-AsianP'!$AO$73</f>
        <v>0.50677009035424891</v>
      </c>
      <c r="BU9" s="201">
        <f>'Ashok-AsianP'!$AU$69</f>
        <v>87.048785373476207</v>
      </c>
      <c r="BV9" s="201">
        <f>'Ashok-AsianP'!$AZ$69</f>
        <v>90.18811861169263</v>
      </c>
      <c r="BW9" s="201">
        <f>'Ashok-AsianP'!$AZ$67</f>
        <v>89.838460694689147</v>
      </c>
      <c r="BX9" s="193">
        <f>'Ashok-AsianP'!$BE$69</f>
        <v>92.641307450792212</v>
      </c>
      <c r="BY9" s="193">
        <f>'Ashok-AsianP'!$BE$67</f>
        <v>92.162392028230215</v>
      </c>
      <c r="BZ9" s="191">
        <f>IF(BX9="","",(BC9-BX9)/BX9)</f>
        <v>1.8983891717438781E-2</v>
      </c>
      <c r="CA9" s="191">
        <f>IF(BY9="","",(BM9-BY9)/BY9)</f>
        <v>1.3428557403226899E-2</v>
      </c>
      <c r="CB9" s="202">
        <f>'Ashok-AsianP'!$CF$69</f>
        <v>0.5956775086161088</v>
      </c>
      <c r="CC9" s="202">
        <f>'Ashok-AsianP'!$CF$67</f>
        <v>0.6436394569766577</v>
      </c>
      <c r="CD9" s="202">
        <f>'Ashok-AsianP'!$CF$66</f>
        <v>0.75672578524075007</v>
      </c>
      <c r="CE9" s="202">
        <f>'Ashok-AsianP'!$CV$69</f>
        <v>69.987293944506973</v>
      </c>
      <c r="CF9" s="202">
        <f>'Ashok-AsianP'!$CV$67</f>
        <v>66.355510690067291</v>
      </c>
      <c r="CG9" s="202">
        <f>'Ashok-AsianP'!$CV$66</f>
        <v>62.964300266505134</v>
      </c>
      <c r="CH9" s="496">
        <f>'Ashok-AsianP'!$CT$73</f>
        <v>75</v>
      </c>
      <c r="CI9" s="193">
        <f>'Ashok-AsianP'!$CW$73</f>
        <v>27</v>
      </c>
      <c r="CJ9" s="202">
        <f>'Ashok-AsianP'!$CW$69</f>
        <v>52.995638927060718</v>
      </c>
      <c r="CK9" s="202">
        <f>'Ashok-AsianP'!$CW$67</f>
        <v>52.246160927253527</v>
      </c>
      <c r="CL9" s="202">
        <f>'Ashok-AsianP'!$CW$66</f>
        <v>51.453432989007688</v>
      </c>
      <c r="CM9" s="202">
        <f>'Ashok-AsianP'!$CX$69</f>
        <v>56.956050955170724</v>
      </c>
      <c r="CN9" s="202">
        <f>'Ashok-AsianP'!$CX$67</f>
        <v>55.67373836264499</v>
      </c>
      <c r="CO9" s="190">
        <f t="shared" ref="CO9" si="19">IF(AND(BC9&gt;BU9,CG9&lt;CL9,CF9&gt;CK9,CE9&gt;CJ9,CE9&gt;CF9,CJ9&gt;CK9),"M34-1",IF(AND(BC9&lt;BU9,CG9&gt;CL9,CF9&lt;CK9,CE9&lt;CJ9,CE9&lt;CF9,CJ9&lt;CK9),"M34-2",0))</f>
        <v>0</v>
      </c>
      <c r="CP9" s="190">
        <f t="shared" ref="CP9" si="20">IF(AI9="",0,IF(AND(AJ9="M34-1",CF9&gt;CN9,CE9&lt;CM9),"Exit-Long",IF(AND(AJ9="M34-2",CF9&lt;CN9,CE9&gt;CM9),"Exit-Short","Hold")))</f>
        <v>0</v>
      </c>
      <c r="CQ9" s="201">
        <f>'Ashok-AsianP'!$BQ$69</f>
        <v>87.419748477036748</v>
      </c>
      <c r="CR9" s="201">
        <f>'Ashok-AsianP'!$BQ$67</f>
        <v>87.182337992839393</v>
      </c>
      <c r="CS9" s="201">
        <f>'Ashok-AsianP'!$BR$69</f>
        <v>89.68779610685047</v>
      </c>
      <c r="CT9" s="201">
        <f>'Ashok-AsianP'!$BR$67</f>
        <v>89.351441417428873</v>
      </c>
      <c r="CU9" s="201"/>
      <c r="CV9" s="201"/>
      <c r="CW9" s="201">
        <f>'Ashok-AsianP'!$BO$69</f>
        <v>88.987694623421547</v>
      </c>
      <c r="CX9" s="201">
        <f>'Ashok-AsianP'!$BO$67</f>
        <v>88.70244023904381</v>
      </c>
      <c r="CY9" s="201">
        <f>'Ashok-AsianP'!$BP$69</f>
        <v>93.531406409471316</v>
      </c>
      <c r="CZ9" s="201">
        <f>'Ashok-AsianP'!$BP$67</f>
        <v>93.104411822893979</v>
      </c>
      <c r="DA9" s="201"/>
      <c r="DB9" s="201"/>
      <c r="DC9" s="190">
        <f t="shared" ref="DC9" si="21">IF(AND(BC9&gt;BU9,BM9&lt;CR9,BC9&gt;CQ9,BC9&gt;BM9),"P34-1",IF(AND(BC9&lt;BU9,BM9&gt;CR9,BC9&lt;CQ9,BC9&lt;BM9),"P34-2",IF(AND(BC9&gt;BU9,BM9&lt;CX9,BC9&gt;CW9,BC9&gt;BM9),"P13-1",IF(AND(BC9&lt;BU9,BM9&gt;CX9,BC9&lt;CW9,BC9&lt;BM9),"P13-2",0))))</f>
        <v>0</v>
      </c>
      <c r="DD9" s="190">
        <f t="shared" ref="DD9" si="22">IF(AI9="",0,IF(OR(AND(AJ9="P34-1",BM9&gt;CT9,BC9&lt;CS9),AND(AJ9="P13-1",BM9&gt;CZ9,BC9&lt;CY9)),"Exit-Long",IF(OR(AND(AJ9="P34-2",BM9&lt;CV9,BC9&gt;CU9),AND(AJ9="P13-2",BM9&lt;DB9,BC9&gt;DA9)),"Exit-Short","Hold")))</f>
        <v>0</v>
      </c>
      <c r="DE9" s="190">
        <f t="shared" ref="DE9" si="23">IF(AND(BC9&gt;BU9,CG9&lt;CL9,CF9&gt;CK9,CE9&gt;CJ9,CE9&gt;CF9,CJ9&gt;CK9),"M34-1",IF(AND(BC9&lt;BU9,CG9&gt;CL9,CF9&lt;CK9,CE9&lt;CJ9,CE9&lt;CF9,CJ9&lt;CK9),"M34-2",IF(AND(BC9&gt;BU9,BM9&lt;CR9,BC9&gt;CQ9,BC9&gt;BM9),"P34-1",IF(AND(BC9&lt;BU9,BM9&gt;CR9,BC9&lt;CQ9,BC9&lt;BM9),"P34-2",IF(AND(BC9&gt;BU9,BM9&lt;CX9,BC9&gt;CW9,BC9&gt;BM9),"P13-1",IF(AND(BC9&lt;BU9,BM9&gt;CX9,BC9&lt;CW9,BC9&lt;BM9),"P13-2",0))))))</f>
        <v>0</v>
      </c>
      <c r="DF9" s="190">
        <f t="shared" ref="DF9" si="24">IF(AI9="",0,IF(OR(AND(AJ9="M34-1",CF9&gt;CK9,CE9&lt;CJ9),AND(AJ9="P34-1",BM9&gt;CT9,BC9&lt;CS9),AND(AJ9="P13-1",BM9&gt;CZ9,BC9&lt;CY9)),"Exit-Long",IF(OR(AND(AJ9="M34-2",CF9&lt;CK9,CE9&gt;CJ9),AND(AJ9="P34-2",BM9&lt;CV9,BC9&gt;CU9),AND(AJ9="P13-2",BM9&lt;DB9,BC9&gt;DA9)),"Exit-Short","Hold")))</f>
        <v>0</v>
      </c>
      <c r="DG9" s="186">
        <f>'Ashok-AsianP'!$DL$69</f>
        <v>3.7538347097354445</v>
      </c>
      <c r="DH9" s="211">
        <f>'Ashok-AsianP'!$DO$69</f>
        <v>0</v>
      </c>
      <c r="DI9" s="193" t="str">
        <f>IF(AI9="","-",'Base Data'!$D$10*DG9)</f>
        <v>-</v>
      </c>
      <c r="DJ9" s="193" t="str">
        <f>IF(DK9="-","-",IF(AI9&gt;0,(DK9-AI9),IF(AI9&lt;0,(DK9+AI9),"Check")))</f>
        <v>-</v>
      </c>
      <c r="DK9" s="193" t="str">
        <f>IF(AI9="","-",IF(AI9&gt;0,(AI9-DI9),IF(AI9&lt;0,(-AI9+DI9),"Check")))</f>
        <v>-</v>
      </c>
      <c r="DL9" s="193" t="str">
        <f>IF(AI9="","-",IF(AI9&gt;0,(AI9+(1*'Base Data'!$D$12*DG9)),IF(AI9&lt;0,(-AI9-(1*'Base Data'!$D$12*DG9)),"Check")))</f>
        <v>-</v>
      </c>
      <c r="DM9" s="193" t="str">
        <f>IF(AI9="","-",IF(AI9&gt;0,(AI9+(2*'Base Data'!$D$12*DG9)),IF(AI9&lt;0,(-AI9-(2*'Base Data'!$D$12*DG9)),"Check")))</f>
        <v>-</v>
      </c>
      <c r="DN9" s="193" t="str">
        <f>IF(AI9="","-",IF(AI9&gt;0,(AI9+(3*'Base Data'!$D$12*DG9)),IF(AI9&lt;0,(-AI9-(3*'Base Data'!$D$12*DG9)),"Check")))</f>
        <v>-</v>
      </c>
      <c r="DO9" s="193" t="str">
        <f>IF(AI9="","-",IF(AI9&gt;0,(AI9+(4*'Base Data'!$D$12*DG9)),IF(AI9&lt;0,(-AI9-(4*'Base Data'!$D$12*DG9)),"Check")))</f>
        <v>-</v>
      </c>
      <c r="DP9" s="193" t="str">
        <f>IF(AI9="","-",IF(AI9&gt;0,(AI9+DI9),IF(AI9&lt;0,(-AI9-DI9),"Check")))</f>
        <v>-</v>
      </c>
      <c r="DQ9" s="193" t="str">
        <f>IF(DP9="-","-",IF(AI9&gt;0,(DP9-AI9),IF(AI9&lt;0,(DP9+AI9),"Check")))</f>
        <v>-</v>
      </c>
      <c r="DR9" s="186">
        <f>'Ashok-AsianP'!$ED$69</f>
        <v>3.8363484984107639</v>
      </c>
      <c r="DS9" s="211">
        <f>'Ashok-AsianP'!$EG$69</f>
        <v>0</v>
      </c>
      <c r="DT9" s="193" t="str">
        <f>IF(AI9="","-",'Base Data'!$D$13*DR9)</f>
        <v>-</v>
      </c>
      <c r="DU9" s="193" t="str">
        <f>IF(DV9="-","-",IF(AI9&gt;0,(DV9-AI9),IF(AI9&lt;0,(DV9+AI9),"Check")))</f>
        <v>-</v>
      </c>
      <c r="DV9" s="193" t="str">
        <f>IF(AI9="","-",IF(AI9&gt;0,(AI9-DT9),IF(AI9&lt;0,(-AI9+DT9),"Check")))</f>
        <v>-</v>
      </c>
      <c r="DW9" s="193" t="str">
        <f>IF(AI9="","-",IF(AI9&gt;0,(AI9+DT9),IF(AI9&lt;0,(-AI9-DT9),"Check")))</f>
        <v>-</v>
      </c>
      <c r="DX9" s="193" t="str">
        <f>IF(DW9="-","-",IF(AI9&gt;0,(DW9-AI9),IF(AI9&lt;0,(DW9+AI9),"Check")))</f>
        <v>-</v>
      </c>
      <c r="DY9" s="197"/>
      <c r="DZ9" s="197"/>
      <c r="EA9" s="197"/>
      <c r="EB9" s="197"/>
      <c r="EC9" s="197"/>
      <c r="ED9" s="197"/>
      <c r="EE9" s="193" t="str">
        <f>IF(AI9="","",IF(AL9&gt;0,AL9,0))</f>
        <v/>
      </c>
      <c r="EF9" s="193" t="str">
        <f>IF(AI9="","",IF(AL9&lt;=0,AL9,0))</f>
        <v/>
      </c>
      <c r="EG9" s="186" t="str">
        <f>IF(AI9="","",IF(AI9&gt;0,(BF9*AH9),0))</f>
        <v/>
      </c>
      <c r="EH9" s="186" t="str">
        <f>IF(AI9="","",IF(AI9&lt;=0,(BF9*AH9),0))</f>
        <v/>
      </c>
      <c r="EI9" s="186" t="str">
        <f>IF(AI9="","",IF(AI9&gt;0,(BF9*S9),0))</f>
        <v/>
      </c>
      <c r="EJ9" s="186" t="str">
        <f>IF(AI9="","",IF(AI9&lt;=0,(BF9*S9),0))</f>
        <v/>
      </c>
      <c r="EK9" s="203" t="str">
        <f>IF(AI9="","",IF(AL9&gt;0,1,0))</f>
        <v/>
      </c>
      <c r="EL9" s="203" t="str">
        <f>IF(AI9="","",IF(AL9&lt;=0,1,0))</f>
        <v/>
      </c>
      <c r="EM9" s="64" t="str">
        <f>IF(AND(EN9=1,OR(AND(ER9&gt;=0.5%,ER9&lt;=1.5%),AND(ER9&lt;=-0.5%,ER9&gt;=-1.5%)),ES9&gt;=0.5%),CONCATENATE("Long ",B9),IF(AND(EN9=2,OR(AND(ER9&gt;=0.5%,ER9&lt;=1.5%),AND(ER9&lt;=-0.5%,ER9&gt;=-1.5%)),ES9&gt;=0.5%),CONCATENATE("Short ",B9),"Do Not Trade"))</f>
        <v>Do Not Trade</v>
      </c>
      <c r="EN9" s="64">
        <f>IF(OR(EO9="",EP9=""),"",IF(BC9&gt;=(EO9+'Base Data'!$D$14),1,IF(BC9&lt;=(EP9-'Base Data'!$D$14),2,0)))</f>
        <v>0</v>
      </c>
      <c r="EO9" s="214">
        <f>BH9</f>
        <v>94.8</v>
      </c>
      <c r="EP9" s="214">
        <f>BI9</f>
        <v>92.65</v>
      </c>
      <c r="EQ9" s="64" t="str">
        <f>IF(AI9="","",IF(AI9&gt;0,IF(BC9&lt;EP9,"Exit Long &amp; Go Short",IF(BC9&gt;(AI9+(EO9-EP9)),"Exit - TP","Hold")),IF(AI9&lt;0,IF(BC9&gt;EO9,"Exit Short &amp; Go Long",IF(BC9&lt;(-AI9-(EO9-EP9)),"Exit - TP","Hold")))))</f>
        <v/>
      </c>
      <c r="ER9" s="191">
        <f>(BC9-BM9)/BM9</f>
        <v>1.0706638115631691E-2</v>
      </c>
      <c r="ES9" s="191">
        <f>IF(OR(EO9&lt;&gt;"",EP9&lt;&gt;""),(EO9-EP9)/BG9,(BH9-BI9)/BG9)</f>
        <v>2.3118279569892382E-2</v>
      </c>
      <c r="ET9" s="192">
        <f t="shared" ref="ET9" si="25">IF(AND(EU9="",EV9="",EW9="",EX9=""),"",IF(AND(EU9&lt;(80%*EX9),EV9&lt;(80%*EX9),EW9&lt;(80%*EX9)),0,IF(AND(EU9&gt;=(80%*EX9),EV9&lt;(80%*EX9),EW9&lt;(80%*EX9)),5,IF(AND(EU9&lt;(80%*EX9),EV9&gt;=(80%*EX9),EW9&lt;(80%*EX9)),10,IF(AND(EU9&lt;(80%*EX9),EV9&lt;(80%*EX9),EW9&gt;=(80%*EX9)),15,IF(AND(EU9&gt;=(80%*EX9),EV9&gt;=(80%*EX9),EW9&lt;(80%*EX9)),20,IF(AND(EU9&gt;=(80%*EX9),EV9&lt;(80%*EX9),EW9&gt;=(80%*EX9)),25,IF(AND(EU9&lt;(80%*EX9),EV9&gt;=(80%*EX9),EW9&gt;=(80%*EX9)),30,IF(AND(EU9&gt;=(80%*EX9),EV9&gt;=(80%*EX9),EW9&gt;=(80%*EX9)),35,"Check")))))))))</f>
        <v>35</v>
      </c>
      <c r="EU9" s="191">
        <f>'Ashok-AsianP'!$EX$69</f>
        <v>3.8418908694381262E-2</v>
      </c>
      <c r="EV9" s="191">
        <f>'Ashok-AsianP'!$EY$69</f>
        <v>3.5183382699955017E-2</v>
      </c>
      <c r="EW9" s="191">
        <f>'Ashok-AsianP'!$EZ$69</f>
        <v>2.9175952038499781E-2</v>
      </c>
      <c r="EX9" s="191">
        <f>'Ashok-AsianP'!$EW$73</f>
        <v>2.4366131710073676E-2</v>
      </c>
      <c r="EY9" s="203">
        <f t="shared" ref="EY9" si="26">IF(OR(AND(EN9=1,OR(AND(ER9&gt;=0.5%,ER9&lt;=1.5%),AND(ER9&lt;=-0.5%,ER9&gt;=-1.5%)),ES9&gt;=0.5%),AND(EN9=2,OR(AND(ER9&gt;=0.5%,ER9&lt;=1.5%),AND(ER9&lt;=-0.5%,ER9&gt;=-1.5%)),ES9&gt;=0.5%)),1,0)</f>
        <v>0</v>
      </c>
      <c r="EZ9" s="203">
        <f t="shared" ref="EZ9" si="27">IF(OR(EQ9="Exit Long &amp; Go Short",EQ9="Exit Short &amp; Go Long"),1,0)</f>
        <v>0</v>
      </c>
    </row>
    <row r="10" spans="1:156" ht="2.95" customHeight="1" x14ac:dyDescent="0.3">
      <c r="A10" s="64"/>
      <c r="B10" s="160"/>
      <c r="C10" s="63"/>
      <c r="D10" s="63"/>
      <c r="E10" s="63"/>
      <c r="F10" s="64"/>
      <c r="G10" s="64"/>
      <c r="H10" s="64"/>
      <c r="I10" s="64"/>
      <c r="J10" s="62"/>
      <c r="K10" s="62"/>
      <c r="L10" s="62"/>
      <c r="M10" s="64"/>
      <c r="N10" s="62"/>
      <c r="O10" s="64"/>
      <c r="P10" s="64"/>
      <c r="Q10" s="64"/>
      <c r="R10" s="62"/>
      <c r="S10" s="64"/>
      <c r="T10" s="64"/>
      <c r="U10" s="64"/>
      <c r="V10" s="495"/>
      <c r="W10" s="495"/>
      <c r="X10" s="64"/>
      <c r="Y10" s="62"/>
      <c r="Z10" s="62"/>
      <c r="AA10" s="62"/>
      <c r="AB10" s="64"/>
      <c r="AC10" s="64"/>
      <c r="AD10" s="64"/>
      <c r="AE10" s="65"/>
      <c r="AF10" s="65"/>
      <c r="AG10" s="62"/>
      <c r="AH10" s="64"/>
      <c r="AI10" s="85"/>
      <c r="AJ10" s="85"/>
      <c r="AK10" s="85"/>
      <c r="AL10" s="81"/>
      <c r="AM10" s="65"/>
      <c r="AN10" s="62"/>
      <c r="AO10" s="66"/>
      <c r="AP10" s="66"/>
      <c r="AQ10" s="63"/>
      <c r="AR10" s="63"/>
      <c r="AS10" s="63"/>
      <c r="AT10" s="63"/>
      <c r="AU10" s="63"/>
      <c r="AV10" s="63"/>
      <c r="AW10" s="63"/>
      <c r="AX10" s="63"/>
      <c r="AY10" s="81"/>
      <c r="AZ10" s="62"/>
      <c r="BA10" s="62"/>
      <c r="BB10" s="63"/>
      <c r="BC10" s="63"/>
      <c r="BD10" s="63"/>
      <c r="BE10" s="64"/>
      <c r="BF10" s="63"/>
      <c r="BG10" s="63"/>
      <c r="BH10" s="63"/>
      <c r="BI10" s="63"/>
      <c r="BJ10" s="63"/>
      <c r="BK10" s="63"/>
      <c r="BL10" s="63"/>
      <c r="BM10" s="63"/>
      <c r="BN10" s="62"/>
      <c r="BO10" s="62"/>
      <c r="BP10" s="62"/>
      <c r="BQ10" s="62"/>
      <c r="BR10" s="62"/>
      <c r="BS10" s="62"/>
      <c r="BT10" s="62"/>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81"/>
      <c r="EF10" s="81"/>
      <c r="EG10" s="63"/>
      <c r="EH10" s="63"/>
      <c r="EI10" s="63"/>
      <c r="EJ10" s="63"/>
      <c r="EK10" s="169"/>
      <c r="EL10" s="169"/>
      <c r="EM10" s="64"/>
      <c r="EN10" s="64"/>
      <c r="EO10" s="161"/>
      <c r="EP10" s="161"/>
      <c r="EQ10" s="64"/>
      <c r="ER10" s="65"/>
      <c r="ES10" s="65"/>
      <c r="ET10" s="65"/>
      <c r="EU10" s="65"/>
      <c r="EV10" s="65"/>
      <c r="EW10" s="65"/>
      <c r="EX10" s="65"/>
      <c r="EY10" s="169"/>
      <c r="EZ10" s="169"/>
    </row>
    <row r="11" spans="1:156" x14ac:dyDescent="0.3">
      <c r="A11" s="189">
        <f>A9+1</f>
        <v>4</v>
      </c>
      <c r="B11" s="187" t="s">
        <v>130</v>
      </c>
      <c r="C11" s="188">
        <f>IF(AND(I11=1,BD11&lt;&gt;0),BD11,IF(AND(I11=2,BB11&lt;&gt;0),BB11,BC11))</f>
        <v>1172.55</v>
      </c>
      <c r="D11" s="188">
        <f t="shared" ref="D11" si="28">(BC11-BG11)</f>
        <v>3.3999999999998636</v>
      </c>
      <c r="E11" s="188">
        <f t="shared" ref="E11" si="29">(BC11-BM11)</f>
        <v>10</v>
      </c>
      <c r="F11" s="64"/>
      <c r="G11" s="64"/>
      <c r="H11" s="64"/>
      <c r="I11" s="64"/>
      <c r="J11" s="189" t="str">
        <f t="shared" ref="J11" si="30">IF(AND(BG11&gt;BM11,BG11&lt;=BK11),"PGUp",IF(AND(BG11&gt;BM11,BG11&gt;BK11),"FGUp",IF(AND(BG11&lt;BM11,BG11&gt;=BL11),"PGDn",IF(AND(BG11&lt;BM11,BG11&lt;BL11),"FGDn",0))))</f>
        <v>PGUp</v>
      </c>
      <c r="K11" s="189" t="str">
        <f t="shared" ref="K11" si="31">IF(BM11&gt;BJ11,IF(BG11&gt;BK11,"U-H",IF(AND(BG11&lt;=BK11,BG11&gt;BM11),"U-HC",IF(AND(BG11&lt;BM11,BG11&gt;=BJ11),"U-CO",IF(AND(BG11&lt;BJ11,BG11&gt;=BL11),"U-OL",IF(BG11&lt;BL11,"U-L",0))))),IF(BM11&lt;BJ11,IF(BG11&gt;BK11,"D-H",IF(AND(BG11&lt;=BK11,BG11&gt;BJ11),"D-HO",IF(AND(BG11&lt;=BJ11,BG11&gt;BM11),"D-OC",IF(AND(BG11&lt;BM11,BG11&gt;=BL11),"D-CL",IF(BG11&lt;BL11,"D-L",0))))),0))</f>
        <v>U-HC</v>
      </c>
      <c r="L11" s="210" t="str">
        <f t="shared" ref="L11" si="32">IF(BM11&gt;BJ11,IF(BG11&gt;BK11,"Fade-Short",IF(AND(BG11&lt;=BK11,BG11&gt;BM11),"Fade-Short",IF(AND(BG11&lt;BM11,BG11&gt;=BJ11),"Fade-Long",IF(AND(BG11&lt;BJ11,BG11&gt;=BL11),"Fade-Long",IF(BG11&lt;BL11,"GA-Short",0))))),IF(BM11&lt;BJ11,IF(BG11&gt;BK11,"GA-Long",IF(AND(BG11&lt;=BK11,BG11&gt;BJ11),"Fade-Short",IF(AND(BG11&lt;=BJ11,BG11&gt;BM11),"Fade-Short",IF(AND(BG11&lt;BM11,BG11&gt;=BL11),"Fade-Long",IF(BG11&lt;BL11,"Fade-Long",0))))),0))</f>
        <v>Fade-Short</v>
      </c>
      <c r="M11" s="64">
        <f t="shared" ref="M11" si="33">IF(BG11=BI11,1,IF(BG11=BH11,2,0))</f>
        <v>0</v>
      </c>
      <c r="N11" s="64" t="str">
        <f>IF(AND(BG11&lt;BK11,BC11&gt;BK11),"Up-BO",IF(AND(BG11&gt;BL11,BC11&lt;BL11),"Dn-BO",IF(AND(J11="FGDn",BC11&gt;BL11),"Dn2Up-BO",IF(AND(J11="FGUp",BC11&lt;BK11),"Up2Dn-BO",0))))</f>
        <v>Up-BO</v>
      </c>
      <c r="O11" s="64">
        <f t="shared" ref="O11" si="34">IF(AND((IF(BV11&gt;BW11,1,-1)&gt;0),(IF(CB11&gt;CC11,1,-1)&gt;0)),1,IF(AND((IF(BV11&gt;BW11,1,-1)&lt;0),(IF(CB11&gt;CC11,1,-1)&lt;0)),2,0))</f>
        <v>1</v>
      </c>
      <c r="P11" s="64">
        <f t="shared" ref="P11" si="35">IF(BC11&gt;(BH11-(BG11*0.5%)),1,IF(BC11&lt;(BI11+(BG11*0.5%)),2,0))</f>
        <v>2</v>
      </c>
      <c r="Q11" s="64">
        <f>IF(C11&gt;((BG11+BK11+BL11+BM11)/4),1,IF(C11&lt;((BG11+BK11+BL11+BM11)/4),2,0))</f>
        <v>1</v>
      </c>
      <c r="R11" s="64">
        <f t="shared" ref="R11" si="36">IF((BS11&gt;BT11),1,0)</f>
        <v>0</v>
      </c>
      <c r="S11" s="479">
        <f t="shared" ref="S11" si="37">DS11</f>
        <v>1</v>
      </c>
      <c r="T11" s="209">
        <f>'Ashok-AsianP'!$EU$69</f>
        <v>1.5090027029756075</v>
      </c>
      <c r="U11" s="209">
        <f t="shared" ref="U11" si="38">IF(S11&lt;&gt;0,T11,"-")</f>
        <v>1.5090027029756075</v>
      </c>
      <c r="V11" s="212">
        <f>IF(U11="-","-",_xlfn.RANK.EQ(U11,$U$5:$U$12,0))</f>
        <v>1</v>
      </c>
      <c r="W11" s="212">
        <f>IF(U11="-","-",_xlfn.RANK.EQ(U11,$U$5:$U$12,1))</f>
        <v>1</v>
      </c>
      <c r="X11" s="189" t="str">
        <f>'Ashok-AsianP'!$FK$69</f>
        <v>C-D</v>
      </c>
      <c r="Y11" s="189">
        <f>'Ashok-AsianP'!$FG$69</f>
        <v>2</v>
      </c>
      <c r="Z11" s="492">
        <f>'Ashok-AsianP'!$DY$69</f>
        <v>2.2347519249443486E-2</v>
      </c>
      <c r="AA11" s="492">
        <f>'Ashok-AsianP'!$EQ$69</f>
        <v>1.9680845627529923E-2</v>
      </c>
      <c r="AB11" s="209">
        <f>'Ashok-AsianP'!$ET$69</f>
        <v>1.1105654092385773</v>
      </c>
      <c r="AC11" s="494">
        <f>_xlfn.RANK.AVG(AB11,$AB$5:$AB$12,0)</f>
        <v>4</v>
      </c>
      <c r="AD11" s="494">
        <f>_xlfn.RANK.AVG(AB11,$AB$5:$AB$12,1)</f>
        <v>1</v>
      </c>
      <c r="AE11" s="196" t="str">
        <f>IF(AND(BC11&gt;BU11,BC11&gt;BV11,BZ11&gt;=CA11,BX11&gt;BY11),"1. Strong Up-R",IF(AND(BC11&gt;BU11,BC11&gt;BV11,BZ11&gt;=CA11,BX11=BY11),"1. Strong Up-F",IF(AND(BC11&gt;BU11,BC11&gt;BV11,BZ11&gt;=CA11,BX11&lt;BY11),"1. Strong Up-D",IF(AND(BC11&gt;BU11,BC11&gt;BV11,BZ11&lt;CA11,BX11&gt;BY11),"2. Weak Up-R",IF(AND(BC11&gt;BU11,BC11&gt;BV11,BZ11&lt;CA11,BX11=BY11),"2. Weak Up-F",IF(AND(BC11&gt;BU11,BC11&gt;BV11,BZ11&lt;CA11,BX11&lt;BY11),"2. Weak Up-D",IF(AND(BC11&lt;BU11,BC11&lt;BV11,BZ11&lt;=CA11,BX11&lt;BY11),"1. Strong Dn-D",IF(AND(BC11&lt;BU11,BC11&lt;BV11,BZ11&lt;=CA11,BX11=BY11),"1. Strong Dn-F",IF(AND(BC11&lt;BU11,BC11&lt;BV11,BZ11&lt;=CA11,BX11&gt;BY11),"1. Strong Dn-R",IF(AND(BC11&lt;BU11,BC11&lt;BV11,BZ11&gt;CA11,BX11&lt;BY11),"2. Weak Dn-D",IF(AND(BC11&lt;BU11,BC11&lt;BV11,BZ11&gt;CA11,BX11=BY11),"2. Weak Dn-F",IF(AND(BC11&lt;BU11,BC11&lt;BV11,BZ11&gt;CA11,BX11&gt;BY11),"2. Weak Dn-R","-"))))))))))))</f>
        <v>1. Strong Up-R</v>
      </c>
      <c r="AF11" s="196" t="str">
        <f>IF(CE11&gt;CH11,"MFI Nr. Max. Level",IF(CE11&lt;CI11,"MFI Nr. Min. Level",IF(AND(BC11&gt;BU11,CB11&gt;CC11,CC11&gt;CD11,CB11&gt;=0,CE11&gt;CJ11,CE11&gt;CF11,CE11&gt;=50,CF11&gt;=50),"1. Ultimate Up - R",IF(AND(BC11&gt;BU11,CB11&gt;CC11,CC11&gt;CD11,CB11&gt;=0,CE11&gt;CJ11,CE11=CF11,CE11&gt;=50,CF11&gt;=50),"1. Ultimate Up - F",IF(AND(BC11&gt;BU11,CB11&gt;CC11,CC11&gt;CD11,CB11&gt;=0,CE11&gt;CJ11,CE11&lt;CF11,CE11&gt;=50,CF11&gt;=50),"1. Ultimate Up - D",IF(AND(BC11&gt;BU11,CB11&gt;CC11,CC11&gt;CD11,CB11&lt;0,CE11&gt;CJ11,CE11&gt;CF11,CE11&gt;=50,CF11&gt;=50),"2. Extreme Up - R",IF(AND(BC11&gt;BU11,CB11&gt;CC11,CC11&gt;CD11,CB11&lt;0,CE11&gt;CJ11,CE11=CF11,CE11&gt;=50,CF11&gt;=50),"2. Extreme Up - F",IF(AND(BC11&gt;BU11,CB11&gt;CC11,CC11&gt;CD11,CB11&lt;0,CE11&gt;CJ11,CE11&lt;CF11,CE11&gt;=50,CF11&gt;=50),"2. Extreme Up - D",IF(AND(BC11&gt;BU11,CB11&gt;CC11,CC11&gt;CD11,CB11&gt;=0,CE11&gt;CJ11,CE11&gt;CF11,CE11&gt;=50,CF11&lt;50),"3. Uber Up",IF(AND(BC11&gt;BU11,CB11&gt;CC11,CC11&gt;CD11,CB11&lt;0,CE11&gt;CJ11,CE11&gt;CF11,CE11&gt;=50,CF11&lt;50),"4. Ultra Up",IF(AND(BC11&gt;BU11,CB11&gt;CC11,CC11&gt;CD11,CB11&gt;=0,CE11&gt;CJ11,CE11&gt;CF11,CE11&lt;50),"5. Hyper Up - R",IF(AND(BC11&gt;BU11,CB11&gt;CC11,CC11&gt;CD11,CB11&gt;=0,CE11&gt;CJ11,CE11=CF11,CE11&lt;50),"5. Hyper Up - F",IF(AND(BC11&gt;BU11,CB11&gt;CC11,CC11&gt;CD11,CB11&gt;=0,CE11&gt;CJ11,CE11&lt;CF11,CE11&lt;50),"5. Hyper Up - D",IF(AND(BC11&gt;BU11,CB11&gt;CC11,CC11&gt;CD11,CB11&lt;0,CE11&gt;CJ11,CE11&gt;CF11,CE11&lt;50),"6. Super Up - R",IF(AND(BC11&gt;BU11,CB11&gt;CC11,CC11&gt;CD11,CB11&lt;0,CE11&gt;CJ11,CE11=CF11,CE11&lt;50),"6. Super Up - F",IF(AND(BC11&gt;BU11,CB11&gt;CC11,CC11&gt;CD11,CB11&lt;0,CE11&gt;CJ11,CE11&lt;CF11,CE11&lt;50),"6. Super Up - D",IF(AND(BC11&gt;BU11,CB11&gt;CC11,CC11&lt;CD11,CB11&gt;=0,CE11&gt;CF11,CE11&gt;=50,CF11&gt;=50),"7. Extra Strong Up - R",IF(AND(BC11&gt;BU11,CB11&gt;CC11,CC11&lt;CD11,CB11&gt;=0,CE11=CF11,CE11&gt;=50,CF11&gt;=50),"7. Extra Strong Up - F",IF(AND(BC11&gt;BU11,CB11&gt;CC11,CC11&lt;CD11,CB11&gt;=0,CE11&lt;CF11,CE11&gt;=50,CF11&gt;=50),"7. Extra Strong Up - D",IF(AND(BC11&gt;BU11,CB11&gt;CC11,CC11&lt;CD11,CB11&gt;=0,CE11&gt;CF11,CE11&gt;=50,CF11&lt;50),"8. Strong Up",IF(AND(BC11&gt;BU11,CB11&gt;CC11,CC11&lt;CD11,CB11&lt;0,CE11&gt;CJ11,CE11&gt;CF11,CE11&gt;=50,CF11&gt;=50),"9. Up - R",IF(AND(BC11&gt;BU11,CB11&gt;CC11,CC11&lt;CD11,CB11&lt;0,CE11&gt;CJ11,CE11=CF11,CE11&gt;=50,CF11&gt;=50),"9. Up - F",IF(AND(BC11&gt;BU11,CB11&gt;CC11,CC11&lt;CD11,CB11&lt;0,CE11&gt;CJ11,CE11&lt;CF11,CE11&gt;=50,CF11&gt;=50),"9. Up - D",IF(AND(BC11&gt;BU11,CB11&gt;CC11,CC11&lt;CD11,CB11&lt;0,CE11&gt;CF11,CE11&gt;=50,CF11&gt;=50),"10. Weak Up - R",IF(AND(BC11&gt;BU11,CB11&gt;CC11,CC11&lt;CD11,CB11&lt;0,CE11=CF11,CE11&gt;=50,CF11&gt;=50),"10. Weak Up - F",IF(AND(BC11&gt;BU11,CB11&gt;CC11,CC11&lt;CD11,CB11&lt;0,CE11&lt;CF11,CE11&gt;=50,CF11&gt;=50),"10. Weak Up - D",IF(AND(BC11&gt;BU11,CB11&gt;CC11,CC11&lt;CD11,CB11&lt;0,CE11&gt;CF11,CE11&gt;=50,CF11&lt;50),"11. Extra Weak Up",IF(AND(BC11&gt;BU11,CB11&gt;CC11,CC11&gt;CD11,CE11&gt;CF11,CE11&lt;50,CF11&lt;50),"12. Very Weak Up - R",IF(AND(BC11&gt;BU11,CB11&gt;CC11,CC11&gt;CD11,CE11=CF11,CE11&lt;50,CF11&lt;50),"12. Very Weak Up - F",IF(AND(BC11&gt;BU11,CB11&gt;CC11,CC11&gt;CD11,CE11&lt;CF11,CE11&lt;50,CF11&lt;50),"12. Very Weak Up - D",IF(AND(BC11&lt;BU11,CB11&lt;CC11,CC11&lt;CD11,CB11&lt;=0,CE11&lt;CJ11,CE11&lt;CF11,CE11&lt;50,CF11&lt;50),"1. Ultimate Dn - D",IF(AND(BC11&lt;BU11,CB11&lt;CC11,CC11&lt;CD11,CB11&lt;=0,CE11&lt;CJ11,CE11=CF11,CE11&lt;50,CF11&lt;50),"1. Ultimate Dn - F",IF(AND(BC11&lt;BU11,CB11&lt;CC11,CC11&lt;CD11,CB11&lt;=0,CE11&lt;CJ11,CE11&gt;CF11,CE11&lt;50,CF11&lt;50),"1. Ultimate Up - R",IF(AND(BC11&lt;BU11,CB11&lt;CC11,CC11&lt;CD11,CB11&gt;0,CE11&lt;CJ11,CE11&lt;CF11,CE11&lt;50,CF11&lt;50),"2. Extreme Dn - D",IF(AND(BC11&lt;BU11,CB11&lt;CC11,CC11&lt;CD11,CB11&gt;0,CE11&lt;CJ11,CE11=CF11,CE11&lt;50,CF11&lt;50),"2. Extreme Dn - F",IF(AND(BC11&lt;BU11,CB11&lt;CC11,CC11&lt;CD11,CB11&gt;0,CE11&lt;CJ11,CE11&gt;CF11,CE11&lt;50,CF11&lt;50),"2. Extreme Dn - R",IF(AND(BC11&lt;BU11,CB11&lt;CC11,CC11&lt;CD11,CB11&lt;=0,CE11&lt;CJ11,CE11&lt;CF11,CE11&lt;50,CF11&gt;=50),"3. Uber Dn",IF(AND(BC11&lt;BU11,CB11&lt;CC11,CC11&lt;CD11,CB11&gt;0,CE11&lt;CJ11,CE11&lt;CF11,CE11&lt;50,CF11&gt;=50),"4. Ultra Dn",IF(AND(BC11&lt;BU11,CB11&lt;CC11,CC11&lt;CD11,CB11&lt;=0,CE11&lt;CJ11,CE11&lt;CF11,CE11&gt;=50),"5. Hyper Dn - D",IF(AND(BC11&lt;BU11,CB11&lt;CC11,CC11&lt;CD11,CB11&lt;=0,CE11&lt;CJ11,CE11=CF11,CE11&gt;=50),"5. Hyper Dn - F",IF(AND(BC11&lt;BU11,CB11&lt;CC11,CC11&lt;CD11,CB11&lt;=0,CE11&lt;CJ11,CE11&gt;CF11,CE11&gt;=50),"5. Hyper Dn - R",IF(AND(BC11&lt;BU11,CB11&lt;CC11,CC11&lt;CD11,CB11&gt;0,CE11&lt;CJ11,CE11&lt;CF11,CE11&gt;=50),"6. Super Dn - D",IF(AND(BC11&lt;BU11,CB11&lt;CC11,CC11&lt;CD11,CB11&gt;0,CE11&lt;CJ11,CE11=CF11,CE11&gt;=50),"6. Super Dn - F",IF(AND(BC11&lt;BU11,CB11&lt;CC11,CC11&lt;CD11,CB11&gt;0,CE11&lt;CJ11,CE11&gt;CF11,CE11&gt;=50),"6. Super Dn - R",IF(AND(BC11&lt;BU11,CB11&lt;CC11,CC11&gt;CD11,CB11&lt;=0,CE11&lt;CF11,CE11&lt;50,CF11&lt;50),"7. Extra Strong Dn - D",IF(AND(BC11&lt;BU11,CB11&lt;CC11,CC11&gt;CD11,CB11&lt;=0,CE11=CF11,CE11&lt;50,CF11&lt;50),"7. Extra Strong Dn - F",IF(AND(BC11&lt;BU11,CB11&lt;CC11,CC11&gt;CD11,CB11&lt;=0,CE11&gt;CF11,CE11&lt;50,CF11&lt;50),"7. Extra Strong Dn - R",IF(AND(BC11&lt;BU11,CB11&lt;CC11,CC11&gt;CD11,CB11&lt;=0,CE11&lt;CF11,CE11&lt;50,CF11&gt;=50),"8. Strong Dn",IF(AND(BC11&lt;BU11,CB11&lt;CC11,CC11&gt;CD11,CB11&gt;0,CE11&lt;CJ11,CE11&lt;CF11,CE11&lt;50,CF11&lt;50),"9. Dn - D",IF(AND(BC11&lt;BU11,CB11&lt;CC11,CC11&gt;CD11,CB11&gt;0,CE11&lt;CJ11,CE11=CF11,CE11&lt;50,CF11&lt;50),"9. Dn - F",IF(AND(BC11&lt;BU11,CB11&lt;CC11,CC11&gt;CD11,CB11&gt;0,CE11&lt;CJ11,CE11&gt;CF11,CE11&lt;50,CF11&lt;50),"9. Dn - R",IF(AND(BC11&lt;BU11,CB11&lt;CC11,CC11&gt;CD11,CB11&gt;0,CE11&lt;CF11,CE11&lt;50,CF11&lt;50),"10. Weak Dn - D",IF(AND(BC11&lt;BU11,CB11&lt;CC11,CC11&gt;CD11,CB11&gt;0,CE11=CF11,CE11&lt;50,CF11&lt;50),"10. Weak Dn - F",IF(AND(BC11&lt;BU11,CB11&lt;CC11,CC11&gt;CD11,CB11&gt;0,CE11&gt;CF11,CE11&lt;50,CF11&lt;50),"10. Weak Dn - R",IF(AND(BC11&lt;BU11,CB11&lt;CC11,CC11&gt;CD11,CB11&gt;0,CE11&lt;CF11,CE11&lt;50,CF11&gt;=50),"11. Extra Weak Dn",IF(AND(BC11&lt;BU11,CB11&lt;CC11,CC11&lt;CD11,CE11&lt;CF11,CE11&gt;=50,CF11&gt;=50),"12. Very Weak Dn - D",IF(AND(BC11&lt;BU11,CB11&lt;CC11,CC11&lt;CD11,CE11=CF11,CE11&gt;=50,CF11&gt;=50),"12. Very Weak Dn - F",IF(AND(BC11&lt;BU11,CB11&lt;CC11,CC11&lt;CD11,CE11&gt;CF11,CE11&gt;=50,CF11&gt;=50),"12. Very Weak Dn - R","No Trend"))))))))))))))))))))))))))))))))))))))))))))))))))))))))))</f>
        <v>1. Ultimate Up - R</v>
      </c>
      <c r="AG11" s="64">
        <f t="shared" ref="AG11" si="39">IF(BQ11&gt;BR11,1,0)</f>
        <v>0</v>
      </c>
      <c r="AH11" s="479">
        <f t="shared" ref="AH11" si="40">DH11</f>
        <v>0</v>
      </c>
      <c r="AI11" s="82"/>
      <c r="AJ11" s="82"/>
      <c r="AK11" s="196" t="str">
        <f>IF(AI11="","",IF(AI11&gt;0,(C11-AI11),IF(AI11&lt;0,(-AI11-C11),"Check")))</f>
        <v/>
      </c>
      <c r="AL11" s="81" t="str">
        <f t="shared" ref="AL11" si="41">IF(AI11="","",(AY11-AX11))</f>
        <v/>
      </c>
      <c r="AM11" s="65" t="str">
        <f t="shared" ref="AM11" si="42">IF(AI11&lt;&gt;"",AL11/AO11,"")</f>
        <v/>
      </c>
      <c r="AN11" s="204"/>
      <c r="AO11" s="205" t="str">
        <f t="shared" ref="AO11" si="43">IF(AI11&lt;&gt;"",(BF11*AH11),"")</f>
        <v/>
      </c>
      <c r="AP11" s="205">
        <f>(C11*AH11*BE11)</f>
        <v>0</v>
      </c>
      <c r="AQ11" s="188" t="str">
        <f>IF(AI11="","",(AP11*'Base Data'!$C$26*2))</f>
        <v/>
      </c>
      <c r="AR11" s="188" t="str">
        <f>IF(AI11="","",(AP11*'Base Data'!$D$26*2))</f>
        <v/>
      </c>
      <c r="AS11" s="188" t="str">
        <f>IF(AI11="","",((AQ11+AR11)*'Base Data'!$E$26)+(((AQ11+AR11)*'Base Data'!$E$26)*'Base Data'!$F$26)+(((AQ11+AR11)*'Base Data'!$E$26)*'Base Data'!$G$26))</f>
        <v/>
      </c>
      <c r="AT11" s="188" t="str">
        <f>IF(AI11="","",(AP11*'Base Data'!$H$27*2))</f>
        <v/>
      </c>
      <c r="AU11" s="188" t="str">
        <f>IF(AI11="","",(AP11*'Base Data'!$I$26*2))</f>
        <v/>
      </c>
      <c r="AV11" s="188" t="str">
        <f>IF(AI11="","",(AP11*'Base Data'!$J$26))</f>
        <v/>
      </c>
      <c r="AW11" s="188" t="str">
        <f>IF(AI11="","",(AP11*'Base Data'!$K$26*2))</f>
        <v/>
      </c>
      <c r="AX11" s="188" t="str">
        <f t="shared" ref="AX11" si="44">IF(AI11="","",SUM(AQ11:AW11))</f>
        <v/>
      </c>
      <c r="AY11" s="196" t="str">
        <f>IF(AI11="","",IF(AI11&gt;0,((C11-AI11)*AH11*BE11),IF(AI11&lt;0,((-AI11-C11)*AH11*BE11),"Check")))</f>
        <v/>
      </c>
      <c r="AZ11" s="189" t="str">
        <f t="shared" ref="AZ11" si="45">IF(AI11="","",IF(AI11&gt;0,1,IF(AI11&lt;0,2,0)))</f>
        <v/>
      </c>
      <c r="BA11" s="204" t="str">
        <f>CONCATENATE(B11,'Base Data'!$D$1)</f>
        <v>AsianPaint18NovFut</v>
      </c>
      <c r="BB11" s="188">
        <v>1174</v>
      </c>
      <c r="BC11" s="188">
        <v>1172.55</v>
      </c>
      <c r="BD11" s="188">
        <v>1176</v>
      </c>
      <c r="BE11" s="189">
        <f>VLOOKUP(B11,'[3]Margin - NSE Fut (5Paisa)'!$A:$K,2,FALSE)</f>
        <v>600</v>
      </c>
      <c r="BF11" s="188">
        <f>VLOOKUP(B11,'[3]Margin - NSE Fut (5Paisa)'!$A:$K,11,FALSE)</f>
        <v>127848</v>
      </c>
      <c r="BG11" s="188">
        <f>'Ashok-AsianP'!T69</f>
        <v>1169.1500000000001</v>
      </c>
      <c r="BH11" s="188">
        <f>'Ashok-AsianP'!U69</f>
        <v>1182.3499999999999</v>
      </c>
      <c r="BI11" s="188">
        <f>'Ashok-AsianP'!V69</f>
        <v>1169</v>
      </c>
      <c r="BJ11" s="188">
        <f>'Ashok-AsianP'!$T$67</f>
        <v>1159.1500000000001</v>
      </c>
      <c r="BK11" s="188">
        <f>'Ashok-AsianP'!$U$67</f>
        <v>1172.3499999999999</v>
      </c>
      <c r="BL11" s="188">
        <f>'Ashok-AsianP'!$V$67</f>
        <v>1159</v>
      </c>
      <c r="BM11" s="188">
        <f>'Ashok-AsianP'!$W$67</f>
        <v>1162.55</v>
      </c>
      <c r="BN11" s="196">
        <f>(BG11-BM11)</f>
        <v>6.6000000000001364</v>
      </c>
      <c r="BO11" s="194">
        <f>(BG11-BM11)/BM11</f>
        <v>5.677175175261397E-3</v>
      </c>
      <c r="BP11" s="206">
        <f>'Ashok-AsianP'!$AC$69</f>
        <v>0.13592105474779598</v>
      </c>
      <c r="BQ11" s="188">
        <f>'Ashok-AsianP'!$X$69</f>
        <v>3000</v>
      </c>
      <c r="BR11" s="188">
        <f>'Ashok-AsianP'!$X$73</f>
        <v>3270.0952380952381</v>
      </c>
      <c r="BS11" s="207">
        <f>'Ashok-AsianP'!$AS$69</f>
        <v>0.39377779946941716</v>
      </c>
      <c r="BT11" s="207">
        <f>'Ashok-AsianP'!$AS$73</f>
        <v>0.40011770359348509</v>
      </c>
      <c r="BU11" s="208">
        <f>'Ashok-AsianP'!$AW$69</f>
        <v>1108.3260342232738</v>
      </c>
      <c r="BV11" s="208">
        <f>'Ashok-AsianP'!$BH$69</f>
        <v>1142.3049836059197</v>
      </c>
      <c r="BW11" s="208">
        <f>'Ashok-AsianP'!$BH$67</f>
        <v>1137.4400558417628</v>
      </c>
      <c r="BX11" s="196">
        <f>'Ashok-AsianP'!$BM$69</f>
        <v>1159.2425179007987</v>
      </c>
      <c r="BY11" s="196">
        <f>'Ashok-AsianP'!$BM$67</f>
        <v>1149.5578469654897</v>
      </c>
      <c r="BZ11" s="194">
        <f>IF(BX11="","",(BC11-BX11)/BX11)</f>
        <v>1.1479463437296068E-2</v>
      </c>
      <c r="CA11" s="194">
        <f>IF(BY11="","",(BM11-BY11)/BY11)</f>
        <v>1.1301869730875987E-2</v>
      </c>
      <c r="CB11" s="209">
        <f>'Ashok-AsianP'!$CO$69</f>
        <v>2.5742273071195516</v>
      </c>
      <c r="CC11" s="209">
        <f>'Ashok-AsianP'!$CO$67</f>
        <v>0.77226193586971803</v>
      </c>
      <c r="CD11" s="209">
        <f>'Ashok-AsianP'!$CO$66</f>
        <v>-0.47039640569555807</v>
      </c>
      <c r="CE11" s="209">
        <f>'Ashok-AsianP'!$DE$69</f>
        <v>58.185333360887299</v>
      </c>
      <c r="CF11" s="209">
        <f>'Ashok-AsianP'!$DE$67</f>
        <v>51.045089527257112</v>
      </c>
      <c r="CG11" s="209">
        <f>'Ashok-AsianP'!$DE$66</f>
        <v>45.330988992304974</v>
      </c>
      <c r="CH11" s="196">
        <f>'Ashok-AsianP'!$DC$73</f>
        <v>83</v>
      </c>
      <c r="CI11" s="196">
        <f>'Ashok-AsianP'!$DF$73</f>
        <v>33</v>
      </c>
      <c r="CJ11" s="209">
        <f>'Ashok-AsianP'!$DF$69</f>
        <v>56.454643161570047</v>
      </c>
      <c r="CK11" s="209">
        <f>'Ashok-AsianP'!$DF$67</f>
        <v>56.617248149573236</v>
      </c>
      <c r="CL11" s="209">
        <f>'Ashok-AsianP'!$DF$66</f>
        <v>56.909435895083703</v>
      </c>
      <c r="CM11" s="209">
        <f>'Ashok-AsianP'!$DG$69</f>
        <v>54.682912166458003</v>
      </c>
      <c r="CN11" s="209">
        <f>'Ashok-AsianP'!$DG$67</f>
        <v>55.545673365960177</v>
      </c>
      <c r="CO11" s="189">
        <f t="shared" ref="CO11" si="46">IF(AND(BC11&gt;BU11,CG11&lt;CL11,CF11&gt;CK11,CE11&gt;CJ11,CE11&gt;CF11,CJ11&gt;CK11),"M34-1",IF(AND(BC11&lt;BU11,CG11&gt;CL11,CF11&lt;CK11,CE11&lt;CJ11,CE11&lt;CF11,CJ11&lt;CK11),"M34-2",0))</f>
        <v>0</v>
      </c>
      <c r="CP11" s="189">
        <f t="shared" ref="CP11" si="47">IF(AI11="",0,IF(AND(AJ11="M34-1",CF11&gt;CN11,CE11&lt;CM11),"Exit-Long",IF(AND(AJ11="M34-2",CF11&lt;CN11,CE11&gt;CM11),"Exit-Short","Hold")))</f>
        <v>0</v>
      </c>
      <c r="CQ11" s="208">
        <f>'Ashok-AsianP'!$BV$69</f>
        <v>1125.9313386265362</v>
      </c>
      <c r="CR11" s="208">
        <f>'Ashok-AsianP'!$BV$67</f>
        <v>1124.0925288184435</v>
      </c>
      <c r="CS11" s="208">
        <f>'Ashok-AsianP'!$BW$69</f>
        <v>1135.5280920143684</v>
      </c>
      <c r="CT11" s="208">
        <f>'Ashok-AsianP'!$BW$67</f>
        <v>1132.9402425845349</v>
      </c>
      <c r="CU11" s="208"/>
      <c r="CV11" s="208"/>
      <c r="CW11" s="208">
        <f>'Ashok-AsianP'!$BT$69</f>
        <v>1133.9714244266372</v>
      </c>
      <c r="CX11" s="208">
        <f>'Ashok-AsianP'!$BT$67</f>
        <v>1131.7768791058782</v>
      </c>
      <c r="CY11" s="208">
        <f>'Ashok-AsianP'!$BU$69</f>
        <v>1161.0819148936171</v>
      </c>
      <c r="CZ11" s="208">
        <f>'Ashok-AsianP'!$BU$67</f>
        <v>1154.9597408207342</v>
      </c>
      <c r="DA11" s="208"/>
      <c r="DB11" s="208"/>
      <c r="DC11" s="189">
        <f t="shared" ref="DC11" si="48">IF(AND(BC11&gt;BU11,BM11&lt;CR11,BC11&gt;CQ11,BC11&gt;BM11),"P34-1",IF(AND(BC11&lt;BU11,BM11&gt;CR11,BC11&lt;CQ11,BC11&lt;BM11),"P34-2",IF(AND(BC11&gt;BU11,BM11&lt;CX11,BC11&gt;CW11,BC11&gt;BM11),"P13-1",IF(AND(BC11&lt;BU11,BM11&gt;CX11,BC11&lt;CW11,BC11&lt;BM11),"P13-2",0))))</f>
        <v>0</v>
      </c>
      <c r="DD11" s="189">
        <f t="shared" ref="DD11" si="49">IF(AI11="",0,IF(OR(AND(AJ11="P34-1",BM11&gt;CT11,BC11&lt;CS11),AND(AJ11="P13-1",BM11&gt;CZ11,BC11&lt;CY11)),"Exit-Long",IF(OR(AND(AJ11="P34-2",BM11&lt;CV11,BC11&gt;CU11),AND(AJ11="P13-2",BM11&lt;DB11,BC11&gt;DA11)),"Exit-Short","Hold")))</f>
        <v>0</v>
      </c>
      <c r="DE11" s="189">
        <f t="shared" ref="DE11" si="50">IF(AND(BC11&gt;BU11,CG11&lt;CL11,CF11&gt;CK11,CE11&gt;CJ11,CE11&gt;CF11,CJ11&gt;CK11),"M34-1",IF(AND(BC11&lt;BU11,CG11&gt;CL11,CF11&lt;CK11,CE11&lt;CJ11,CE11&lt;CF11,CJ11&lt;CK11),"M34-2",IF(AND(BC11&gt;BU11,BM11&lt;CR11,BC11&gt;CQ11,BC11&gt;BM11),"P34-1",IF(AND(BC11&lt;BU11,BM11&gt;CR11,BC11&lt;CQ11,BC11&lt;BM11),"P34-2",IF(AND(BC11&gt;BU11,BM11&lt;CX11,BC11&gt;CW11,BC11&gt;BM11),"P13-1",IF(AND(BC11&lt;BU11,BM11&gt;CX11,BC11&lt;CW11,BC11&lt;BM11),"P13-2",0))))))</f>
        <v>0</v>
      </c>
      <c r="DF11" s="189">
        <f t="shared" ref="DF11" si="51">IF(AI11="",0,IF(OR(AND(AJ11="M34-1",CF11&gt;CK11,CE11&lt;CJ11),AND(AJ11="P34-1",BM11&gt;CT11,BC11&lt;CS11),AND(AJ11="P13-1",BM11&gt;CZ11,BC11&lt;CY11)),"Exit-Long",IF(OR(AND(AJ11="M34-2",CF11&lt;CK11,CE11&gt;CJ11),AND(AJ11="P34-2",BM11&lt;CV11,BC11&gt;CU11),AND(AJ11="P13-2",BM11&lt;DB11,BC11&gt;DA11)),"Exit-Short","Hold")))</f>
        <v>0</v>
      </c>
      <c r="DG11" s="188">
        <f>'Ashok-AsianP'!$DU$69</f>
        <v>26.20358369593496</v>
      </c>
      <c r="DH11" s="212">
        <f>'Ashok-AsianP'!$DX$69</f>
        <v>0</v>
      </c>
      <c r="DI11" s="196" t="str">
        <f>IF(AI11="","-",'Base Data'!$D$10*DG11)</f>
        <v>-</v>
      </c>
      <c r="DJ11" s="196" t="str">
        <f>IF(DK11="-","-",IF(AI11&gt;0,(DK11-AI11),IF(AI11&lt;0,(DK11+AI11),"Check")))</f>
        <v>-</v>
      </c>
      <c r="DK11" s="196" t="str">
        <f>IF(AI11="","-",IF(AI11&gt;0,(AI11-DI11),IF(AI11&lt;0,(-AI11+DI11),"Check")))</f>
        <v>-</v>
      </c>
      <c r="DL11" s="196" t="str">
        <f>IF(AI11="","-",IF(AI11&gt;0,(AI11+(1*'Base Data'!$D$12*DG11)),IF(AI11&lt;0,(-AI11-(1*'Base Data'!$D$12*DG11)),"Check")))</f>
        <v>-</v>
      </c>
      <c r="DM11" s="196" t="str">
        <f>IF(AI11="","-",IF(AI11&gt;0,(AI11+(2*'Base Data'!$D$12*DG11)),IF(AI11&lt;0,(-AI11-(2*'Base Data'!$D$12*DG11)),"Check")))</f>
        <v>-</v>
      </c>
      <c r="DN11" s="196" t="str">
        <f>IF(AI11="","-",IF(AI11&gt;0,(AI11+(3*'Base Data'!$D$12*DG11)),IF(AI11&lt;0,(-AI11-(3*'Base Data'!$D$12*DG11)),"Check")))</f>
        <v>-</v>
      </c>
      <c r="DO11" s="196" t="str">
        <f>IF(AI11="","-",IF(AI11&gt;0,(AI11+(4*'Base Data'!$D$12*DG11)),IF(AI11&lt;0,(-AI11-(4*'Base Data'!$D$12*DG11)),"Check")))</f>
        <v>-</v>
      </c>
      <c r="DP11" s="196" t="str">
        <f>IF(AI11="","-",IF(AI11&gt;0,(AI11+DI11),IF(AI11&lt;0,(-AI11-DI11),"Check")))</f>
        <v>-</v>
      </c>
      <c r="DQ11" s="196" t="str">
        <f>IF(DP11="-","-",IF(AI11&gt;0,(DP11-AI11),IF(AI11&lt;0,(DP11+AI11),"Check")))</f>
        <v>-</v>
      </c>
      <c r="DR11" s="188">
        <f>'Ashok-AsianP'!$EM$69</f>
        <v>23.07677554056021</v>
      </c>
      <c r="DS11" s="212">
        <f>'Ashok-AsianP'!$EP$69</f>
        <v>1</v>
      </c>
      <c r="DT11" s="196" t="str">
        <f>IF(AI11="","-",'Base Data'!$D$13*DR11)</f>
        <v>-</v>
      </c>
      <c r="DU11" s="196" t="str">
        <f>IF(DV11="-","-",IF(AI11&gt;0,(DV11-AI11),IF(AI11&lt;0,(DV11+AI11),"Check")))</f>
        <v>-</v>
      </c>
      <c r="DV11" s="196" t="str">
        <f>IF(AI11="","-",IF(AI11&gt;0,(AI11-DT11),IF(AI11&lt;0,(-AI11+DT11),"Check")))</f>
        <v>-</v>
      </c>
      <c r="DW11" s="196" t="str">
        <f>IF(AI11="","-",IF(AI11&gt;0,(AI11+DT11),IF(AI11&lt;0,(-AI11-DT11),"Check")))</f>
        <v>-</v>
      </c>
      <c r="DX11" s="196" t="str">
        <f>IF(DW11="-","-",IF(AI11&gt;0,(DW11-AI11),IF(AI11&lt;0,(DW11+AI11),"Check")))</f>
        <v>-</v>
      </c>
      <c r="DY11" s="204"/>
      <c r="DZ11" s="204"/>
      <c r="EA11" s="204"/>
      <c r="EB11" s="204"/>
      <c r="EC11" s="204"/>
      <c r="ED11" s="204"/>
      <c r="EE11" s="196" t="str">
        <f>IF(AI11="","",IF(AL11&gt;0,AL11,0))</f>
        <v/>
      </c>
      <c r="EF11" s="196" t="str">
        <f>IF(AI11="","",IF(AL11&lt;=0,AL11,0))</f>
        <v/>
      </c>
      <c r="EG11" s="188" t="str">
        <f>IF(AI11="","",IF(AI11&gt;0,(BF11*AH11),0))</f>
        <v/>
      </c>
      <c r="EH11" s="188" t="str">
        <f>IF(AI11="","",IF(AI11&lt;=0,(BF11*AH11),0))</f>
        <v/>
      </c>
      <c r="EI11" s="188" t="str">
        <f>IF(AI11="","",IF(AI11&gt;0,(BF11*S11),0))</f>
        <v/>
      </c>
      <c r="EJ11" s="188" t="str">
        <f>IF(AI11="","",IF(AI11&lt;=0,(BF11*S11),0))</f>
        <v/>
      </c>
      <c r="EK11" s="210" t="str">
        <f>IF(AI11="","",IF(AL11&gt;0,1,0))</f>
        <v/>
      </c>
      <c r="EL11" s="210" t="str">
        <f>IF(AI11="","",IF(AL11&lt;=0,1,0))</f>
        <v/>
      </c>
      <c r="EM11" s="64" t="str">
        <f>IF(AND(EN11=1,OR(AND(ER11&gt;=0.5%,ER11&lt;=1.5%),AND(ER11&lt;=-0.5%,ER11&gt;=-1.5%)),ES11&gt;=0.5%),CONCATENATE("Long ",B11),IF(AND(EN11=2,OR(AND(ER11&gt;=0.5%,ER11&lt;=1.5%),AND(ER11&lt;=-0.5%,ER11&gt;=-1.5%)),ES11&gt;=0.5%),CONCATENATE("Short ",B11),"Do Not Trade"))</f>
        <v>Do Not Trade</v>
      </c>
      <c r="EN11" s="64">
        <f>IF(OR(EO11="",EP11=""),"",IF(BC11&gt;=(EO11+'Base Data'!$D$14),1,IF(BC11&lt;=(EP11-'Base Data'!$D$14),2,0)))</f>
        <v>0</v>
      </c>
      <c r="EO11" s="215">
        <f>BH11</f>
        <v>1182.3499999999999</v>
      </c>
      <c r="EP11" s="215">
        <f>BI11</f>
        <v>1169</v>
      </c>
      <c r="EQ11" s="64" t="str">
        <f>IF(AI11="","",IF(AI11&gt;0,IF(BC11&lt;EP11,"Exit Long &amp; Go Short",IF(BC11&gt;(AI11+(EO11-EP11)),"Exit - TP","Hold")),IF(AI11&lt;0,IF(BC11&gt;EO11,"Exit Short &amp; Go Long",IF(BC11&lt;(-AI11-(EO11-EP11)),"Exit - TP","Hold")))))</f>
        <v/>
      </c>
      <c r="ER11" s="194">
        <f>(BC11-BM11)/BM11</f>
        <v>8.6017805685776952E-3</v>
      </c>
      <c r="ES11" s="194">
        <f>IF(OR(EO11&lt;&gt;"",EP11&lt;&gt;""),(EO11-EP11)/BG11,(BH11-BI11)/BG11)</f>
        <v>1.1418551939443107E-2</v>
      </c>
      <c r="ET11" s="195">
        <f t="shared" ref="ET11" si="52">IF(AND(EU11="",EV11="",EW11="",EX11=""),"",IF(AND(EU11&lt;(80%*EX11),EV11&lt;(80%*EX11),EW11&lt;(80%*EX11)),0,IF(AND(EU11&gt;=(80%*EX11),EV11&lt;(80%*EX11),EW11&lt;(80%*EX11)),5,IF(AND(EU11&lt;(80%*EX11),EV11&gt;=(80%*EX11),EW11&lt;(80%*EX11)),10,IF(AND(EU11&lt;(80%*EX11),EV11&lt;(80%*EX11),EW11&gt;=(80%*EX11)),15,IF(AND(EU11&gt;=(80%*EX11),EV11&gt;=(80%*EX11),EW11&lt;(80%*EX11)),20,IF(AND(EU11&gt;=(80%*EX11),EV11&lt;(80%*EX11),EW11&gt;=(80%*EX11)),25,IF(AND(EU11&lt;(80%*EX11),EV11&gt;=(80%*EX11),EW11&gt;=(80%*EX11)),30,IF(AND(EU11&gt;=(80%*EX11),EV11&gt;=(80%*EX11),EW11&gt;=(80%*EX11)),35,"Check")))))))))</f>
        <v>35</v>
      </c>
      <c r="EU11" s="194">
        <f>'Ashok-AsianP'!$FC$69</f>
        <v>1.8124864221486917E-2</v>
      </c>
      <c r="EV11" s="194">
        <f>'Ashok-AsianP'!$FD$69</f>
        <v>1.9959042205363733E-2</v>
      </c>
      <c r="EW11" s="194">
        <f>'Ashok-AsianP'!$FE$69</f>
        <v>2.1117018782275999E-2</v>
      </c>
      <c r="EX11" s="194">
        <f>'Ashok-AsianP'!$FB$73</f>
        <v>1.8602490545224802E-2</v>
      </c>
      <c r="EY11" s="210">
        <f t="shared" ref="EY11" si="53">IF(OR(AND(EN11=1,OR(AND(ER11&gt;=0.5%,ER11&lt;=1.5%),AND(ER11&lt;=-0.5%,ER11&gt;=-1.5%)),ES11&gt;=0.5%),AND(EN11=2,OR(AND(ER11&gt;=0.5%,ER11&lt;=1.5%),AND(ER11&lt;=-0.5%,ER11&gt;=-1.5%)),ES11&gt;=0.5%)),1,0)</f>
        <v>0</v>
      </c>
      <c r="EZ11" s="210">
        <f t="shared" ref="EZ11" si="54">IF(OR(EQ11="Exit Long &amp; Go Short",EQ11="Exit Short &amp; Go Long"),1,0)</f>
        <v>0</v>
      </c>
    </row>
    <row r="12" spans="1:156" ht="2.95" customHeight="1" x14ac:dyDescent="0.3">
      <c r="A12" s="64"/>
      <c r="B12" s="160"/>
      <c r="C12" s="63"/>
      <c r="D12" s="63"/>
      <c r="E12" s="63"/>
      <c r="F12" s="64"/>
      <c r="G12" s="64"/>
      <c r="H12" s="64"/>
      <c r="I12" s="64"/>
      <c r="J12" s="62"/>
      <c r="K12" s="62"/>
      <c r="L12" s="62"/>
      <c r="M12" s="64"/>
      <c r="N12" s="62"/>
      <c r="O12" s="64"/>
      <c r="P12" s="64"/>
      <c r="Q12" s="64"/>
      <c r="R12" s="62"/>
      <c r="S12" s="64"/>
      <c r="T12" s="64"/>
      <c r="U12" s="64"/>
      <c r="V12" s="495"/>
      <c r="W12" s="495"/>
      <c r="X12" s="64"/>
      <c r="Y12" s="62"/>
      <c r="Z12" s="62"/>
      <c r="AA12" s="62"/>
      <c r="AB12" s="64"/>
      <c r="AC12" s="64"/>
      <c r="AD12" s="64"/>
      <c r="AE12" s="65"/>
      <c r="AF12" s="65"/>
      <c r="AG12" s="62"/>
      <c r="AH12" s="64"/>
      <c r="AI12" s="85"/>
      <c r="AJ12" s="85"/>
      <c r="AK12" s="85"/>
      <c r="AL12" s="81"/>
      <c r="AM12" s="65"/>
      <c r="AN12" s="62"/>
      <c r="AO12" s="66"/>
      <c r="AP12" s="66"/>
      <c r="AQ12" s="63"/>
      <c r="AR12" s="63"/>
      <c r="AS12" s="63"/>
      <c r="AT12" s="63"/>
      <c r="AU12" s="63"/>
      <c r="AV12" s="63"/>
      <c r="AW12" s="63"/>
      <c r="AX12" s="63"/>
      <c r="AY12" s="81"/>
      <c r="AZ12" s="62"/>
      <c r="BA12" s="62"/>
      <c r="BB12" s="63"/>
      <c r="BC12" s="63"/>
      <c r="BD12" s="63"/>
      <c r="BE12" s="64"/>
      <c r="BF12" s="63"/>
      <c r="BG12" s="63"/>
      <c r="BH12" s="63"/>
      <c r="BI12" s="63"/>
      <c r="BJ12" s="63"/>
      <c r="BK12" s="63"/>
      <c r="BL12" s="63"/>
      <c r="BM12" s="63"/>
      <c r="BN12" s="62"/>
      <c r="BO12" s="62"/>
      <c r="BP12" s="62"/>
      <c r="BQ12" s="62"/>
      <c r="BR12" s="62"/>
      <c r="BS12" s="62"/>
      <c r="BT12" s="62"/>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2"/>
      <c r="DD12" s="62"/>
      <c r="DE12" s="62"/>
      <c r="DF12" s="62"/>
      <c r="DG12" s="62"/>
      <c r="DH12" s="62"/>
      <c r="DI12" s="62"/>
      <c r="DJ12" s="62"/>
      <c r="DK12" s="62"/>
      <c r="DL12" s="62"/>
      <c r="DM12" s="62"/>
      <c r="DN12" s="62"/>
      <c r="DO12" s="62"/>
      <c r="DP12" s="62"/>
      <c r="DQ12" s="62"/>
      <c r="DR12" s="62"/>
      <c r="DS12" s="62"/>
      <c r="DT12" s="62"/>
      <c r="DU12" s="62"/>
      <c r="DV12" s="62"/>
      <c r="DW12" s="62"/>
      <c r="DX12" s="62"/>
      <c r="DY12" s="62"/>
      <c r="DZ12" s="62"/>
      <c r="EA12" s="62"/>
      <c r="EB12" s="62"/>
      <c r="EC12" s="62"/>
      <c r="ED12" s="62"/>
      <c r="EE12" s="81"/>
      <c r="EF12" s="81"/>
      <c r="EG12" s="63"/>
      <c r="EH12" s="63"/>
      <c r="EI12" s="63"/>
      <c r="EJ12" s="63"/>
      <c r="EK12" s="169"/>
      <c r="EL12" s="169"/>
      <c r="EM12" s="64"/>
      <c r="EN12" s="64"/>
      <c r="EO12" s="161"/>
      <c r="EP12" s="161"/>
      <c r="EQ12" s="64"/>
      <c r="ER12" s="65"/>
      <c r="ES12" s="65"/>
      <c r="ET12" s="65"/>
      <c r="EU12" s="65"/>
      <c r="EV12" s="65"/>
      <c r="EW12" s="65"/>
      <c r="EX12" s="65"/>
      <c r="EY12" s="169"/>
      <c r="EZ12" s="169"/>
    </row>
    <row r="13" spans="1:156" x14ac:dyDescent="0.3">
      <c r="S13" s="2"/>
      <c r="AE13" s="2"/>
      <c r="AF13" s="2"/>
      <c r="AH13" s="2"/>
      <c r="AI13" s="2"/>
      <c r="AJ13" s="2"/>
      <c r="AK13" s="2"/>
      <c r="CH13" s="2"/>
      <c r="CI13" s="2"/>
    </row>
    <row r="14" spans="1:156" x14ac:dyDescent="0.3">
      <c r="S14" s="2"/>
      <c r="AE14" s="2"/>
      <c r="AF14" s="2"/>
      <c r="AH14" s="2"/>
      <c r="AI14" s="2"/>
      <c r="AJ14" s="2"/>
      <c r="AK14" s="2"/>
      <c r="CH14" s="2"/>
      <c r="CI14" s="2"/>
    </row>
  </sheetData>
  <mergeCells count="163">
    <mergeCell ref="EF2:EF3"/>
    <mergeCell ref="DY2:DY3"/>
    <mergeCell ref="DZ2:DZ3"/>
    <mergeCell ref="DN2:DN3"/>
    <mergeCell ref="DX2:DX3"/>
    <mergeCell ref="EQ2:EQ3"/>
    <mergeCell ref="EU2:EU3"/>
    <mergeCell ref="U2:U3"/>
    <mergeCell ref="AX2:AX3"/>
    <mergeCell ref="AE2:AE3"/>
    <mergeCell ref="AV2:AV3"/>
    <mergeCell ref="AW2:AW3"/>
    <mergeCell ref="BN2:BN3"/>
    <mergeCell ref="AY2:AY3"/>
    <mergeCell ref="AZ2:AZ3"/>
    <mergeCell ref="BA2:BA3"/>
    <mergeCell ref="AM2:AM3"/>
    <mergeCell ref="BK2:BK3"/>
    <mergeCell ref="BL2:BL3"/>
    <mergeCell ref="BB2:BB3"/>
    <mergeCell ref="BC2:BC3"/>
    <mergeCell ref="DT2:DT3"/>
    <mergeCell ref="DV2:DV3"/>
    <mergeCell ref="DW2:DW3"/>
    <mergeCell ref="CJ1:CP1"/>
    <mergeCell ref="CQ1:DF1"/>
    <mergeCell ref="EG2:EG3"/>
    <mergeCell ref="EH2:EH3"/>
    <mergeCell ref="EK2:EK3"/>
    <mergeCell ref="EL2:EL3"/>
    <mergeCell ref="CE2:CE3"/>
    <mergeCell ref="CF2:CF3"/>
    <mergeCell ref="CJ2:CJ3"/>
    <mergeCell ref="CK2:CK3"/>
    <mergeCell ref="CM2:CM3"/>
    <mergeCell ref="CN2:CN3"/>
    <mergeCell ref="DH2:DH3"/>
    <mergeCell ref="CT2:CT3"/>
    <mergeCell ref="DO2:DO3"/>
    <mergeCell ref="EJ2:EJ3"/>
    <mergeCell ref="DC2:DC3"/>
    <mergeCell ref="DD2:DD3"/>
    <mergeCell ref="CZ2:CZ3"/>
    <mergeCell ref="CY2:CY3"/>
    <mergeCell ref="CW2:CW3"/>
    <mergeCell ref="CQ2:CQ3"/>
    <mergeCell ref="CR2:CR3"/>
    <mergeCell ref="CS2:CS3"/>
    <mergeCell ref="EZ2:EZ3"/>
    <mergeCell ref="EA2:EA3"/>
    <mergeCell ref="DR2:DR3"/>
    <mergeCell ref="ER2:ER3"/>
    <mergeCell ref="DQ2:DQ3"/>
    <mergeCell ref="DE2:DE3"/>
    <mergeCell ref="DG2:DG3"/>
    <mergeCell ref="DL2:DL3"/>
    <mergeCell ref="DM2:DM3"/>
    <mergeCell ref="EO2:EO3"/>
    <mergeCell ref="EY2:EY3"/>
    <mergeCell ref="EW2:EW3"/>
    <mergeCell ref="EX2:EX3"/>
    <mergeCell ref="EV2:EV3"/>
    <mergeCell ref="DK2:DK3"/>
    <mergeCell ref="EI2:EI3"/>
    <mergeCell ref="ES2:ES3"/>
    <mergeCell ref="ET2:ET3"/>
    <mergeCell ref="EM2:EM3"/>
    <mergeCell ref="EN2:EN3"/>
    <mergeCell ref="EB2:EB3"/>
    <mergeCell ref="EC2:EC3"/>
    <mergeCell ref="ED2:ED3"/>
    <mergeCell ref="EE2:EE3"/>
    <mergeCell ref="J2:J3"/>
    <mergeCell ref="K2:K3"/>
    <mergeCell ref="AG2:AG3"/>
    <mergeCell ref="AH2:AH3"/>
    <mergeCell ref="AP2:AP3"/>
    <mergeCell ref="AQ2:AQ3"/>
    <mergeCell ref="AB2:AB3"/>
    <mergeCell ref="T2:T3"/>
    <mergeCell ref="AC2:AC3"/>
    <mergeCell ref="V2:V3"/>
    <mergeCell ref="AD2:AD3"/>
    <mergeCell ref="W2:W3"/>
    <mergeCell ref="L2:L3"/>
    <mergeCell ref="M2:M3"/>
    <mergeCell ref="N2:N3"/>
    <mergeCell ref="P2:P3"/>
    <mergeCell ref="Q2:Q3"/>
    <mergeCell ref="O2:O3"/>
    <mergeCell ref="R2:R3"/>
    <mergeCell ref="H2:H3"/>
    <mergeCell ref="AR2:AR3"/>
    <mergeCell ref="AJ2:AJ3"/>
    <mergeCell ref="BQ2:BQ3"/>
    <mergeCell ref="BR2:BR3"/>
    <mergeCell ref="AF2:AF3"/>
    <mergeCell ref="AL2:AL3"/>
    <mergeCell ref="A2:A3"/>
    <mergeCell ref="B2:B3"/>
    <mergeCell ref="C2:C3"/>
    <mergeCell ref="D2:D3"/>
    <mergeCell ref="X2:X3"/>
    <mergeCell ref="Y2:Y3"/>
    <mergeCell ref="BD2:BD3"/>
    <mergeCell ref="BE2:BE3"/>
    <mergeCell ref="BF2:BF3"/>
    <mergeCell ref="BG2:BG3"/>
    <mergeCell ref="BH2:BH3"/>
    <mergeCell ref="BI2:BI3"/>
    <mergeCell ref="F2:F3"/>
    <mergeCell ref="G2:G3"/>
    <mergeCell ref="AU2:AU3"/>
    <mergeCell ref="S2:S3"/>
    <mergeCell ref="E2:E3"/>
    <mergeCell ref="DU2:DU3"/>
    <mergeCell ref="DP2:DP3"/>
    <mergeCell ref="Z2:Z3"/>
    <mergeCell ref="AA2:AA3"/>
    <mergeCell ref="BT2:BT3"/>
    <mergeCell ref="BV2:BV3"/>
    <mergeCell ref="BW2:BW3"/>
    <mergeCell ref="CC2:CC3"/>
    <mergeCell ref="BU2:BU3"/>
    <mergeCell ref="BM2:BM3"/>
    <mergeCell ref="BJ2:BJ3"/>
    <mergeCell ref="CL2:CL3"/>
    <mergeCell ref="BY2:BY3"/>
    <mergeCell ref="BS2:BS3"/>
    <mergeCell ref="CG2:CG3"/>
    <mergeCell ref="CH2:CH3"/>
    <mergeCell ref="CI2:CI3"/>
    <mergeCell ref="CB2:CB3"/>
    <mergeCell ref="CD2:CD3"/>
    <mergeCell ref="BO2:BO3"/>
    <mergeCell ref="BX2:BX3"/>
    <mergeCell ref="AN2:AN3"/>
    <mergeCell ref="AO2:AO3"/>
    <mergeCell ref="CX2:CX3"/>
    <mergeCell ref="CU2:CU3"/>
    <mergeCell ref="CV2:CV3"/>
    <mergeCell ref="DA2:DA3"/>
    <mergeCell ref="DB2:DB3"/>
    <mergeCell ref="EM1:EN1"/>
    <mergeCell ref="EO1:EZ1"/>
    <mergeCell ref="I2:I3"/>
    <mergeCell ref="AS2:AS3"/>
    <mergeCell ref="AT2:AT3"/>
    <mergeCell ref="DI2:DI3"/>
    <mergeCell ref="DF2:DF3"/>
    <mergeCell ref="DR1:DX1"/>
    <mergeCell ref="BN1:BO1"/>
    <mergeCell ref="DG1:DQ1"/>
    <mergeCell ref="DJ2:DJ3"/>
    <mergeCell ref="BP2:BP3"/>
    <mergeCell ref="DS2:DS3"/>
    <mergeCell ref="BZ2:BZ3"/>
    <mergeCell ref="CA2:CA3"/>
    <mergeCell ref="CO2:CO3"/>
    <mergeCell ref="CP2:CP3"/>
    <mergeCell ref="EP2:EP3"/>
    <mergeCell ref="AI2:AI3"/>
    <mergeCell ref="AK2:AK3"/>
  </mergeCells>
  <conditionalFormatting sqref="B1">
    <cfRule type="expression" dxfId="173" priority="3722">
      <formula>C1&gt;0</formula>
    </cfRule>
    <cfRule type="expression" dxfId="172" priority="3721">
      <formula>C1&lt;=0</formula>
    </cfRule>
  </conditionalFormatting>
  <conditionalFormatting sqref="C1">
    <cfRule type="cellIs" dxfId="171" priority="3725" operator="greaterThan">
      <formula>0%</formula>
    </cfRule>
    <cfRule type="cellIs" dxfId="170" priority="3724" operator="lessThanOrEqual">
      <formula>0%</formula>
    </cfRule>
    <cfRule type="containsBlanks" priority="3723" stopIfTrue="1">
      <formula>LEN(TRIM(C1))=0</formula>
    </cfRule>
  </conditionalFormatting>
  <conditionalFormatting sqref="F5:I5 F7:I7">
    <cfRule type="containsText" dxfId="169" priority="176" operator="containsText" text="Long">
      <formula>NOT(ISERROR(SEARCH("Long",F5)))</formula>
    </cfRule>
    <cfRule type="containsText" dxfId="168" priority="177" operator="containsText" text="Short">
      <formula>NOT(ISERROR(SEARCH("Short",F5)))</formula>
    </cfRule>
    <cfRule type="containsText" dxfId="167" priority="175" stopIfTrue="1" operator="containsText" text="Do Not Trade">
      <formula>NOT(ISERROR(SEARCH("Do Not Trade",F5)))</formula>
    </cfRule>
  </conditionalFormatting>
  <conditionalFormatting sqref="F9:I9 F11:I11">
    <cfRule type="containsText" dxfId="166" priority="117" operator="containsText" text="Short">
      <formula>NOT(ISERROR(SEARCH("Short",F9)))</formula>
    </cfRule>
    <cfRule type="containsText" dxfId="165" priority="115" stopIfTrue="1" operator="containsText" text="Do Not Trade">
      <formula>NOT(ISERROR(SEARCH("Do Not Trade",F9)))</formula>
    </cfRule>
    <cfRule type="containsText" dxfId="164" priority="116" operator="containsText" text="Long">
      <formula>NOT(ISERROR(SEARCH("Long",F9)))</formula>
    </cfRule>
  </conditionalFormatting>
  <conditionalFormatting sqref="L5">
    <cfRule type="containsText" dxfId="163" priority="3682" operator="containsText" text="Long">
      <formula>NOT(ISERROR(SEARCH("Long",L5)))</formula>
    </cfRule>
    <cfRule type="containsText" priority="3663" operator="containsText" text="&quot;-&quot;">
      <formula>NOT(ISERROR(SEARCH("""-""",L5)))</formula>
    </cfRule>
    <cfRule type="containsText" dxfId="162" priority="3683" operator="containsText" text="Short">
      <formula>NOT(ISERROR(SEARCH("Short",L5)))</formula>
    </cfRule>
  </conditionalFormatting>
  <conditionalFormatting sqref="L7">
    <cfRule type="containsText" priority="3596" operator="containsText" text="&quot;-&quot;">
      <formula>NOT(ISERROR(SEARCH("""-""",L7)))</formula>
    </cfRule>
    <cfRule type="containsText" dxfId="161" priority="3597" operator="containsText" text="Long">
      <formula>NOT(ISERROR(SEARCH("Long",L7)))</formula>
    </cfRule>
    <cfRule type="containsText" dxfId="160" priority="3598" operator="containsText" text="Short">
      <formula>NOT(ISERROR(SEARCH("Short",L7)))</formula>
    </cfRule>
  </conditionalFormatting>
  <conditionalFormatting sqref="L9">
    <cfRule type="containsText" priority="142" operator="containsText" text="&quot;-&quot;">
      <formula>NOT(ISERROR(SEARCH("""-""",L9)))</formula>
    </cfRule>
    <cfRule type="containsText" dxfId="159" priority="152" operator="containsText" text="Long">
      <formula>NOT(ISERROR(SEARCH("Long",L9)))</formula>
    </cfRule>
    <cfRule type="containsText" dxfId="158" priority="153" operator="containsText" text="Short">
      <formula>NOT(ISERROR(SEARCH("Short",L9)))</formula>
    </cfRule>
  </conditionalFormatting>
  <conditionalFormatting sqref="L11">
    <cfRule type="containsText" priority="139" operator="containsText" text="&quot;-&quot;">
      <formula>NOT(ISERROR(SEARCH("""-""",L11)))</formula>
    </cfRule>
    <cfRule type="containsText" dxfId="157" priority="140" operator="containsText" text="Long">
      <formula>NOT(ISERROR(SEARCH("Long",L11)))</formula>
    </cfRule>
    <cfRule type="containsText" dxfId="156" priority="141" operator="containsText" text="Short">
      <formula>NOT(ISERROR(SEARCH("Short",L11)))</formula>
    </cfRule>
  </conditionalFormatting>
  <conditionalFormatting sqref="M5">
    <cfRule type="containsText" dxfId="155" priority="3739" operator="containsText" text="2">
      <formula>NOT(ISERROR(SEARCH("2",M5)))</formula>
    </cfRule>
    <cfRule type="containsText" priority="3737" stopIfTrue="1" operator="containsText" text="0">
      <formula>NOT(ISERROR(SEARCH("0",M5)))</formula>
    </cfRule>
    <cfRule type="containsText" dxfId="154" priority="3738" operator="containsText" text="1">
      <formula>NOT(ISERROR(SEARCH("1",M5)))</formula>
    </cfRule>
  </conditionalFormatting>
  <conditionalFormatting sqref="M7">
    <cfRule type="containsText" dxfId="153" priority="3666" operator="containsText" text="2">
      <formula>NOT(ISERROR(SEARCH("2",M7)))</formula>
    </cfRule>
    <cfRule type="containsText" priority="3664" stopIfTrue="1" operator="containsText" text="0">
      <formula>NOT(ISERROR(SEARCH("0",M7)))</formula>
    </cfRule>
    <cfRule type="containsText" dxfId="152" priority="3665" operator="containsText" text="1">
      <formula>NOT(ISERROR(SEARCH("1",M7)))</formula>
    </cfRule>
  </conditionalFormatting>
  <conditionalFormatting sqref="M9">
    <cfRule type="containsText" priority="154" stopIfTrue="1" operator="containsText" text="0">
      <formula>NOT(ISERROR(SEARCH("0",M9)))</formula>
    </cfRule>
    <cfRule type="containsText" dxfId="151" priority="155" operator="containsText" text="1">
      <formula>NOT(ISERROR(SEARCH("1",M9)))</formula>
    </cfRule>
    <cfRule type="containsText" dxfId="150" priority="156" operator="containsText" text="2">
      <formula>NOT(ISERROR(SEARCH("2",M9)))</formula>
    </cfRule>
  </conditionalFormatting>
  <conditionalFormatting sqref="M11">
    <cfRule type="containsText" priority="143" stopIfTrue="1" operator="containsText" text="0">
      <formula>NOT(ISERROR(SEARCH("0",M11)))</formula>
    </cfRule>
    <cfRule type="containsText" dxfId="149" priority="144" operator="containsText" text="1">
      <formula>NOT(ISERROR(SEARCH("1",M11)))</formula>
    </cfRule>
    <cfRule type="containsText" dxfId="148" priority="145" operator="containsText" text="2">
      <formula>NOT(ISERROR(SEARCH("2",M11)))</formula>
    </cfRule>
  </conditionalFormatting>
  <conditionalFormatting sqref="N5">
    <cfRule type="containsText" dxfId="147" priority="3679" operator="containsText" text="Dn-BO">
      <formula>NOT(ISERROR(SEARCH("Dn-BO",N5)))</formula>
    </cfRule>
    <cfRule type="containsText" dxfId="146" priority="3678" operator="containsText" text="Up-BO">
      <formula>NOT(ISERROR(SEARCH("Up-BO",N5)))</formula>
    </cfRule>
  </conditionalFormatting>
  <conditionalFormatting sqref="N7">
    <cfRule type="containsText" dxfId="145" priority="3668" operator="containsText" text="Up-BO">
      <formula>NOT(ISERROR(SEARCH("Up-BO",N7)))</formula>
    </cfRule>
    <cfRule type="containsText" dxfId="144" priority="3669" operator="containsText" text="Dn-BO">
      <formula>NOT(ISERROR(SEARCH("Dn-BO",N7)))</formula>
    </cfRule>
  </conditionalFormatting>
  <conditionalFormatting sqref="N9">
    <cfRule type="containsText" dxfId="143" priority="150" operator="containsText" text="Up-BO">
      <formula>NOT(ISERROR(SEARCH("Up-BO",N9)))</formula>
    </cfRule>
    <cfRule type="containsText" dxfId="142" priority="151" operator="containsText" text="Dn-BO">
      <formula>NOT(ISERROR(SEARCH("Dn-BO",N9)))</formula>
    </cfRule>
  </conditionalFormatting>
  <conditionalFormatting sqref="N11">
    <cfRule type="containsText" dxfId="141" priority="148" operator="containsText" text="Dn-BO">
      <formula>NOT(ISERROR(SEARCH("Dn-BO",N11)))</formula>
    </cfRule>
    <cfRule type="containsText" dxfId="140" priority="147" operator="containsText" text="Up-BO">
      <formula>NOT(ISERROR(SEARCH("Up-BO",N11)))</formula>
    </cfRule>
  </conditionalFormatting>
  <conditionalFormatting sqref="N5:Q5">
    <cfRule type="cellIs" priority="3670" stopIfTrue="1" operator="equal">
      <formula>0</formula>
    </cfRule>
  </conditionalFormatting>
  <conditionalFormatting sqref="N7:Q7">
    <cfRule type="cellIs" priority="3667" stopIfTrue="1" operator="equal">
      <formula>0</formula>
    </cfRule>
  </conditionalFormatting>
  <conditionalFormatting sqref="N9:Q9">
    <cfRule type="cellIs" priority="149" stopIfTrue="1" operator="equal">
      <formula>0</formula>
    </cfRule>
  </conditionalFormatting>
  <conditionalFormatting sqref="N11:Q11">
    <cfRule type="cellIs" priority="146" stopIfTrue="1" operator="equal">
      <formula>0</formula>
    </cfRule>
  </conditionalFormatting>
  <conditionalFormatting sqref="O5 O7 O9 O11">
    <cfRule type="expression" dxfId="139" priority="15662">
      <formula>AND((IF(BV5&gt;BW5,1,-1)&gt;0),(IF(CB5&gt;CC5,1,-1)&gt;0))</formula>
    </cfRule>
    <cfRule type="expression" dxfId="138" priority="15663">
      <formula>AND((IF(BV5&gt;BW5,1,-1)&lt;0),(IF(CB5&gt;CC5,1,-1)&lt;0))</formula>
    </cfRule>
  </conditionalFormatting>
  <conditionalFormatting sqref="P5 P7 P9 P11">
    <cfRule type="expression" dxfId="137" priority="26305">
      <formula>C5&gt;(BH5-(BG5*0.5%))</formula>
    </cfRule>
    <cfRule type="expression" dxfId="136" priority="26306">
      <formula>C5&lt;(BI5+(BG5*0.5%))</formula>
    </cfRule>
  </conditionalFormatting>
  <conditionalFormatting sqref="Q5 Q7 Q9 Q11">
    <cfRule type="expression" dxfId="135" priority="26312">
      <formula>C5&lt;((BG5+BK5+BL5+BM5)/4)</formula>
    </cfRule>
    <cfRule type="expression" dxfId="134" priority="26311">
      <formula>C5&gt;((BG5+BK5+BL5+BM5)/4)</formula>
    </cfRule>
  </conditionalFormatting>
  <conditionalFormatting sqref="R5">
    <cfRule type="cellIs" dxfId="133" priority="449" operator="equal">
      <formula>1</formula>
    </cfRule>
    <cfRule type="cellIs" dxfId="132" priority="450" operator="equal">
      <formula>0</formula>
    </cfRule>
  </conditionalFormatting>
  <conditionalFormatting sqref="R7">
    <cfRule type="cellIs" dxfId="131" priority="447" operator="equal">
      <formula>1</formula>
    </cfRule>
    <cfRule type="cellIs" dxfId="130" priority="448" operator="equal">
      <formula>0</formula>
    </cfRule>
  </conditionalFormatting>
  <conditionalFormatting sqref="R9">
    <cfRule type="cellIs" dxfId="129" priority="124" operator="equal">
      <formula>0</formula>
    </cfRule>
    <cfRule type="cellIs" dxfId="128" priority="123" operator="equal">
      <formula>1</formula>
    </cfRule>
  </conditionalFormatting>
  <conditionalFormatting sqref="R11">
    <cfRule type="cellIs" dxfId="127" priority="122" operator="equal">
      <formula>0</formula>
    </cfRule>
    <cfRule type="cellIs" dxfId="126" priority="121" operator="equal">
      <formula>1</formula>
    </cfRule>
  </conditionalFormatting>
  <conditionalFormatting sqref="S5">
    <cfRule type="expression" dxfId="125" priority="1002">
      <formula>OR(S5="",S5=0)</formula>
    </cfRule>
  </conditionalFormatting>
  <conditionalFormatting sqref="S7">
    <cfRule type="expression" dxfId="124" priority="1001">
      <formula>OR(S7="",S7=0)</formula>
    </cfRule>
  </conditionalFormatting>
  <conditionalFormatting sqref="S9">
    <cfRule type="expression" dxfId="123" priority="126">
      <formula>OR(S9="",S9=0)</formula>
    </cfRule>
  </conditionalFormatting>
  <conditionalFormatting sqref="S11">
    <cfRule type="expression" dxfId="122" priority="125">
      <formula>OR(S11="",S11=0)</formula>
    </cfRule>
  </conditionalFormatting>
  <conditionalFormatting sqref="Y5:AA5">
    <cfRule type="cellIs" dxfId="121" priority="3100" operator="equal">
      <formula>2</formula>
    </cfRule>
    <cfRule type="cellIs" priority="3098" stopIfTrue="1" operator="equal">
      <formula>0</formula>
    </cfRule>
    <cfRule type="cellIs" dxfId="120" priority="3099" operator="equal">
      <formula>1</formula>
    </cfRule>
  </conditionalFormatting>
  <conditionalFormatting sqref="Y7:AA7">
    <cfRule type="cellIs" dxfId="119" priority="3097" operator="equal">
      <formula>2</formula>
    </cfRule>
    <cfRule type="cellIs" priority="3095" stopIfTrue="1" operator="equal">
      <formula>0</formula>
    </cfRule>
    <cfRule type="cellIs" dxfId="118" priority="3096" operator="equal">
      <formula>1</formula>
    </cfRule>
  </conditionalFormatting>
  <conditionalFormatting sqref="Y9:AA9">
    <cfRule type="cellIs" dxfId="117" priority="459" operator="equal">
      <formula>1</formula>
    </cfRule>
    <cfRule type="cellIs" priority="458" stopIfTrue="1" operator="equal">
      <formula>0</formula>
    </cfRule>
    <cfRule type="cellIs" dxfId="116" priority="460" operator="equal">
      <formula>2</formula>
    </cfRule>
  </conditionalFormatting>
  <conditionalFormatting sqref="Y11:AA11">
    <cfRule type="cellIs" priority="455" stopIfTrue="1" operator="equal">
      <formula>0</formula>
    </cfRule>
    <cfRule type="cellIs" dxfId="115" priority="456" operator="equal">
      <formula>1</formula>
    </cfRule>
    <cfRule type="cellIs" dxfId="114" priority="457" operator="equal">
      <formula>2</formula>
    </cfRule>
  </conditionalFormatting>
  <conditionalFormatting sqref="AE5:AF5 AE7:AF7">
    <cfRule type="containsText" dxfId="113" priority="3407" operator="containsText" text="Up">
      <formula>NOT(ISERROR(SEARCH("Up",AE5)))</formula>
    </cfRule>
    <cfRule type="containsText" dxfId="112" priority="3408" operator="containsText" text="Dn">
      <formula>NOT(ISERROR(SEARCH("Dn",AE5)))</formula>
    </cfRule>
  </conditionalFormatting>
  <conditionalFormatting sqref="AE5:AF5 CH5:CI5 AE7:AF7 CH7:CI7 CH9:CI9 CH11:CI11">
    <cfRule type="containsText" priority="984" operator="containsText" text="&quot;-&quot;">
      <formula>NOT(ISERROR(SEARCH("""-""",AE5)))</formula>
    </cfRule>
  </conditionalFormatting>
  <conditionalFormatting sqref="AE9:AF9 AE11:AF11">
    <cfRule type="containsText" dxfId="111" priority="76" operator="containsText" text="Dn">
      <formula>NOT(ISERROR(SEARCH("Dn",AE9)))</formula>
    </cfRule>
    <cfRule type="containsText" dxfId="110" priority="75" operator="containsText" text="Up">
      <formula>NOT(ISERROR(SEARCH("Up",AE9)))</formula>
    </cfRule>
    <cfRule type="containsText" priority="72" operator="containsText" text="&quot;-&quot;">
      <formula>NOT(ISERROR(SEARCH("""-""",AE9)))</formula>
    </cfRule>
  </conditionalFormatting>
  <conditionalFormatting sqref="AF9 AF11">
    <cfRule type="containsText" dxfId="109" priority="82" operator="containsText" text="MFI">
      <formula>NOT(ISERROR(SEARCH("MFI",AF9)))</formula>
    </cfRule>
  </conditionalFormatting>
  <conditionalFormatting sqref="AG5">
    <cfRule type="cellIs" dxfId="108" priority="3681" operator="equal">
      <formula>0</formula>
    </cfRule>
    <cfRule type="cellIs" dxfId="107" priority="3680" operator="equal">
      <formula>1</formula>
    </cfRule>
  </conditionalFormatting>
  <conditionalFormatting sqref="AG7">
    <cfRule type="cellIs" dxfId="106" priority="3671" operator="equal">
      <formula>1</formula>
    </cfRule>
    <cfRule type="cellIs" dxfId="105" priority="3672" operator="equal">
      <formula>0</formula>
    </cfRule>
  </conditionalFormatting>
  <conditionalFormatting sqref="AG9">
    <cfRule type="cellIs" dxfId="104" priority="92" operator="equal">
      <formula>1</formula>
    </cfRule>
    <cfRule type="cellIs" dxfId="103" priority="93" operator="equal">
      <formula>0</formula>
    </cfRule>
  </conditionalFormatting>
  <conditionalFormatting sqref="AG11">
    <cfRule type="cellIs" dxfId="102" priority="90" operator="equal">
      <formula>1</formula>
    </cfRule>
    <cfRule type="cellIs" dxfId="101" priority="91" operator="equal">
      <formula>0</formula>
    </cfRule>
  </conditionalFormatting>
  <conditionalFormatting sqref="AH5">
    <cfRule type="expression" dxfId="100" priority="1003">
      <formula>OR(AH5="",AH5=0)</formula>
    </cfRule>
  </conditionalFormatting>
  <conditionalFormatting sqref="AH7">
    <cfRule type="expression" dxfId="99" priority="3658">
      <formula>OR(AH7="",AH7=0)</formula>
    </cfRule>
  </conditionalFormatting>
  <conditionalFormatting sqref="AH9">
    <cfRule type="expression" dxfId="98" priority="73">
      <formula>OR(AH9="",AH9=0)</formula>
    </cfRule>
  </conditionalFormatting>
  <conditionalFormatting sqref="AH11">
    <cfRule type="expression" dxfId="97" priority="89">
      <formula>OR(AH11="",AH11=0)</formula>
    </cfRule>
  </conditionalFormatting>
  <conditionalFormatting sqref="AI5 AI7 AI9 AI11">
    <cfRule type="expression" dxfId="96" priority="25339">
      <formula>AND(EN5=1,EM5&lt;&gt;"Do Not Trade",AI5&lt;0)</formula>
    </cfRule>
    <cfRule type="expression" dxfId="95" priority="25338">
      <formula>AND(OR(EN5=1,EN5=2),EM5&lt;&gt;"Do Not Trade",AI5="")</formula>
    </cfRule>
    <cfRule type="expression" dxfId="94" priority="25340">
      <formula>AND(EN5=2,EM5&lt;&gt;"Do Not Trade",AI5&gt;0)</formula>
    </cfRule>
  </conditionalFormatting>
  <conditionalFormatting sqref="AJ5 AJ7 AJ9 AJ11">
    <cfRule type="expression" dxfId="93" priority="25343">
      <formula>AND(ER5=2,EQ5&lt;&gt;"Do Not Trade",AJ5&gt;0)</formula>
    </cfRule>
    <cfRule type="expression" dxfId="92" priority="25342">
      <formula>AND(ER5=1,EQ5&lt;&gt;"Do Not Trade",AJ5&lt;0)</formula>
    </cfRule>
    <cfRule type="expression" dxfId="91" priority="25341">
      <formula>AND(OR(ER5=1,ER5=2),EQ5&lt;&gt;"Do Not Trade",AJ5="")</formula>
    </cfRule>
  </conditionalFormatting>
  <conditionalFormatting sqref="AL5">
    <cfRule type="expression" dxfId="90" priority="3711">
      <formula>AL5&lt;=0</formula>
    </cfRule>
    <cfRule type="expression" dxfId="89" priority="3710">
      <formula>AL5&gt;0</formula>
    </cfRule>
  </conditionalFormatting>
  <conditionalFormatting sqref="AL7">
    <cfRule type="expression" dxfId="88" priority="3639">
      <formula>AL7&gt;0</formula>
    </cfRule>
    <cfRule type="expression" dxfId="87" priority="3640">
      <formula>AL7&lt;=0</formula>
    </cfRule>
  </conditionalFormatting>
  <conditionalFormatting sqref="AL9">
    <cfRule type="expression" dxfId="86" priority="95">
      <formula>AL9&gt;0</formula>
    </cfRule>
    <cfRule type="expression" dxfId="85" priority="96">
      <formula>AL9&lt;=0</formula>
    </cfRule>
  </conditionalFormatting>
  <conditionalFormatting sqref="AL11">
    <cfRule type="expression" dxfId="84" priority="88">
      <formula>AL11&lt;=0</formula>
    </cfRule>
    <cfRule type="expression" dxfId="83" priority="87">
      <formula>AL11&gt;0</formula>
    </cfRule>
  </conditionalFormatting>
  <conditionalFormatting sqref="AL5:AM5">
    <cfRule type="containsBlanks" priority="3709" stopIfTrue="1">
      <formula>LEN(TRIM(AL5))=0</formula>
    </cfRule>
  </conditionalFormatting>
  <conditionalFormatting sqref="AL7:AM7">
    <cfRule type="containsBlanks" priority="3635" stopIfTrue="1">
      <formula>LEN(TRIM(AL7))=0</formula>
    </cfRule>
  </conditionalFormatting>
  <conditionalFormatting sqref="AL9:AM9">
    <cfRule type="containsBlanks" priority="94" stopIfTrue="1">
      <formula>LEN(TRIM(AL9))=0</formula>
    </cfRule>
  </conditionalFormatting>
  <conditionalFormatting sqref="AL11:AM11">
    <cfRule type="containsBlanks" priority="83" stopIfTrue="1">
      <formula>LEN(TRIM(AL11))=0</formula>
    </cfRule>
  </conditionalFormatting>
  <conditionalFormatting sqref="AM5">
    <cfRule type="expression" dxfId="82" priority="3749">
      <formula>AM5&gt;0%</formula>
    </cfRule>
    <cfRule type="expression" dxfId="81" priority="3750">
      <formula>AM5&lt;=0%</formula>
    </cfRule>
  </conditionalFormatting>
  <conditionalFormatting sqref="AM7">
    <cfRule type="expression" dxfId="80" priority="3636">
      <formula>AM7&gt;0%</formula>
    </cfRule>
    <cfRule type="expression" dxfId="79" priority="3637">
      <formula>AM7&lt;=0%</formula>
    </cfRule>
  </conditionalFormatting>
  <conditionalFormatting sqref="AM9">
    <cfRule type="expression" dxfId="78" priority="108">
      <formula>AM9&lt;=0%</formula>
    </cfRule>
    <cfRule type="expression" dxfId="77" priority="107">
      <formula>AM9&gt;0%</formula>
    </cfRule>
  </conditionalFormatting>
  <conditionalFormatting sqref="AM11">
    <cfRule type="expression" dxfId="76" priority="84">
      <formula>AM11&gt;0%</formula>
    </cfRule>
    <cfRule type="expression" dxfId="75" priority="85">
      <formula>AM11&lt;=0%</formula>
    </cfRule>
  </conditionalFormatting>
  <conditionalFormatting sqref="AY4:AY12">
    <cfRule type="containsBlanks" priority="69" stopIfTrue="1">
      <formula>LEN(TRIM(AY4))=0</formula>
    </cfRule>
    <cfRule type="expression" dxfId="74" priority="70">
      <formula>AY4&lt;=0</formula>
    </cfRule>
    <cfRule type="expression" dxfId="73" priority="71">
      <formula>AY4&gt;0</formula>
    </cfRule>
  </conditionalFormatting>
  <conditionalFormatting sqref="CH5:CI5 CH7:CI7 CH9:CI9 CH11:CI11 AF5 AF7">
    <cfRule type="containsText" dxfId="72" priority="3607" operator="containsText" text="MFI">
      <formula>NOT(ISERROR(SEARCH("MFI",AF5)))</formula>
    </cfRule>
  </conditionalFormatting>
  <conditionalFormatting sqref="CH5:CI5 CH7:CI7 CH9:CI9 CH11:CI11">
    <cfRule type="containsText" dxfId="71" priority="3605" operator="containsText" text="Up">
      <formula>NOT(ISERROR(SEARCH("Up",CH5)))</formula>
    </cfRule>
    <cfRule type="containsText" dxfId="70" priority="3606" operator="containsText" text="Dn">
      <formula>NOT(ISERROR(SEARCH("Dn",CH5)))</formula>
    </cfRule>
  </conditionalFormatting>
  <conditionalFormatting sqref="CO5 CO7">
    <cfRule type="containsText" dxfId="69" priority="3456" operator="containsText" text="'-2'">
      <formula>NOT(ISERROR(SEARCH("'-2'",CO5)))</formula>
    </cfRule>
    <cfRule type="containsText" dxfId="68" priority="3455" operator="containsText" text="'-1'">
      <formula>NOT(ISERROR(SEARCH("'-1'",CO5)))</formula>
    </cfRule>
    <cfRule type="containsText" priority="3454" stopIfTrue="1" operator="containsText" text="0">
      <formula>NOT(ISERROR(SEARCH("0",CO5)))</formula>
    </cfRule>
  </conditionalFormatting>
  <conditionalFormatting sqref="CO9 CO11">
    <cfRule type="containsText" priority="1" stopIfTrue="1" operator="containsText" text="0">
      <formula>NOT(ISERROR(SEARCH("0",CO9)))</formula>
    </cfRule>
    <cfRule type="containsText" dxfId="67" priority="2" operator="containsText" text="'-1'">
      <formula>NOT(ISERROR(SEARCH("'-1'",CO9)))</formula>
    </cfRule>
    <cfRule type="containsText" dxfId="66" priority="3" operator="containsText" text="'-2'">
      <formula>NOT(ISERROR(SEARCH("'-2'",CO9)))</formula>
    </cfRule>
  </conditionalFormatting>
  <conditionalFormatting sqref="DC5 DC7">
    <cfRule type="expression" dxfId="65" priority="928">
      <formula>OR(DC5="34-1",DC5="13-1")</formula>
    </cfRule>
    <cfRule type="containsText" priority="927" stopIfTrue="1" operator="containsText" text="0">
      <formula>NOT(ISERROR(SEARCH("0",DC5)))</formula>
    </cfRule>
    <cfRule type="expression" dxfId="64" priority="929">
      <formula>OR(DC5="34-2",DC5="13-2")</formula>
    </cfRule>
  </conditionalFormatting>
  <conditionalFormatting sqref="DC9 DC11">
    <cfRule type="expression" dxfId="63" priority="10">
      <formula>OR(DC9="34-2",DC9="13-2")</formula>
    </cfRule>
    <cfRule type="expression" dxfId="62" priority="9">
      <formula>OR(DC9="34-1",DC9="13-1")</formula>
    </cfRule>
    <cfRule type="containsText" priority="8" stopIfTrue="1" operator="containsText" text="0">
      <formula>NOT(ISERROR(SEARCH("0",DC9)))</formula>
    </cfRule>
  </conditionalFormatting>
  <conditionalFormatting sqref="DD5 DD7">
    <cfRule type="containsText" dxfId="61" priority="926" operator="containsText" text="Hold">
      <formula>NOT(ISERROR(SEARCH("Hold",DD5)))</formula>
    </cfRule>
    <cfRule type="containsText" dxfId="60" priority="924" operator="containsText" text="Short">
      <formula>NOT(ISERROR(SEARCH("Short",DD5)))</formula>
    </cfRule>
    <cfRule type="cellIs" priority="923" stopIfTrue="1" operator="equal">
      <formula>0</formula>
    </cfRule>
    <cfRule type="containsText" dxfId="59" priority="925" operator="containsText" text="Long">
      <formula>NOT(ISERROR(SEARCH("Long",DD5)))</formula>
    </cfRule>
  </conditionalFormatting>
  <conditionalFormatting sqref="DD9 DD11">
    <cfRule type="cellIs" priority="4" stopIfTrue="1" operator="equal">
      <formula>0</formula>
    </cfRule>
    <cfRule type="containsText" dxfId="58" priority="7" operator="containsText" text="Hold">
      <formula>NOT(ISERROR(SEARCH("Hold",DD9)))</formula>
    </cfRule>
    <cfRule type="containsText" dxfId="57" priority="6" operator="containsText" text="Long">
      <formula>NOT(ISERROR(SEARCH("Long",DD9)))</formula>
    </cfRule>
    <cfRule type="containsText" dxfId="56" priority="5" operator="containsText" text="Short">
      <formula>NOT(ISERROR(SEARCH("Short",DD9)))</formula>
    </cfRule>
  </conditionalFormatting>
  <conditionalFormatting sqref="DE5 DE7">
    <cfRule type="expression" dxfId="55" priority="3675">
      <formula>OR(DE5="34-2",DE5="13-2")</formula>
    </cfRule>
    <cfRule type="containsText" priority="3673" stopIfTrue="1" operator="containsText" text="0">
      <formula>NOT(ISERROR(SEARCH("0",DE5)))</formula>
    </cfRule>
    <cfRule type="expression" dxfId="54" priority="3674">
      <formula>OR(DE5="34-1",DE5="13-1")</formula>
    </cfRule>
  </conditionalFormatting>
  <conditionalFormatting sqref="DE9 DE11">
    <cfRule type="expression" dxfId="53" priority="17">
      <formula>OR(DE9="34-2",DE9="13-2")</formula>
    </cfRule>
    <cfRule type="expression" dxfId="52" priority="16">
      <formula>OR(DE9="34-1",DE9="13-1")</formula>
    </cfRule>
    <cfRule type="containsText" priority="15" stopIfTrue="1" operator="containsText" text="0">
      <formula>NOT(ISERROR(SEARCH("0",DE9)))</formula>
    </cfRule>
  </conditionalFormatting>
  <conditionalFormatting sqref="DF5 DF7">
    <cfRule type="containsText" dxfId="51" priority="960" operator="containsText" text="Short">
      <formula>NOT(ISERROR(SEARCH("Short",DF5)))</formula>
    </cfRule>
    <cfRule type="containsText" dxfId="50" priority="962" operator="containsText" text="Hold">
      <formula>NOT(ISERROR(SEARCH("Hold",DF5)))</formula>
    </cfRule>
    <cfRule type="containsText" dxfId="49" priority="961" operator="containsText" text="Long">
      <formula>NOT(ISERROR(SEARCH("Long",DF5)))</formula>
    </cfRule>
    <cfRule type="cellIs" priority="959" stopIfTrue="1" operator="equal">
      <formula>0</formula>
    </cfRule>
  </conditionalFormatting>
  <conditionalFormatting sqref="DF9 DF11">
    <cfRule type="cellIs" priority="11" stopIfTrue="1" operator="equal">
      <formula>0</formula>
    </cfRule>
    <cfRule type="containsText" dxfId="48" priority="13" operator="containsText" text="Long">
      <formula>NOT(ISERROR(SEARCH("Long",DF9)))</formula>
    </cfRule>
    <cfRule type="containsText" dxfId="47" priority="14" operator="containsText" text="Hold">
      <formula>NOT(ISERROR(SEARCH("Hold",DF9)))</formula>
    </cfRule>
    <cfRule type="containsText" dxfId="46" priority="12" operator="containsText" text="Short">
      <formula>NOT(ISERROR(SEARCH("Short",DF9)))</formula>
    </cfRule>
  </conditionalFormatting>
  <conditionalFormatting sqref="EM5">
    <cfRule type="containsText" dxfId="45" priority="3375" operator="containsText" text="Short">
      <formula>NOT(ISERROR(SEARCH("Short",EM5)))</formula>
    </cfRule>
    <cfRule type="containsText" dxfId="44" priority="3373" stopIfTrue="1" operator="containsText" text="Do Not Trade">
      <formula>NOT(ISERROR(SEARCH("Do Not Trade",EM5)))</formula>
    </cfRule>
    <cfRule type="containsText" dxfId="43" priority="3374" operator="containsText" text="Long">
      <formula>NOT(ISERROR(SEARCH("Long",EM5)))</formula>
    </cfRule>
  </conditionalFormatting>
  <conditionalFormatting sqref="EM7">
    <cfRule type="containsText" dxfId="42" priority="3322" stopIfTrue="1" operator="containsText" text="Do Not Trade">
      <formula>NOT(ISERROR(SEARCH("Do Not Trade",EM7)))</formula>
    </cfRule>
    <cfRule type="containsText" dxfId="41" priority="3323" operator="containsText" text="Long">
      <formula>NOT(ISERROR(SEARCH("Long",EM7)))</formula>
    </cfRule>
    <cfRule type="containsText" dxfId="40" priority="3324" operator="containsText" text="Short">
      <formula>NOT(ISERROR(SEARCH("Short",EM7)))</formula>
    </cfRule>
  </conditionalFormatting>
  <conditionalFormatting sqref="EM9">
    <cfRule type="containsText" dxfId="39" priority="49" operator="containsText" text="Short">
      <formula>NOT(ISERROR(SEARCH("Short",EM9)))</formula>
    </cfRule>
    <cfRule type="containsText" dxfId="38" priority="48" operator="containsText" text="Long">
      <formula>NOT(ISERROR(SEARCH("Long",EM9)))</formula>
    </cfRule>
    <cfRule type="containsText" dxfId="37" priority="47" stopIfTrue="1" operator="containsText" text="Do Not Trade">
      <formula>NOT(ISERROR(SEARCH("Do Not Trade",EM9)))</formula>
    </cfRule>
  </conditionalFormatting>
  <conditionalFormatting sqref="EM11">
    <cfRule type="containsText" dxfId="36" priority="39" operator="containsText" text="Long">
      <formula>NOT(ISERROR(SEARCH("Long",EM11)))</formula>
    </cfRule>
    <cfRule type="containsText" dxfId="35" priority="40" operator="containsText" text="Short">
      <formula>NOT(ISERROR(SEARCH("Short",EM11)))</formula>
    </cfRule>
    <cfRule type="containsText" dxfId="34" priority="38" stopIfTrue="1" operator="containsText" text="Do Not Trade">
      <formula>NOT(ISERROR(SEARCH("Do Not Trade",EM11)))</formula>
    </cfRule>
  </conditionalFormatting>
  <conditionalFormatting sqref="EN5">
    <cfRule type="cellIs" dxfId="33" priority="3367" stopIfTrue="1" operator="equal">
      <formula>0</formula>
    </cfRule>
    <cfRule type="cellIs" dxfId="32" priority="3368" operator="equal">
      <formula>1</formula>
    </cfRule>
    <cfRule type="cellIs" dxfId="31" priority="3369" operator="equal">
      <formula>2</formula>
    </cfRule>
  </conditionalFormatting>
  <conditionalFormatting sqref="EN7">
    <cfRule type="cellIs" dxfId="30" priority="3362" operator="equal">
      <formula>1</formula>
    </cfRule>
    <cfRule type="cellIs" dxfId="29" priority="3361" stopIfTrue="1" operator="equal">
      <formula>0</formula>
    </cfRule>
    <cfRule type="cellIs" dxfId="28" priority="3363" operator="equal">
      <formula>2</formula>
    </cfRule>
  </conditionalFormatting>
  <conditionalFormatting sqref="EN9">
    <cfRule type="cellIs" dxfId="27" priority="46" operator="equal">
      <formula>2</formula>
    </cfRule>
    <cfRule type="cellIs" dxfId="26" priority="45" operator="equal">
      <formula>1</formula>
    </cfRule>
    <cfRule type="cellIs" dxfId="25" priority="44" stopIfTrue="1" operator="equal">
      <formula>0</formula>
    </cfRule>
  </conditionalFormatting>
  <conditionalFormatting sqref="EN11">
    <cfRule type="cellIs" dxfId="24" priority="41" stopIfTrue="1" operator="equal">
      <formula>0</formula>
    </cfRule>
    <cfRule type="cellIs" dxfId="23" priority="43" operator="equal">
      <formula>2</formula>
    </cfRule>
    <cfRule type="cellIs" dxfId="22" priority="42" operator="equal">
      <formula>1</formula>
    </cfRule>
  </conditionalFormatting>
  <conditionalFormatting sqref="EO5 EO7">
    <cfRule type="expression" dxfId="21" priority="25018">
      <formula>AND(EN5=1,OR(AND(#REF!&gt;=0.5%,#REF!&lt;=1.5%),AND(#REF!&lt;=-0.5%,#REF!&gt;=-1.5%)),#REF!&gt;=0.5%)</formula>
    </cfRule>
  </conditionalFormatting>
  <conditionalFormatting sqref="EO9 EO11">
    <cfRule type="expression" dxfId="20" priority="50">
      <formula>AND(EN9=1,OR(AND(#REF!&gt;=0.5%,#REF!&lt;=1.5%),AND(#REF!&lt;=-0.5%,#REF!&gt;=-1.5%)),#REF!&gt;=0.5%)</formula>
    </cfRule>
  </conditionalFormatting>
  <conditionalFormatting sqref="EP5 EP7">
    <cfRule type="expression" dxfId="19" priority="25176">
      <formula>AND(EN5=2,OR(AND(#REF!&gt;=0.5%,#REF!&lt;=1.5%),AND(#REF!&lt;=-0.5%,#REF!&gt;=-1.5%)),#REF!&gt;=0.5%)</formula>
    </cfRule>
  </conditionalFormatting>
  <conditionalFormatting sqref="EP9 EP11">
    <cfRule type="expression" dxfId="18" priority="51">
      <formula>AND(EN9=2,OR(AND(#REF!&gt;=0.5%,#REF!&lt;=1.5%),AND(#REF!&lt;=-0.5%,#REF!&gt;=-1.5%)),#REF!&gt;=0.5%)</formula>
    </cfRule>
  </conditionalFormatting>
  <conditionalFormatting sqref="EQ5">
    <cfRule type="containsText" dxfId="17" priority="3752" operator="containsText" text="Exit - TP">
      <formula>NOT(ISERROR(SEARCH("Exit - TP",EQ5)))</formula>
    </cfRule>
    <cfRule type="containsText" dxfId="16" priority="3753" operator="containsText" text="Go">
      <formula>NOT(ISERROR(SEARCH("Go",EQ5)))</formula>
    </cfRule>
    <cfRule type="containsText" dxfId="15" priority="3751" operator="containsText" text="Hold">
      <formula>NOT(ISERROR(SEARCH("Hold",EQ5)))</formula>
    </cfRule>
  </conditionalFormatting>
  <conditionalFormatting sqref="EQ7">
    <cfRule type="containsText" dxfId="14" priority="3634" operator="containsText" text="Go">
      <formula>NOT(ISERROR(SEARCH("Go",EQ7)))</formula>
    </cfRule>
    <cfRule type="containsText" dxfId="13" priority="3633" operator="containsText" text="Exit - TP">
      <formula>NOT(ISERROR(SEARCH("Exit - TP",EQ7)))</formula>
    </cfRule>
    <cfRule type="containsText" dxfId="12" priority="3632" operator="containsText" text="Hold">
      <formula>NOT(ISERROR(SEARCH("Hold",EQ7)))</formula>
    </cfRule>
  </conditionalFormatting>
  <conditionalFormatting sqref="EQ9">
    <cfRule type="containsText" dxfId="11" priority="35" operator="containsText" text="Hold">
      <formula>NOT(ISERROR(SEARCH("Hold",EQ9)))</formula>
    </cfRule>
    <cfRule type="containsText" dxfId="10" priority="36" operator="containsText" text="Exit - TP">
      <formula>NOT(ISERROR(SEARCH("Exit - TP",EQ9)))</formula>
    </cfRule>
    <cfRule type="containsText" dxfId="9" priority="37" operator="containsText" text="Go">
      <formula>NOT(ISERROR(SEARCH("Go",EQ9)))</formula>
    </cfRule>
  </conditionalFormatting>
  <conditionalFormatting sqref="EQ11">
    <cfRule type="containsText" dxfId="8" priority="33" operator="containsText" text="Exit - TP">
      <formula>NOT(ISERROR(SEARCH("Exit - TP",EQ11)))</formula>
    </cfRule>
    <cfRule type="containsText" dxfId="7" priority="32" operator="containsText" text="Hold">
      <formula>NOT(ISERROR(SEARCH("Hold",EQ11)))</formula>
    </cfRule>
    <cfRule type="containsText" dxfId="6" priority="34" operator="containsText" text="Go">
      <formula>NOT(ISERROR(SEARCH("Go",EQ11)))</formula>
    </cfRule>
  </conditionalFormatting>
  <pageMargins left="0.7" right="0.7" top="0.75" bottom="0.75" header="0.3" footer="0.3"/>
  <pageSetup orientation="portrait" horizontalDpi="4294967294"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B187"/>
  <sheetViews>
    <sheetView zoomScale="170" zoomScaleNormal="170" workbookViewId="0">
      <pane ySplit="3" topLeftCell="A4" activePane="bottomLeft" state="frozen"/>
      <selection pane="bottomLeft" activeCell="T10" sqref="T10"/>
    </sheetView>
  </sheetViews>
  <sheetFormatPr defaultColWidth="9.109375" defaultRowHeight="10.5" x14ac:dyDescent="0.3"/>
  <cols>
    <col min="1" max="3" width="9.6640625" style="2" customWidth="1"/>
    <col min="4" max="7" width="15.6640625" style="2" customWidth="1"/>
    <col min="8" max="9" width="8.6640625" style="2" customWidth="1"/>
    <col min="10" max="10" width="11.44140625" style="2" customWidth="1"/>
    <col min="11" max="11" width="8.6640625" style="2" customWidth="1"/>
    <col min="12" max="17" width="9.6640625" style="2" customWidth="1"/>
    <col min="18" max="18" width="10.6640625" style="2" customWidth="1"/>
    <col min="19" max="23" width="9.6640625" style="2" customWidth="1"/>
    <col min="24" max="24" width="10.6640625" style="2" customWidth="1"/>
    <col min="25" max="25" width="0.88671875" style="2" customWidth="1"/>
    <col min="26" max="49" width="9.6640625" style="2" customWidth="1"/>
    <col min="50" max="50" width="14.6640625" style="2" customWidth="1"/>
    <col min="51" max="51" width="12.6640625" style="2" customWidth="1"/>
    <col min="52" max="52" width="14.6640625" style="2" customWidth="1"/>
    <col min="53" max="54" width="12.6640625" style="2" customWidth="1"/>
    <col min="55" max="57" width="9.6640625" style="2" customWidth="1"/>
    <col min="58" max="59" width="12.6640625" style="2" customWidth="1"/>
    <col min="60" max="61" width="9.6640625" style="2" customWidth="1"/>
    <col min="62" max="62" width="12.6640625" style="2" customWidth="1"/>
    <col min="63" max="65" width="9.6640625" style="2" customWidth="1"/>
    <col min="66" max="67" width="12.6640625" style="2" customWidth="1"/>
    <col min="68" max="69" width="9.6640625" style="2" customWidth="1"/>
    <col min="70" max="71" width="13.6640625" style="2" customWidth="1"/>
    <col min="72" max="77" width="9.6640625" style="2" customWidth="1"/>
    <col min="78" max="79" width="13.6640625" style="2" customWidth="1"/>
    <col min="80" max="85" width="9.6640625" style="2" customWidth="1"/>
    <col min="86" max="86" width="13.6640625" style="2" customWidth="1"/>
    <col min="87" max="87" width="10.6640625" style="2" customWidth="1"/>
    <col min="88" max="88" width="9.109375" style="2" customWidth="1"/>
    <col min="89" max="89" width="13.6640625" style="2" customWidth="1"/>
    <col min="90" max="90" width="10.6640625" style="2" customWidth="1"/>
    <col min="91" max="94" width="9.109375" style="2" customWidth="1"/>
    <col min="95" max="95" width="13.6640625" style="2" customWidth="1"/>
    <col min="96" max="96" width="10.6640625" style="2" customWidth="1"/>
    <col min="97" max="97" width="9.109375" style="2" customWidth="1"/>
    <col min="98" max="98" width="13.6640625" style="2" customWidth="1"/>
    <col min="99" max="99" width="10.6640625" style="2" customWidth="1"/>
    <col min="100" max="104" width="9.109375" style="2" customWidth="1"/>
    <col min="105" max="108" width="13.6640625" style="2" customWidth="1"/>
    <col min="109" max="109" width="9.6640625" style="2" customWidth="1"/>
    <col min="110" max="113" width="9.109375" style="2" customWidth="1"/>
    <col min="114" max="117" width="13.6640625" style="2" customWidth="1"/>
    <col min="118" max="118" width="9.6640625" style="2" customWidth="1"/>
    <col min="119" max="121" width="9.109375" style="2" customWidth="1"/>
    <col min="122" max="122" width="9.6640625" style="2" customWidth="1"/>
    <col min="123" max="125" width="13.6640625" style="2" customWidth="1"/>
    <col min="126" max="126" width="9.6640625" style="2" customWidth="1"/>
    <col min="127" max="127" width="10.6640625" style="2" customWidth="1"/>
    <col min="128" max="128" width="11.6640625" style="2" customWidth="1"/>
    <col min="129" max="130" width="10.6640625" style="2" customWidth="1"/>
    <col min="131" max="131" width="9.6640625" style="2" customWidth="1"/>
    <col min="132" max="134" width="13.6640625" style="2" customWidth="1"/>
    <col min="135" max="135" width="9.6640625" style="2" customWidth="1"/>
    <col min="136" max="136" width="10.6640625" style="2" customWidth="1"/>
    <col min="137" max="137" width="11.6640625" style="2" customWidth="1"/>
    <col min="138" max="139" width="10.6640625" style="2" customWidth="1"/>
    <col min="140" max="140" width="9.6640625" style="2" customWidth="1"/>
    <col min="141" max="143" width="13.6640625" style="2" customWidth="1"/>
    <col min="144" max="144" width="9.6640625" style="2" customWidth="1"/>
    <col min="145" max="148" width="10.6640625" style="2" customWidth="1"/>
    <col min="149" max="149" width="9.6640625" style="2" customWidth="1"/>
    <col min="150" max="152" width="13.6640625" style="2" customWidth="1"/>
    <col min="153" max="153" width="9.6640625" style="2" customWidth="1"/>
    <col min="154" max="157" width="10.6640625" style="2" customWidth="1"/>
    <col min="158" max="161" width="12.6640625" style="2" customWidth="1"/>
    <col min="162" max="171" width="9.6640625" style="2" customWidth="1"/>
    <col min="172" max="173" width="10.6640625" style="2" customWidth="1"/>
    <col min="174" max="181" width="9.109375" style="2" customWidth="1"/>
    <col min="182" max="16384" width="9.109375" style="2"/>
  </cols>
  <sheetData>
    <row r="1" spans="1:184" ht="12.15" customHeight="1" thickBot="1" x14ac:dyDescent="0.35">
      <c r="A1" s="672" t="s">
        <v>110</v>
      </c>
      <c r="B1" s="673"/>
      <c r="C1" s="674"/>
      <c r="D1" s="86" t="s">
        <v>3</v>
      </c>
      <c r="E1" s="156" t="s">
        <v>6</v>
      </c>
      <c r="F1" s="87" t="s">
        <v>13</v>
      </c>
      <c r="G1" s="88" t="s">
        <v>6</v>
      </c>
      <c r="L1" s="699" t="s">
        <v>1</v>
      </c>
      <c r="M1" s="677" t="str">
        <f>CONCATENATE($F$1," - Open, High, Low &amp; Close")</f>
        <v>BNF - Open, High, Low &amp; Close</v>
      </c>
      <c r="N1" s="658"/>
      <c r="O1" s="658"/>
      <c r="P1" s="658"/>
      <c r="Q1" s="658"/>
      <c r="R1" s="659"/>
      <c r="S1" s="657" t="str">
        <f>CONCATENATE($G$1," - Open, High, Low &amp; Close")</f>
        <v>Nifty - Open, High, Low &amp; Close</v>
      </c>
      <c r="T1" s="658"/>
      <c r="U1" s="658"/>
      <c r="V1" s="658"/>
      <c r="W1" s="658"/>
      <c r="X1" s="659"/>
      <c r="Y1" s="4"/>
      <c r="Z1" s="158" t="str">
        <f>CONCATENATE($F$1," - %Chg")</f>
        <v>BNF - %Chg</v>
      </c>
      <c r="AA1" s="159" t="str">
        <f>CONCATENATE($G$1," - %Chg")</f>
        <v>Nifty - %Chg</v>
      </c>
      <c r="AB1" s="675" t="s">
        <v>11</v>
      </c>
      <c r="AC1" s="676"/>
      <c r="AD1" s="594" t="str">
        <f>CONCATENATE($F$1," - AutoCorrelation")</f>
        <v>BNF - AutoCorrelation</v>
      </c>
      <c r="AE1" s="595"/>
      <c r="AF1" s="605" t="str">
        <f>CONCATENATE($G$1," - AutoCorrelation")</f>
        <v>Nifty - AutoCorrelation</v>
      </c>
      <c r="AG1" s="607"/>
      <c r="AH1" s="596" t="str">
        <f>CONCATENATE($F$1," - Historical Annual Volatility (NSE Method)")</f>
        <v>BNF - Historical Annual Volatility (NSE Method)</v>
      </c>
      <c r="AI1" s="596"/>
      <c r="AJ1" s="596"/>
      <c r="AK1" s="595"/>
      <c r="AL1" s="606" t="str">
        <f>CONCATENATE($G$1," - Historical Annual Volatility (NSE Method)")</f>
        <v>Nifty - Historical Annual Volatility (NSE Method)</v>
      </c>
      <c r="AM1" s="606"/>
      <c r="AN1" s="606"/>
      <c r="AO1" s="607"/>
      <c r="AP1" s="594" t="str">
        <f>CONCATENATE($F$1," - Intraday Annual Volatility")</f>
        <v>BNF - Intraday Annual Volatility</v>
      </c>
      <c r="AQ1" s="596"/>
      <c r="AR1" s="596"/>
      <c r="AS1" s="595"/>
      <c r="AT1" s="605" t="str">
        <f>CONCATENATE($G$1," - Intraday Annual Volatility")</f>
        <v>Nifty - Intraday Annual Volatility</v>
      </c>
      <c r="AU1" s="606"/>
      <c r="AV1" s="606"/>
      <c r="AW1" s="607"/>
      <c r="AX1" s="594" t="str">
        <f>CONCATENATE($F$1," - VW SMA (Trend Finder)")</f>
        <v>BNF - VW SMA (Trend Finder)</v>
      </c>
      <c r="AY1" s="596"/>
      <c r="AZ1" s="606" t="str">
        <f>CONCATENATE($G$1," - VW SMA (Trend Finder)")</f>
        <v>Nifty - VW SMA (Trend Finder)</v>
      </c>
      <c r="BA1" s="606"/>
      <c r="BB1" s="594" t="str">
        <f>CONCATENATE($F$1," - Volume Weighted EMA (Trend Finder)")</f>
        <v>BNF - Volume Weighted EMA (Trend Finder)</v>
      </c>
      <c r="BC1" s="596"/>
      <c r="BD1" s="596"/>
      <c r="BE1" s="596"/>
      <c r="BF1" s="596"/>
      <c r="BG1" s="596"/>
      <c r="BH1" s="596"/>
      <c r="BI1" s="595"/>
      <c r="BJ1" s="605" t="str">
        <f>CONCATENATE($G$1," - Volume Weighted EMA (Trend Finder)")</f>
        <v>Nifty - Volume Weighted EMA (Trend Finder)</v>
      </c>
      <c r="BK1" s="606"/>
      <c r="BL1" s="606"/>
      <c r="BM1" s="606"/>
      <c r="BN1" s="606"/>
      <c r="BO1" s="606"/>
      <c r="BP1" s="606"/>
      <c r="BQ1" s="607"/>
      <c r="BR1" s="594" t="str">
        <f>CONCATENATE($F$1," - Volume Weighted SMA Crossover (Entries &amp; Exits)")</f>
        <v>BNF - Volume Weighted SMA Crossover (Entries &amp; Exits)</v>
      </c>
      <c r="BS1" s="596"/>
      <c r="BT1" s="596"/>
      <c r="BU1" s="596"/>
      <c r="BV1" s="596"/>
      <c r="BW1" s="596"/>
      <c r="BX1" s="596"/>
      <c r="BY1" s="595"/>
      <c r="BZ1" s="605" t="str">
        <f>CONCATENATE($G$1," - Volume Weighted SMA Crossover (Entries &amp; Exits)")</f>
        <v>Nifty - Volume Weighted SMA Crossover (Entries &amp; Exits)</v>
      </c>
      <c r="CA1" s="606"/>
      <c r="CB1" s="606"/>
      <c r="CC1" s="606"/>
      <c r="CD1" s="606"/>
      <c r="CE1" s="606"/>
      <c r="CF1" s="606"/>
      <c r="CG1" s="607"/>
      <c r="CH1" s="596" t="str">
        <f>CONCATENATE($F$1," - Volume Weighted MACD (12,26,9)")</f>
        <v>BNF - Volume Weighted MACD (12,26,9)</v>
      </c>
      <c r="CI1" s="596"/>
      <c r="CJ1" s="596"/>
      <c r="CK1" s="596"/>
      <c r="CL1" s="596"/>
      <c r="CM1" s="596"/>
      <c r="CN1" s="596"/>
      <c r="CO1" s="596"/>
      <c r="CP1" s="596"/>
      <c r="CQ1" s="605" t="str">
        <f>CONCATENATE($G$1," - Volume Weighted MACD (12,26,9)")</f>
        <v>Nifty - Volume Weighted MACD (12,26,9)</v>
      </c>
      <c r="CR1" s="606"/>
      <c r="CS1" s="606"/>
      <c r="CT1" s="606"/>
      <c r="CU1" s="606"/>
      <c r="CV1" s="606"/>
      <c r="CW1" s="606"/>
      <c r="CX1" s="606"/>
      <c r="CY1" s="607"/>
      <c r="CZ1" s="596" t="str">
        <f>CONCATENATE($F$1," - Volume Weighted Money Flow Index [MFI] (14) [with Entries &amp; Exits]")</f>
        <v>BNF - Volume Weighted Money Flow Index [MFI] (14) [with Entries &amp; Exits]</v>
      </c>
      <c r="DA1" s="596"/>
      <c r="DB1" s="596"/>
      <c r="DC1" s="596"/>
      <c r="DD1" s="596"/>
      <c r="DE1" s="596"/>
      <c r="DF1" s="596"/>
      <c r="DG1" s="596"/>
      <c r="DH1" s="595"/>
      <c r="DI1" s="605" t="str">
        <f>CONCATENATE($G$1," - Volume Weighted Money Flow Index [MFI] (14) [with Entries &amp; Exits]")</f>
        <v>Nifty - Volume Weighted Money Flow Index [MFI] (14) [with Entries &amp; Exits]</v>
      </c>
      <c r="DJ1" s="606"/>
      <c r="DK1" s="606"/>
      <c r="DL1" s="606"/>
      <c r="DM1" s="606"/>
      <c r="DN1" s="606"/>
      <c r="DO1" s="606"/>
      <c r="DP1" s="606"/>
      <c r="DQ1" s="607"/>
      <c r="DR1" s="594" t="str">
        <f>CONCATENATE($F$1," - MM (Market Normalisation) with Volume Weighted ATR (21) for Positional Trades")</f>
        <v>BNF - MM (Market Normalisation) with Volume Weighted ATR (21) for Positional Trades</v>
      </c>
      <c r="DS1" s="596"/>
      <c r="DT1" s="596"/>
      <c r="DU1" s="596"/>
      <c r="DV1" s="596"/>
      <c r="DW1" s="596"/>
      <c r="DX1" s="596"/>
      <c r="DY1" s="596"/>
      <c r="DZ1" s="595"/>
      <c r="EA1" s="605" t="str">
        <f>CONCATENATE($G$1," - MM (Market Normalisation) with Volume Weighted ATR (21) for Positional Trades")</f>
        <v>Nifty - MM (Market Normalisation) with Volume Weighted ATR (21) for Positional Trades</v>
      </c>
      <c r="EB1" s="606"/>
      <c r="EC1" s="606"/>
      <c r="ED1" s="606"/>
      <c r="EE1" s="606"/>
      <c r="EF1" s="606"/>
      <c r="EG1" s="606"/>
      <c r="EH1" s="606"/>
      <c r="EI1" s="606"/>
      <c r="EJ1" s="646" t="str">
        <f>CONCATENATE($F$1," - MM (Market Normalisation) with Volume Weighted ATR (8) for IntraDay Trades")</f>
        <v>BNF - MM (Market Normalisation) with Volume Weighted ATR (8) for IntraDay Trades</v>
      </c>
      <c r="EK1" s="644"/>
      <c r="EL1" s="644"/>
      <c r="EM1" s="644"/>
      <c r="EN1" s="644"/>
      <c r="EO1" s="644"/>
      <c r="EP1" s="644"/>
      <c r="EQ1" s="644"/>
      <c r="ER1" s="645"/>
      <c r="ES1" s="720" t="str">
        <f>CONCATENATE($G$1," - MM (Market Normalisation) with Volume Weighted ATR (8) for IntraDay Trades")</f>
        <v>Nifty - MM (Market Normalisation) with Volume Weighted ATR (8) for IntraDay Trades</v>
      </c>
      <c r="ET1" s="621"/>
      <c r="EU1" s="621"/>
      <c r="EV1" s="621"/>
      <c r="EW1" s="621"/>
      <c r="EX1" s="621"/>
      <c r="EY1" s="621"/>
      <c r="EZ1" s="621"/>
      <c r="FA1" s="622"/>
      <c r="FB1" s="594" t="str">
        <f>CONCATENATE($F$1," - Strength /Weakness")</f>
        <v>BNF - Strength /Weakness</v>
      </c>
      <c r="FC1" s="595"/>
      <c r="FD1" s="605" t="str">
        <f>CONCATENATE($G$1," - Strength /Weakness")</f>
        <v>Nifty - Strength /Weakness</v>
      </c>
      <c r="FE1" s="607"/>
      <c r="FF1" s="643" t="str">
        <f>CONCATENATE($F$1," - High-Low Range Average for ORB")</f>
        <v>BNF - High-Low Range Average for ORB</v>
      </c>
      <c r="FG1" s="644"/>
      <c r="FH1" s="644"/>
      <c r="FI1" s="644"/>
      <c r="FJ1" s="645"/>
      <c r="FK1" s="620" t="str">
        <f>CONCATENATE($G$1," - High-Low Range Average for ORB")</f>
        <v>Nifty - High-Low Range Average for ORB</v>
      </c>
      <c r="FL1" s="621"/>
      <c r="FM1" s="621"/>
      <c r="FN1" s="621"/>
      <c r="FO1" s="622"/>
      <c r="FP1" s="297" t="str">
        <f>CONCATENATE($F$1," - B/SED")</f>
        <v>BNF - B/SED</v>
      </c>
      <c r="FQ1" s="183" t="str">
        <f>CONCATENATE($G$1," - B/SED")</f>
        <v>Nifty - B/SED</v>
      </c>
      <c r="FR1" s="594" t="str">
        <f>CONCATENATE($F$1," - CMI")</f>
        <v>BNF - CMI</v>
      </c>
      <c r="FS1" s="595"/>
      <c r="FT1" s="605" t="str">
        <f>CONCATENATE($G$1," - CMI")</f>
        <v>Nifty - CMI</v>
      </c>
      <c r="FU1" s="607"/>
      <c r="FV1" s="594" t="str">
        <f>CONCATENATE($F$1," - CMI")</f>
        <v>BNF - CMI</v>
      </c>
      <c r="FW1" s="595"/>
      <c r="FX1" s="605" t="str">
        <f>CONCATENATE($G$1," - CMI")</f>
        <v>Nifty - CMI</v>
      </c>
      <c r="FY1" s="607"/>
    </row>
    <row r="2" spans="1:184" ht="56.95" customHeight="1" thickBot="1" x14ac:dyDescent="0.35">
      <c r="A2" s="680" t="s">
        <v>12</v>
      </c>
      <c r="B2" s="681"/>
      <c r="C2" s="682"/>
      <c r="D2" s="693" t="s">
        <v>9</v>
      </c>
      <c r="E2" s="694"/>
      <c r="F2" s="693" t="s">
        <v>10</v>
      </c>
      <c r="G2" s="694"/>
      <c r="L2" s="700"/>
      <c r="M2" s="697" t="s">
        <v>14</v>
      </c>
      <c r="N2" s="631" t="str">
        <f>CONCATENATE($F$1,"
Open")</f>
        <v>BNF
Open</v>
      </c>
      <c r="O2" s="631" t="str">
        <f>CONCATENATE($F$1,"
High")</f>
        <v>BNF
High</v>
      </c>
      <c r="P2" s="631" t="str">
        <f>CONCATENATE($F$1,"
Low")</f>
        <v>BNF
Low</v>
      </c>
      <c r="Q2" s="631" t="str">
        <f>CONCATENATE($F$1,"
Close")</f>
        <v>BNF
Close</v>
      </c>
      <c r="R2" s="689" t="str">
        <f>CONCATENATE($F$1,"
Volume")</f>
        <v>BNF
Volume</v>
      </c>
      <c r="S2" s="695" t="s">
        <v>14</v>
      </c>
      <c r="T2" s="637" t="str">
        <f>CONCATENATE($G$1,"
Open")</f>
        <v>Nifty
Open</v>
      </c>
      <c r="U2" s="637" t="str">
        <f>CONCATENATE($G$1,"
High")</f>
        <v>Nifty
High</v>
      </c>
      <c r="V2" s="637" t="str">
        <f>CONCATENATE($G$1,"
Low")</f>
        <v>Nifty
Low</v>
      </c>
      <c r="W2" s="637" t="str">
        <f>CONCATENATE($G$1,"
Close")</f>
        <v>Nifty
Close</v>
      </c>
      <c r="X2" s="664" t="str">
        <f>CONCATENATE($G$1,"
Volume")</f>
        <v>Nifty
Volume</v>
      </c>
      <c r="Y2" s="4"/>
      <c r="Z2" s="647" t="str">
        <f>CONCATENATE($F$1,"
Log (Curr. Close / Prev. Close)
[% Change (Close)]")</f>
        <v>BNF
Log (Curr. Close / Prev. Close)
[% Change (Close)]</v>
      </c>
      <c r="AA2" s="664" t="str">
        <f>CONCATENATE($G$1,"
Log (Curr. Close / Prev. Close)
[% Change (Close)]")</f>
        <v>Nifty
Log (Curr. Close / Prev. Close)
[% Change (Close)]</v>
      </c>
      <c r="AB2" s="662" t="str">
        <f>CONCATENATE($F$1," &amp; Nifty
(21 Day)")</f>
        <v>BNF &amp; Nifty
(21 Day)</v>
      </c>
      <c r="AC2" s="625" t="str">
        <f>CONCATENATE($G$1," &amp; Nifty
(21 Day)")</f>
        <v>Nifty &amp; Nifty
(21 Day)</v>
      </c>
      <c r="AD2" s="725" t="str">
        <f>CONCATENATE($F$1,"
% Change with (-1) Lag (Close)")</f>
        <v>BNF
% Change with (-1) Lag (Close)</v>
      </c>
      <c r="AE2" s="727" t="str">
        <f>CONCATENATE($F$1,"
Autocorrelation
(21 Day)")</f>
        <v>BNF
Autocorrelation
(21 Day)</v>
      </c>
      <c r="AF2" s="635" t="str">
        <f>CONCATENATE($G$1,"
% Change with (-1) Lag (Close)")</f>
        <v>Nifty
% Change with (-1) Lag (Close)</v>
      </c>
      <c r="AG2" s="727" t="str">
        <f>CONCATENATE($G$1,"
Autocorrelation
(21 Day)")</f>
        <v>Nifty
Autocorrelation
(21 Day)</v>
      </c>
      <c r="AH2" s="670" t="s">
        <v>274</v>
      </c>
      <c r="AI2" s="641" t="s">
        <v>15</v>
      </c>
      <c r="AJ2" s="641" t="s">
        <v>16</v>
      </c>
      <c r="AK2" s="678" t="s">
        <v>275</v>
      </c>
      <c r="AL2" s="635" t="s">
        <v>274</v>
      </c>
      <c r="AM2" s="616" t="s">
        <v>15</v>
      </c>
      <c r="AN2" s="616" t="s">
        <v>16</v>
      </c>
      <c r="AO2" s="668" t="s">
        <v>275</v>
      </c>
      <c r="AP2" s="670" t="s">
        <v>231</v>
      </c>
      <c r="AQ2" s="641" t="s">
        <v>15</v>
      </c>
      <c r="AR2" s="641" t="s">
        <v>16</v>
      </c>
      <c r="AS2" s="618" t="s">
        <v>232</v>
      </c>
      <c r="AT2" s="635" t="s">
        <v>231</v>
      </c>
      <c r="AU2" s="616" t="s">
        <v>15</v>
      </c>
      <c r="AV2" s="616" t="s">
        <v>16</v>
      </c>
      <c r="AW2" s="614" t="s">
        <v>232</v>
      </c>
      <c r="AX2" s="647" t="s">
        <v>186</v>
      </c>
      <c r="AY2" s="649" t="s">
        <v>283</v>
      </c>
      <c r="AZ2" s="655" t="s">
        <v>186</v>
      </c>
      <c r="BA2" s="666" t="s">
        <v>283</v>
      </c>
      <c r="BB2" s="647" t="s">
        <v>185</v>
      </c>
      <c r="BC2" s="631" t="s">
        <v>187</v>
      </c>
      <c r="BD2" s="629" t="s">
        <v>284</v>
      </c>
      <c r="BE2" s="631" t="s">
        <v>152</v>
      </c>
      <c r="BF2" s="631" t="s">
        <v>184</v>
      </c>
      <c r="BG2" s="631" t="s">
        <v>194</v>
      </c>
      <c r="BH2" s="631" t="s">
        <v>195</v>
      </c>
      <c r="BI2" s="710" t="s">
        <v>285</v>
      </c>
      <c r="BJ2" s="655" t="s">
        <v>185</v>
      </c>
      <c r="BK2" s="637" t="s">
        <v>187</v>
      </c>
      <c r="BL2" s="639" t="s">
        <v>284</v>
      </c>
      <c r="BM2" s="637" t="s">
        <v>152</v>
      </c>
      <c r="BN2" s="637" t="s">
        <v>184</v>
      </c>
      <c r="BO2" s="637" t="s">
        <v>194</v>
      </c>
      <c r="BP2" s="637" t="s">
        <v>195</v>
      </c>
      <c r="BQ2" s="731" t="s">
        <v>285</v>
      </c>
      <c r="BR2" s="725" t="s">
        <v>341</v>
      </c>
      <c r="BS2" s="641" t="s">
        <v>342</v>
      </c>
      <c r="BT2" s="653" t="s">
        <v>223</v>
      </c>
      <c r="BU2" s="649" t="s">
        <v>337</v>
      </c>
      <c r="BV2" s="649" t="s">
        <v>339</v>
      </c>
      <c r="BW2" s="653" t="s">
        <v>225</v>
      </c>
      <c r="BX2" s="649" t="s">
        <v>338</v>
      </c>
      <c r="BY2" s="651" t="s">
        <v>340</v>
      </c>
      <c r="BZ2" s="655" t="s">
        <v>341</v>
      </c>
      <c r="CA2" s="616" t="s">
        <v>342</v>
      </c>
      <c r="CB2" s="653" t="s">
        <v>223</v>
      </c>
      <c r="CC2" s="649" t="s">
        <v>337</v>
      </c>
      <c r="CD2" s="649" t="s">
        <v>339</v>
      </c>
      <c r="CE2" s="653" t="s">
        <v>225</v>
      </c>
      <c r="CF2" s="649" t="s">
        <v>338</v>
      </c>
      <c r="CG2" s="651" t="s">
        <v>340</v>
      </c>
      <c r="CH2" s="718" t="s">
        <v>198</v>
      </c>
      <c r="CI2" s="631" t="s">
        <v>199</v>
      </c>
      <c r="CJ2" s="631" t="s">
        <v>196</v>
      </c>
      <c r="CK2" s="631" t="s">
        <v>200</v>
      </c>
      <c r="CL2" s="631" t="s">
        <v>201</v>
      </c>
      <c r="CM2" s="631" t="s">
        <v>197</v>
      </c>
      <c r="CN2" s="629" t="s">
        <v>286</v>
      </c>
      <c r="CO2" s="629" t="s">
        <v>288</v>
      </c>
      <c r="CP2" s="733" t="s">
        <v>287</v>
      </c>
      <c r="CQ2" s="655" t="s">
        <v>198</v>
      </c>
      <c r="CR2" s="637" t="s">
        <v>204</v>
      </c>
      <c r="CS2" s="637" t="s">
        <v>202</v>
      </c>
      <c r="CT2" s="637" t="s">
        <v>200</v>
      </c>
      <c r="CU2" s="637" t="s">
        <v>203</v>
      </c>
      <c r="CV2" s="637" t="s">
        <v>205</v>
      </c>
      <c r="CW2" s="639" t="s">
        <v>286</v>
      </c>
      <c r="CX2" s="639" t="s">
        <v>288</v>
      </c>
      <c r="CY2" s="731" t="s">
        <v>287</v>
      </c>
      <c r="CZ2" s="601" t="s">
        <v>206</v>
      </c>
      <c r="DA2" s="603" t="s">
        <v>208</v>
      </c>
      <c r="DB2" s="603" t="s">
        <v>209</v>
      </c>
      <c r="DC2" s="603" t="s">
        <v>289</v>
      </c>
      <c r="DD2" s="603" t="s">
        <v>290</v>
      </c>
      <c r="DE2" s="603" t="s">
        <v>207</v>
      </c>
      <c r="DF2" s="597" t="s">
        <v>291</v>
      </c>
      <c r="DG2" s="612" t="s">
        <v>327</v>
      </c>
      <c r="DH2" s="716" t="s">
        <v>328</v>
      </c>
      <c r="DI2" s="599" t="s">
        <v>206</v>
      </c>
      <c r="DJ2" s="627" t="s">
        <v>208</v>
      </c>
      <c r="DK2" s="627" t="s">
        <v>209</v>
      </c>
      <c r="DL2" s="627" t="s">
        <v>289</v>
      </c>
      <c r="DM2" s="627" t="s">
        <v>290</v>
      </c>
      <c r="DN2" s="627" t="s">
        <v>207</v>
      </c>
      <c r="DO2" s="714" t="s">
        <v>291</v>
      </c>
      <c r="DP2" s="612" t="s">
        <v>327</v>
      </c>
      <c r="DQ2" s="716" t="s">
        <v>328</v>
      </c>
      <c r="DR2" s="725" t="s">
        <v>17</v>
      </c>
      <c r="DS2" s="641" t="s">
        <v>212</v>
      </c>
      <c r="DT2" s="641" t="s">
        <v>213</v>
      </c>
      <c r="DU2" s="641" t="s">
        <v>210</v>
      </c>
      <c r="DV2" s="723" t="s">
        <v>211</v>
      </c>
      <c r="DW2" s="641" t="s">
        <v>18</v>
      </c>
      <c r="DX2" s="641" t="str">
        <f>CONCATENATE("Contract Risk
(Unit)
[",'Base Data'!$D$10,"N]")</f>
        <v>Contract Risk
(Unit)
[2N]</v>
      </c>
      <c r="DY2" s="723" t="str">
        <f>CONCATENATE("Max. Lots that can be Traded with a Unit of
Rs. ",'Base Data'!$D$7,"
[No. of Lots]")</f>
        <v>Max. Lots that can be Traded with a Unit of
Rs. 10500
[No. of Lots]</v>
      </c>
      <c r="DZ2" s="610" t="s">
        <v>215</v>
      </c>
      <c r="EA2" s="635" t="s">
        <v>17</v>
      </c>
      <c r="EB2" s="616" t="s">
        <v>212</v>
      </c>
      <c r="EC2" s="616" t="s">
        <v>213</v>
      </c>
      <c r="ED2" s="616" t="s">
        <v>210</v>
      </c>
      <c r="EE2" s="712" t="s">
        <v>211</v>
      </c>
      <c r="EF2" s="616" t="s">
        <v>18</v>
      </c>
      <c r="EG2" s="616" t="str">
        <f>CONCATENATE("Contract Risk
(Unit)
[",'Base Data'!$D$10,"N]")</f>
        <v>Contract Risk
(Unit)
[2N]</v>
      </c>
      <c r="EH2" s="712" t="str">
        <f>CONCATENATE("Max. Lots that can be Traded with a Unit of
Rs. ",'Base Data'!$D$7,"
[No. of Lots]")</f>
        <v>Max. Lots that can be Traded with a Unit of
Rs. 10500
[No. of Lots]</v>
      </c>
      <c r="EI2" s="721" t="s">
        <v>215</v>
      </c>
      <c r="EJ2" s="647" t="s">
        <v>17</v>
      </c>
      <c r="EK2" s="631" t="s">
        <v>212</v>
      </c>
      <c r="EL2" s="631" t="s">
        <v>216</v>
      </c>
      <c r="EM2" s="631" t="s">
        <v>217</v>
      </c>
      <c r="EN2" s="629" t="s">
        <v>221</v>
      </c>
      <c r="EO2" s="631" t="s">
        <v>18</v>
      </c>
      <c r="EP2" s="631" t="str">
        <f>CONCATENATE("Contract Risk
(Unit)
[",'Base Data'!$D$13,"N]")</f>
        <v>Contract Risk
(Unit)
[0.75N]</v>
      </c>
      <c r="EQ2" s="629" t="str">
        <f>CONCATENATE("Max. Lots that can be Traded with a Unit of
Rs. ",'Base Data'!$D$7,"
[No. of Lots]")</f>
        <v>Max. Lots that can be Traded with a Unit of
Rs. 10500
[No. of Lots]</v>
      </c>
      <c r="ER2" s="710" t="s">
        <v>218</v>
      </c>
      <c r="ES2" s="729" t="s">
        <v>17</v>
      </c>
      <c r="ET2" s="637" t="s">
        <v>212</v>
      </c>
      <c r="EU2" s="637" t="s">
        <v>216</v>
      </c>
      <c r="EV2" s="637" t="s">
        <v>217</v>
      </c>
      <c r="EW2" s="639" t="s">
        <v>221</v>
      </c>
      <c r="EX2" s="637" t="s">
        <v>18</v>
      </c>
      <c r="EY2" s="637" t="str">
        <f>CONCATENATE("Contract Risk
(Unit)
[",'Base Data'!$D$13,"N]")</f>
        <v>Contract Risk
(Unit)
[0.75N]</v>
      </c>
      <c r="EZ2" s="639" t="str">
        <f>CONCATENATE("Max. Lots that can be Traded with a Unit of
Rs. ",'Base Data'!$D$7,"
[No. of Lots]")</f>
        <v>Max. Lots that can be Traded with a Unit of
Rs. 10500
[No. of Lots]</v>
      </c>
      <c r="FA2" s="614" t="s">
        <v>218</v>
      </c>
      <c r="FB2" s="608" t="s">
        <v>227</v>
      </c>
      <c r="FC2" s="651" t="s">
        <v>228</v>
      </c>
      <c r="FD2" s="608" t="s">
        <v>227</v>
      </c>
      <c r="FE2" s="651" t="s">
        <v>228</v>
      </c>
      <c r="FF2" s="670" t="s">
        <v>106</v>
      </c>
      <c r="FG2" s="641" t="s">
        <v>105</v>
      </c>
      <c r="FH2" s="633" t="s">
        <v>296</v>
      </c>
      <c r="FI2" s="633" t="s">
        <v>297</v>
      </c>
      <c r="FJ2" s="625" t="s">
        <v>298</v>
      </c>
      <c r="FK2" s="635" t="s">
        <v>106</v>
      </c>
      <c r="FL2" s="616" t="s">
        <v>105</v>
      </c>
      <c r="FM2" s="633" t="s">
        <v>296</v>
      </c>
      <c r="FN2" s="633" t="s">
        <v>297</v>
      </c>
      <c r="FO2" s="625" t="s">
        <v>298</v>
      </c>
      <c r="FP2" s="610" t="s">
        <v>117</v>
      </c>
      <c r="FQ2" s="623" t="s">
        <v>117</v>
      </c>
      <c r="FR2" s="608" t="s">
        <v>222</v>
      </c>
      <c r="FS2" s="618" t="s">
        <v>126</v>
      </c>
      <c r="FT2" s="608" t="s">
        <v>222</v>
      </c>
      <c r="FU2" s="614" t="s">
        <v>126</v>
      </c>
      <c r="FV2" s="608" t="s">
        <v>299</v>
      </c>
      <c r="FW2" s="618" t="s">
        <v>126</v>
      </c>
      <c r="FX2" s="608" t="s">
        <v>299</v>
      </c>
      <c r="FY2" s="614" t="s">
        <v>126</v>
      </c>
      <c r="GA2" s="2" t="s">
        <v>348</v>
      </c>
      <c r="GB2" s="2" t="s">
        <v>349</v>
      </c>
    </row>
    <row r="3" spans="1:184" ht="15.9" customHeight="1" thickBot="1" x14ac:dyDescent="0.35">
      <c r="A3" s="683"/>
      <c r="B3" s="684"/>
      <c r="C3" s="684"/>
      <c r="D3" s="89" t="str">
        <f>$F$1</f>
        <v>BNF</v>
      </c>
      <c r="E3" s="90" t="str">
        <f>$G$1</f>
        <v>Nifty</v>
      </c>
      <c r="F3" s="177" t="str">
        <f>$F$1</f>
        <v>BNF</v>
      </c>
      <c r="G3" s="90" t="str">
        <f>$G$1</f>
        <v>Nifty</v>
      </c>
      <c r="L3" s="701"/>
      <c r="M3" s="698"/>
      <c r="N3" s="632"/>
      <c r="O3" s="632"/>
      <c r="P3" s="632"/>
      <c r="Q3" s="632"/>
      <c r="R3" s="690"/>
      <c r="S3" s="696"/>
      <c r="T3" s="638"/>
      <c r="U3" s="638"/>
      <c r="V3" s="638"/>
      <c r="W3" s="638"/>
      <c r="X3" s="665"/>
      <c r="Y3" s="114"/>
      <c r="Z3" s="648"/>
      <c r="AA3" s="665"/>
      <c r="AB3" s="663"/>
      <c r="AC3" s="626"/>
      <c r="AD3" s="726"/>
      <c r="AE3" s="728"/>
      <c r="AF3" s="636"/>
      <c r="AG3" s="728"/>
      <c r="AH3" s="671"/>
      <c r="AI3" s="642"/>
      <c r="AJ3" s="642"/>
      <c r="AK3" s="679"/>
      <c r="AL3" s="636"/>
      <c r="AM3" s="617"/>
      <c r="AN3" s="617"/>
      <c r="AO3" s="669"/>
      <c r="AP3" s="671"/>
      <c r="AQ3" s="642"/>
      <c r="AR3" s="642"/>
      <c r="AS3" s="619"/>
      <c r="AT3" s="636"/>
      <c r="AU3" s="617"/>
      <c r="AV3" s="617"/>
      <c r="AW3" s="615"/>
      <c r="AX3" s="648"/>
      <c r="AY3" s="650"/>
      <c r="AZ3" s="656"/>
      <c r="BA3" s="667"/>
      <c r="BB3" s="648"/>
      <c r="BC3" s="632"/>
      <c r="BD3" s="630"/>
      <c r="BE3" s="632"/>
      <c r="BF3" s="632"/>
      <c r="BG3" s="632"/>
      <c r="BH3" s="632"/>
      <c r="BI3" s="711"/>
      <c r="BJ3" s="656"/>
      <c r="BK3" s="638"/>
      <c r="BL3" s="640"/>
      <c r="BM3" s="638"/>
      <c r="BN3" s="638"/>
      <c r="BO3" s="638"/>
      <c r="BP3" s="638"/>
      <c r="BQ3" s="732"/>
      <c r="BR3" s="726"/>
      <c r="BS3" s="642"/>
      <c r="BT3" s="654"/>
      <c r="BU3" s="650"/>
      <c r="BV3" s="650"/>
      <c r="BW3" s="654"/>
      <c r="BX3" s="650"/>
      <c r="BY3" s="652"/>
      <c r="BZ3" s="656"/>
      <c r="CA3" s="617"/>
      <c r="CB3" s="654"/>
      <c r="CC3" s="650"/>
      <c r="CD3" s="650"/>
      <c r="CE3" s="654"/>
      <c r="CF3" s="650"/>
      <c r="CG3" s="652"/>
      <c r="CH3" s="719"/>
      <c r="CI3" s="632"/>
      <c r="CJ3" s="632"/>
      <c r="CK3" s="632"/>
      <c r="CL3" s="632"/>
      <c r="CM3" s="632"/>
      <c r="CN3" s="630"/>
      <c r="CO3" s="630"/>
      <c r="CP3" s="734"/>
      <c r="CQ3" s="656"/>
      <c r="CR3" s="638"/>
      <c r="CS3" s="638"/>
      <c r="CT3" s="638"/>
      <c r="CU3" s="638"/>
      <c r="CV3" s="638"/>
      <c r="CW3" s="640"/>
      <c r="CX3" s="640"/>
      <c r="CY3" s="732"/>
      <c r="CZ3" s="602"/>
      <c r="DA3" s="604"/>
      <c r="DB3" s="604"/>
      <c r="DC3" s="604"/>
      <c r="DD3" s="604"/>
      <c r="DE3" s="604"/>
      <c r="DF3" s="598"/>
      <c r="DG3" s="613"/>
      <c r="DH3" s="717"/>
      <c r="DI3" s="600"/>
      <c r="DJ3" s="628"/>
      <c r="DK3" s="628"/>
      <c r="DL3" s="628"/>
      <c r="DM3" s="628"/>
      <c r="DN3" s="628"/>
      <c r="DO3" s="715"/>
      <c r="DP3" s="613"/>
      <c r="DQ3" s="717"/>
      <c r="DR3" s="726"/>
      <c r="DS3" s="642"/>
      <c r="DT3" s="642"/>
      <c r="DU3" s="642"/>
      <c r="DV3" s="724"/>
      <c r="DW3" s="642"/>
      <c r="DX3" s="642"/>
      <c r="DY3" s="724"/>
      <c r="DZ3" s="611"/>
      <c r="EA3" s="636"/>
      <c r="EB3" s="617"/>
      <c r="EC3" s="617"/>
      <c r="ED3" s="617"/>
      <c r="EE3" s="713"/>
      <c r="EF3" s="617"/>
      <c r="EG3" s="617"/>
      <c r="EH3" s="713"/>
      <c r="EI3" s="722"/>
      <c r="EJ3" s="648"/>
      <c r="EK3" s="632"/>
      <c r="EL3" s="632"/>
      <c r="EM3" s="632"/>
      <c r="EN3" s="630"/>
      <c r="EO3" s="632"/>
      <c r="EP3" s="632"/>
      <c r="EQ3" s="630"/>
      <c r="ER3" s="711"/>
      <c r="ES3" s="730"/>
      <c r="ET3" s="638"/>
      <c r="EU3" s="638"/>
      <c r="EV3" s="638"/>
      <c r="EW3" s="640"/>
      <c r="EX3" s="638"/>
      <c r="EY3" s="638"/>
      <c r="EZ3" s="640"/>
      <c r="FA3" s="615"/>
      <c r="FB3" s="609"/>
      <c r="FC3" s="652"/>
      <c r="FD3" s="609"/>
      <c r="FE3" s="652"/>
      <c r="FF3" s="671"/>
      <c r="FG3" s="642"/>
      <c r="FH3" s="634"/>
      <c r="FI3" s="634"/>
      <c r="FJ3" s="626"/>
      <c r="FK3" s="636"/>
      <c r="FL3" s="617"/>
      <c r="FM3" s="634"/>
      <c r="FN3" s="634"/>
      <c r="FO3" s="626"/>
      <c r="FP3" s="611"/>
      <c r="FQ3" s="624"/>
      <c r="FR3" s="609"/>
      <c r="FS3" s="619"/>
      <c r="FT3" s="609"/>
      <c r="FU3" s="615"/>
      <c r="FV3" s="609"/>
      <c r="FW3" s="619"/>
      <c r="FX3" s="609"/>
      <c r="FY3" s="615"/>
    </row>
    <row r="4" spans="1:184" x14ac:dyDescent="0.3">
      <c r="A4" s="704" t="s">
        <v>19</v>
      </c>
      <c r="B4" s="705"/>
      <c r="C4" s="705"/>
      <c r="D4" s="175">
        <f>$Q$69</f>
        <v>25845.55</v>
      </c>
      <c r="E4" s="180">
        <f>$W$69</f>
        <v>10619.8</v>
      </c>
      <c r="F4" s="178">
        <f>VLOOKUP(D1,'[3]Margin - NSE Fut (5Paisa)'!$A:$K,2,FALSE)</f>
        <v>20</v>
      </c>
      <c r="G4" s="176">
        <f>VLOOKUP(E1,'[3]Margin - NSE Fut (5Paisa)'!$A:$K,2,FALSE)</f>
        <v>75</v>
      </c>
      <c r="J4" s="473"/>
      <c r="L4" s="278">
        <v>1</v>
      </c>
      <c r="M4" s="290">
        <f>'[4]BANKNIFTY-I'!C20</f>
        <v>42794</v>
      </c>
      <c r="N4" s="7">
        <f>'[4]BANKNIFTY-I'!D20</f>
        <v>20680.099999999999</v>
      </c>
      <c r="O4" s="7">
        <f>'[4]BANKNIFTY-I'!E20</f>
        <v>20746.599999999999</v>
      </c>
      <c r="P4" s="7">
        <f>'[4]BANKNIFTY-I'!F20</f>
        <v>20635.099999999999</v>
      </c>
      <c r="Q4" s="7">
        <f>'[4]BANKNIFTY-I'!G20</f>
        <v>20681.45</v>
      </c>
      <c r="R4" s="11">
        <f>'[4]BANKNIFTY-I'!H20</f>
        <v>45510</v>
      </c>
      <c r="S4" s="291">
        <f>'[5]NIFTY-I'!C20</f>
        <v>42794</v>
      </c>
      <c r="T4" s="9">
        <f>'[5]NIFTY-I'!D20</f>
        <v>8921.5</v>
      </c>
      <c r="U4" s="9">
        <f>'[5]NIFTY-I'!E20</f>
        <v>8938.4500000000007</v>
      </c>
      <c r="V4" s="9">
        <f>'[5]NIFTY-I'!F20</f>
        <v>8884.15</v>
      </c>
      <c r="W4" s="9">
        <f>'[5]NIFTY-I'!G20</f>
        <v>8909.35</v>
      </c>
      <c r="X4" s="12">
        <f>'[5]NIFTY-I'!H20</f>
        <v>88565</v>
      </c>
      <c r="Y4" s="115"/>
      <c r="Z4" s="523">
        <v>0</v>
      </c>
      <c r="AA4" s="12">
        <v>0</v>
      </c>
      <c r="AB4" s="303">
        <v>0</v>
      </c>
      <c r="AC4" s="304">
        <v>0</v>
      </c>
      <c r="AD4" s="127">
        <f t="shared" ref="AD4:AD35" si="0">Z5</f>
        <v>7.970491334420229E-3</v>
      </c>
      <c r="AE4" s="516" t="s">
        <v>20</v>
      </c>
      <c r="AF4" s="448">
        <f t="shared" ref="AF4:AF35" si="1">AA5</f>
        <v>7.4586320928160055E-3</v>
      </c>
      <c r="AG4" s="521" t="s">
        <v>20</v>
      </c>
      <c r="AH4" s="10">
        <v>0</v>
      </c>
      <c r="AI4" s="7">
        <v>0</v>
      </c>
      <c r="AJ4" s="7">
        <v>0</v>
      </c>
      <c r="AK4" s="313">
        <v>0</v>
      </c>
      <c r="AL4" s="465">
        <v>0</v>
      </c>
      <c r="AM4" s="9">
        <v>0</v>
      </c>
      <c r="AN4" s="9">
        <v>0</v>
      </c>
      <c r="AO4" s="324">
        <v>0</v>
      </c>
      <c r="AP4" s="10">
        <f t="shared" ref="AP4:AP35" si="2">IF(P4=0,0,LN(O4/P4))</f>
        <v>5.3888685012444528E-3</v>
      </c>
      <c r="AQ4" s="7">
        <v>0</v>
      </c>
      <c r="AR4" s="7">
        <v>0</v>
      </c>
      <c r="AS4" s="313">
        <v>0</v>
      </c>
      <c r="AT4" s="448">
        <f t="shared" ref="AT4:AT35" si="3">IF(V4=0,0,LN(U4/V4))</f>
        <v>6.0934059016436049E-3</v>
      </c>
      <c r="AU4" s="9">
        <v>0</v>
      </c>
      <c r="AV4" s="9">
        <v>0</v>
      </c>
      <c r="AW4" s="324">
        <v>0</v>
      </c>
      <c r="AX4" s="6">
        <f t="shared" ref="AX4:AX35" si="4">(N4*R4)</f>
        <v>941151350.99999988</v>
      </c>
      <c r="AY4" s="318">
        <v>0</v>
      </c>
      <c r="AZ4" s="140">
        <f t="shared" ref="AZ4:AZ35" si="5">(T4*X4)</f>
        <v>790132647.5</v>
      </c>
      <c r="BA4" s="480">
        <v>0</v>
      </c>
      <c r="BB4" s="6">
        <v>0</v>
      </c>
      <c r="BC4" s="7">
        <v>0</v>
      </c>
      <c r="BD4" s="318">
        <v>0</v>
      </c>
      <c r="BE4" s="7">
        <f t="shared" ref="BE4:BE35" si="6">(O4+P4+Q4)/3</f>
        <v>20687.716666666664</v>
      </c>
      <c r="BF4" s="7">
        <f t="shared" ref="BF4:BF35" si="7">(BE4*R4)</f>
        <v>941497985.49999988</v>
      </c>
      <c r="BG4" s="7">
        <v>0</v>
      </c>
      <c r="BH4" s="7">
        <v>0</v>
      </c>
      <c r="BI4" s="313">
        <v>0</v>
      </c>
      <c r="BJ4" s="140">
        <v>0</v>
      </c>
      <c r="BK4" s="9">
        <v>0</v>
      </c>
      <c r="BL4" s="328">
        <v>0</v>
      </c>
      <c r="BM4" s="9">
        <f t="shared" ref="BM4:BM35" si="8">(U4+V4+W4)/3</f>
        <v>8910.65</v>
      </c>
      <c r="BN4" s="9">
        <f t="shared" ref="BN4:BN35" si="9">(BM4*X4)</f>
        <v>789171717.25</v>
      </c>
      <c r="BO4" s="9">
        <v>0</v>
      </c>
      <c r="BP4" s="9">
        <v>0</v>
      </c>
      <c r="BQ4" s="324">
        <v>0</v>
      </c>
      <c r="BR4" s="6">
        <f t="shared" ref="BR4:BR35" si="10">(P4*R4)</f>
        <v>939103400.99999988</v>
      </c>
      <c r="BS4" s="8">
        <f t="shared" ref="BS4:BS35" si="11">(O4*R4)</f>
        <v>944177765.99999988</v>
      </c>
      <c r="BT4" s="330">
        <v>0</v>
      </c>
      <c r="BU4" s="318">
        <v>0</v>
      </c>
      <c r="BV4" s="330"/>
      <c r="BW4" s="330">
        <v>0</v>
      </c>
      <c r="BX4" s="318">
        <v>0</v>
      </c>
      <c r="BY4" s="504"/>
      <c r="BZ4" s="140">
        <f t="shared" ref="BZ4:BZ35" si="12">(V4*X4)</f>
        <v>786824744.75</v>
      </c>
      <c r="CA4" s="142">
        <f t="shared" ref="CA4:CA35" si="13">(U4*X4)</f>
        <v>791633824.25000012</v>
      </c>
      <c r="CB4" s="338">
        <v>0</v>
      </c>
      <c r="CC4" s="328">
        <v>0</v>
      </c>
      <c r="CD4" s="338"/>
      <c r="CE4" s="338">
        <v>0</v>
      </c>
      <c r="CF4" s="328">
        <v>0</v>
      </c>
      <c r="CG4" s="502"/>
      <c r="CH4" s="8">
        <v>0</v>
      </c>
      <c r="CI4" s="7">
        <v>0</v>
      </c>
      <c r="CJ4" s="7">
        <v>0</v>
      </c>
      <c r="CK4" s="7">
        <v>0</v>
      </c>
      <c r="CL4" s="7">
        <v>0</v>
      </c>
      <c r="CM4" s="7">
        <v>0</v>
      </c>
      <c r="CN4" s="340">
        <v>0</v>
      </c>
      <c r="CO4" s="340">
        <v>0</v>
      </c>
      <c r="CP4" s="341">
        <v>0</v>
      </c>
      <c r="CQ4" s="140">
        <v>0</v>
      </c>
      <c r="CR4" s="9">
        <v>0</v>
      </c>
      <c r="CS4" s="9">
        <v>0</v>
      </c>
      <c r="CT4" s="9"/>
      <c r="CU4" s="9"/>
      <c r="CV4" s="9">
        <v>0</v>
      </c>
      <c r="CW4" s="348">
        <v>0</v>
      </c>
      <c r="CX4" s="348">
        <v>0</v>
      </c>
      <c r="CY4" s="349">
        <v>0</v>
      </c>
      <c r="CZ4" s="8">
        <v>0</v>
      </c>
      <c r="DA4" s="7">
        <v>0</v>
      </c>
      <c r="DB4" s="7">
        <v>0</v>
      </c>
      <c r="DC4" s="7">
        <v>0</v>
      </c>
      <c r="DD4" s="7">
        <v>0</v>
      </c>
      <c r="DE4" s="7">
        <v>0</v>
      </c>
      <c r="DF4" s="340">
        <v>0</v>
      </c>
      <c r="DG4" s="340">
        <v>0</v>
      </c>
      <c r="DH4" s="354">
        <v>0</v>
      </c>
      <c r="DI4" s="140">
        <v>0</v>
      </c>
      <c r="DJ4" s="9">
        <v>0</v>
      </c>
      <c r="DK4" s="9">
        <v>0</v>
      </c>
      <c r="DL4" s="9">
        <v>0</v>
      </c>
      <c r="DM4" s="9">
        <v>0</v>
      </c>
      <c r="DN4" s="9">
        <v>0</v>
      </c>
      <c r="DO4" s="348">
        <v>0</v>
      </c>
      <c r="DP4" s="348">
        <v>0</v>
      </c>
      <c r="DQ4" s="349">
        <v>0</v>
      </c>
      <c r="DR4" s="6">
        <v>0</v>
      </c>
      <c r="DS4" s="8"/>
      <c r="DT4" s="7">
        <v>0</v>
      </c>
      <c r="DU4" s="7">
        <v>0</v>
      </c>
      <c r="DV4" s="318">
        <v>0</v>
      </c>
      <c r="DW4" s="7">
        <v>0</v>
      </c>
      <c r="DX4" s="7">
        <v>0</v>
      </c>
      <c r="DY4" s="360">
        <v>0</v>
      </c>
      <c r="DZ4" s="361">
        <v>0</v>
      </c>
      <c r="EA4" s="140">
        <v>0</v>
      </c>
      <c r="EB4" s="142"/>
      <c r="EC4" s="9">
        <v>0</v>
      </c>
      <c r="ED4" s="9">
        <v>0</v>
      </c>
      <c r="EE4" s="328">
        <v>0</v>
      </c>
      <c r="EF4" s="9">
        <v>0</v>
      </c>
      <c r="EG4" s="9">
        <v>0</v>
      </c>
      <c r="EH4" s="370">
        <v>0</v>
      </c>
      <c r="EI4" s="371">
        <v>0</v>
      </c>
      <c r="EJ4" s="6">
        <v>0</v>
      </c>
      <c r="EK4" s="7"/>
      <c r="EL4" s="7">
        <v>0</v>
      </c>
      <c r="EM4" s="7">
        <v>0</v>
      </c>
      <c r="EN4" s="318">
        <v>0</v>
      </c>
      <c r="EO4" s="7">
        <v>0</v>
      </c>
      <c r="EP4" s="7">
        <v>0</v>
      </c>
      <c r="EQ4" s="369" t="s">
        <v>20</v>
      </c>
      <c r="ER4" s="380"/>
      <c r="ES4" s="142">
        <v>0</v>
      </c>
      <c r="ET4" s="9"/>
      <c r="EU4" s="9">
        <v>0</v>
      </c>
      <c r="EV4" s="9">
        <v>0</v>
      </c>
      <c r="EW4" s="328">
        <v>0</v>
      </c>
      <c r="EX4" s="9">
        <v>0</v>
      </c>
      <c r="EY4" s="9">
        <v>0</v>
      </c>
      <c r="EZ4" s="379" t="s">
        <v>20</v>
      </c>
      <c r="FA4" s="383"/>
      <c r="FB4" s="395">
        <v>0</v>
      </c>
      <c r="FC4" s="401">
        <v>0</v>
      </c>
      <c r="FD4" s="506">
        <v>0</v>
      </c>
      <c r="FE4" s="507">
        <v>0</v>
      </c>
      <c r="FF4" s="8">
        <f t="shared" ref="FF4:FF35" si="14">(O4-P4)</f>
        <v>111.5</v>
      </c>
      <c r="FG4" s="51">
        <f t="shared" ref="FG4:FG35" si="15">FF4/N4</f>
        <v>5.3916567134588327E-3</v>
      </c>
      <c r="FH4" s="387" t="s">
        <v>20</v>
      </c>
      <c r="FI4" s="387" t="s">
        <v>20</v>
      </c>
      <c r="FJ4" s="317" t="s">
        <v>20</v>
      </c>
      <c r="FK4" s="441">
        <f t="shared" ref="FK4:FK35" si="16">(U4-V4)</f>
        <v>54.300000000001091</v>
      </c>
      <c r="FL4" s="52">
        <f t="shared" ref="FL4:FL35" si="17">FK4/T4</f>
        <v>6.0864204449925562E-3</v>
      </c>
      <c r="FM4" s="393" t="s">
        <v>20</v>
      </c>
      <c r="FN4" s="393" t="s">
        <v>20</v>
      </c>
      <c r="FO4" s="386" t="s">
        <v>20</v>
      </c>
      <c r="FP4" s="361" t="s">
        <v>20</v>
      </c>
      <c r="FQ4" s="411" t="s">
        <v>20</v>
      </c>
      <c r="FR4" s="412">
        <v>0</v>
      </c>
      <c r="FS4" s="413" t="s">
        <v>20</v>
      </c>
      <c r="FT4" s="402">
        <v>0</v>
      </c>
      <c r="FU4" s="414" t="s">
        <v>20</v>
      </c>
      <c r="FV4" s="412">
        <v>0</v>
      </c>
      <c r="FW4" s="413" t="s">
        <v>20</v>
      </c>
      <c r="FX4" s="402">
        <v>0</v>
      </c>
      <c r="FY4" s="414" t="s">
        <v>20</v>
      </c>
    </row>
    <row r="5" spans="1:184" ht="11.15" thickBot="1" x14ac:dyDescent="0.35">
      <c r="A5" s="706" t="s">
        <v>108</v>
      </c>
      <c r="B5" s="707"/>
      <c r="C5" s="707"/>
      <c r="D5" s="174" t="str">
        <f>CONCATENATE($D$1,$F$5)</f>
        <v>BankNifty18NovFut</v>
      </c>
      <c r="E5" s="139" t="str">
        <f>CONCATENATE($E$1,$F$5)</f>
        <v>Nifty18NovFut</v>
      </c>
      <c r="F5" s="179" t="str">
        <f>'Base Data'!$D$1</f>
        <v>18NovFut</v>
      </c>
      <c r="G5" s="139"/>
      <c r="J5" s="476"/>
      <c r="L5" s="283">
        <f>L4+1</f>
        <v>2</v>
      </c>
      <c r="M5" s="290">
        <f>'[4]BANKNIFTY-I'!C21</f>
        <v>42795</v>
      </c>
      <c r="N5" s="7">
        <f>'[4]BANKNIFTY-I'!D21</f>
        <v>20755.05</v>
      </c>
      <c r="O5" s="7">
        <f>'[4]BANKNIFTY-I'!E21</f>
        <v>20900.400000000001</v>
      </c>
      <c r="P5" s="7">
        <f>'[4]BANKNIFTY-I'!F21</f>
        <v>20725.05</v>
      </c>
      <c r="Q5" s="7">
        <f>'[4]BANKNIFTY-I'!G21</f>
        <v>20846.95</v>
      </c>
      <c r="R5" s="11">
        <f>'[4]BANKNIFTY-I'!H21</f>
        <v>59898</v>
      </c>
      <c r="S5" s="291">
        <f>'[5]NIFTY-I'!C21</f>
        <v>42795</v>
      </c>
      <c r="T5" s="9">
        <f>'[5]NIFTY-I'!D21</f>
        <v>8924</v>
      </c>
      <c r="U5" s="9">
        <f>'[5]NIFTY-I'!E21</f>
        <v>8994</v>
      </c>
      <c r="V5" s="9">
        <f>'[5]NIFTY-I'!F21</f>
        <v>8921.7000000000007</v>
      </c>
      <c r="W5" s="9">
        <f>'[5]NIFTY-I'!G21</f>
        <v>8976.0499999999993</v>
      </c>
      <c r="X5" s="12">
        <f>'[5]NIFTY-I'!H21</f>
        <v>113075</v>
      </c>
      <c r="Y5" s="115"/>
      <c r="Z5" s="122">
        <f>IF(OR(Q4=0,Q5=0),0,LN(Q5/Q4))</f>
        <v>7.970491334420229E-3</v>
      </c>
      <c r="AA5" s="19">
        <f t="shared" ref="AA5:AA36" si="18">IF(OR(W4=0,W5=0),0,LN(W5/W4))</f>
        <v>7.4586320928160055E-3</v>
      </c>
      <c r="AB5" s="305">
        <v>0</v>
      </c>
      <c r="AC5" s="306">
        <v>0</v>
      </c>
      <c r="AD5" s="122">
        <f t="shared" si="0"/>
        <v>-1.0400737951425518E-2</v>
      </c>
      <c r="AE5" s="364" t="s">
        <v>20</v>
      </c>
      <c r="AF5" s="513">
        <f t="shared" si="1"/>
        <v>-6.5779232055210224E-3</v>
      </c>
      <c r="AG5" s="522" t="s">
        <v>20</v>
      </c>
      <c r="AH5" s="466">
        <f>IF(OR(Q4=0,Q5=0),0,LN(Q5/Q4))</f>
        <v>7.970491334420229E-3</v>
      </c>
      <c r="AI5" s="526">
        <f>AJ4</f>
        <v>0</v>
      </c>
      <c r="AJ5" s="17">
        <f>SQRT((0.94*(AI5^2))+(0.06*(AH5^2)))</f>
        <v>1.9523636768604558E-3</v>
      </c>
      <c r="AK5" s="314">
        <f>AJ5*SQRT(365)</f>
        <v>3.7299855673370755E-2</v>
      </c>
      <c r="AL5" s="467">
        <f>IF(OR(W4=0,W5=0),0,LN(W5/W4))</f>
        <v>7.4586320928160055E-3</v>
      </c>
      <c r="AM5" s="18">
        <f>AN4</f>
        <v>0</v>
      </c>
      <c r="AN5" s="18">
        <f t="shared" ref="AN5:AN36" si="19">SQRT((0.94*(AM5^2))+(0.06*(AL5^2)))</f>
        <v>1.8269842806546235E-3</v>
      </c>
      <c r="AO5" s="385">
        <f>AN5*SQRT(365)</f>
        <v>3.4904485672217954E-2</v>
      </c>
      <c r="AP5" s="10">
        <f t="shared" si="2"/>
        <v>8.4251839799189456E-3</v>
      </c>
      <c r="AQ5" s="17">
        <f>AR4</f>
        <v>0</v>
      </c>
      <c r="AR5" s="17">
        <f>SQRT((0.94*(AQ5^2))+(0.06*(AP5^2)))</f>
        <v>2.0637401739872613E-3</v>
      </c>
      <c r="AS5" s="314">
        <f>AR5*SQRT(365)</f>
        <v>3.9427700663252914E-2</v>
      </c>
      <c r="AT5" s="448">
        <f t="shared" si="3"/>
        <v>8.0711769555813669E-3</v>
      </c>
      <c r="AU5" s="18">
        <f>AV4</f>
        <v>0</v>
      </c>
      <c r="AV5" s="18">
        <f t="shared" ref="AV5:AV36" si="20">SQRT((0.94*(AU5^2))+(0.06*(AT5^2)))</f>
        <v>1.9770265164884516E-3</v>
      </c>
      <c r="AW5" s="385">
        <f>AV5*SQRT(365)</f>
        <v>3.7771038562871666E-2</v>
      </c>
      <c r="AX5" s="6">
        <f t="shared" si="4"/>
        <v>1243185984.8999999</v>
      </c>
      <c r="AY5" s="319">
        <v>0</v>
      </c>
      <c r="AZ5" s="140">
        <f t="shared" si="5"/>
        <v>1009081300</v>
      </c>
      <c r="BA5" s="481">
        <v>0</v>
      </c>
      <c r="BB5" s="135">
        <v>0</v>
      </c>
      <c r="BC5" s="21">
        <v>0</v>
      </c>
      <c r="BD5" s="319">
        <v>0</v>
      </c>
      <c r="BE5" s="21">
        <f t="shared" si="6"/>
        <v>20824.133333333331</v>
      </c>
      <c r="BF5" s="21">
        <f t="shared" si="7"/>
        <v>1247323938.3999999</v>
      </c>
      <c r="BG5" s="21">
        <v>0</v>
      </c>
      <c r="BH5" s="21">
        <v>0</v>
      </c>
      <c r="BI5" s="332">
        <v>0</v>
      </c>
      <c r="BJ5" s="141">
        <v>0</v>
      </c>
      <c r="BK5" s="118">
        <v>0</v>
      </c>
      <c r="BL5" s="329">
        <v>0</v>
      </c>
      <c r="BM5" s="118">
        <f t="shared" si="8"/>
        <v>8963.9166666666661</v>
      </c>
      <c r="BN5" s="118">
        <f t="shared" si="9"/>
        <v>1013594877.0833333</v>
      </c>
      <c r="BO5" s="118">
        <v>0</v>
      </c>
      <c r="BP5" s="118">
        <v>0</v>
      </c>
      <c r="BQ5" s="325">
        <v>0</v>
      </c>
      <c r="BR5" s="6">
        <f t="shared" si="10"/>
        <v>1241389044.8999999</v>
      </c>
      <c r="BS5" s="8">
        <f t="shared" si="11"/>
        <v>1251892159.2</v>
      </c>
      <c r="BT5" s="331">
        <v>0</v>
      </c>
      <c r="BU5" s="319">
        <v>0</v>
      </c>
      <c r="BV5" s="331"/>
      <c r="BW5" s="331">
        <v>0</v>
      </c>
      <c r="BX5" s="319">
        <v>0</v>
      </c>
      <c r="BY5" s="504"/>
      <c r="BZ5" s="140">
        <f t="shared" si="12"/>
        <v>1008821227.5000001</v>
      </c>
      <c r="CA5" s="142">
        <f t="shared" si="13"/>
        <v>1016996550</v>
      </c>
      <c r="CB5" s="339">
        <v>0</v>
      </c>
      <c r="CC5" s="329">
        <v>0</v>
      </c>
      <c r="CD5" s="339"/>
      <c r="CE5" s="339">
        <v>0</v>
      </c>
      <c r="CF5" s="329">
        <v>0</v>
      </c>
      <c r="CG5" s="503"/>
      <c r="CH5" s="20">
        <v>0</v>
      </c>
      <c r="CI5" s="21">
        <v>0</v>
      </c>
      <c r="CJ5" s="21">
        <v>0</v>
      </c>
      <c r="CK5" s="21">
        <v>0</v>
      </c>
      <c r="CL5" s="21">
        <v>0</v>
      </c>
      <c r="CM5" s="21">
        <v>0</v>
      </c>
      <c r="CN5" s="342">
        <v>0</v>
      </c>
      <c r="CO5" s="342">
        <v>0</v>
      </c>
      <c r="CP5" s="343">
        <v>0</v>
      </c>
      <c r="CQ5" s="141">
        <v>0</v>
      </c>
      <c r="CR5" s="118">
        <v>0</v>
      </c>
      <c r="CS5" s="118">
        <v>0</v>
      </c>
      <c r="CT5" s="118"/>
      <c r="CU5" s="118"/>
      <c r="CV5" s="118">
        <v>0</v>
      </c>
      <c r="CW5" s="350">
        <v>0</v>
      </c>
      <c r="CX5" s="350">
        <v>0</v>
      </c>
      <c r="CY5" s="351">
        <v>0</v>
      </c>
      <c r="CZ5" s="20">
        <f t="shared" ref="CZ5:CZ36" si="21">(BE5-BE4)</f>
        <v>136.41666666666788</v>
      </c>
      <c r="DA5" s="21">
        <f t="shared" ref="DA5:DA36" si="22">IF(CZ5&gt;=0,BF5,0)</f>
        <v>1247323938.3999999</v>
      </c>
      <c r="DB5" s="21">
        <f t="shared" ref="DB5:DB36" si="23">IF(CZ5&lt;0,BF5,0)</f>
        <v>0</v>
      </c>
      <c r="DC5" s="21">
        <v>0</v>
      </c>
      <c r="DD5" s="21">
        <v>0</v>
      </c>
      <c r="DE5" s="21">
        <v>0</v>
      </c>
      <c r="DF5" s="342">
        <v>0</v>
      </c>
      <c r="DG5" s="342">
        <v>0</v>
      </c>
      <c r="DH5" s="355">
        <v>0</v>
      </c>
      <c r="DI5" s="141">
        <f t="shared" ref="DI5:DI36" si="24">(BM5-BM4)</f>
        <v>53.266666666666424</v>
      </c>
      <c r="DJ5" s="118">
        <f t="shared" ref="DJ5:DJ36" si="25">IF(DI5&gt;=0,BN5,0)</f>
        <v>1013594877.0833333</v>
      </c>
      <c r="DK5" s="118">
        <f t="shared" ref="DK5:DK36" si="26">IF(DI5&lt;0,BN5,0)</f>
        <v>0</v>
      </c>
      <c r="DL5" s="118">
        <v>0</v>
      </c>
      <c r="DM5" s="118">
        <v>0</v>
      </c>
      <c r="DN5" s="118">
        <v>0</v>
      </c>
      <c r="DO5" s="350">
        <v>0</v>
      </c>
      <c r="DP5" s="350">
        <v>0</v>
      </c>
      <c r="DQ5" s="351">
        <v>0</v>
      </c>
      <c r="DR5" s="135">
        <f t="shared" ref="DR5:DR36" si="27">MAX(O5-P5,ABS(O5-Q4),ABS(Q4-P5))</f>
        <v>218.95000000000073</v>
      </c>
      <c r="DS5" s="20">
        <f t="shared" ref="DS5:DS36" si="28">(DR5*R5)</f>
        <v>13114667.100000044</v>
      </c>
      <c r="DT5" s="21">
        <v>0</v>
      </c>
      <c r="DU5" s="21">
        <v>0</v>
      </c>
      <c r="DV5" s="319">
        <v>0</v>
      </c>
      <c r="DW5" s="21">
        <v>0</v>
      </c>
      <c r="DX5" s="21">
        <v>0</v>
      </c>
      <c r="DY5" s="319">
        <v>0</v>
      </c>
      <c r="DZ5" s="362">
        <v>0</v>
      </c>
      <c r="EA5" s="141">
        <f t="shared" ref="EA5:EA36" si="29">MAX(U5-V5,ABS(U5-W4),ABS(W4-V5))</f>
        <v>84.649999999999636</v>
      </c>
      <c r="EB5" s="143">
        <f t="shared" ref="EB5:EB36" si="30">(EA5*X5)</f>
        <v>9571798.749999959</v>
      </c>
      <c r="EC5" s="118">
        <v>0</v>
      </c>
      <c r="ED5" s="118">
        <v>0</v>
      </c>
      <c r="EE5" s="329">
        <v>0</v>
      </c>
      <c r="EF5" s="118">
        <v>0</v>
      </c>
      <c r="EG5" s="118">
        <v>0</v>
      </c>
      <c r="EH5" s="372">
        <v>0</v>
      </c>
      <c r="EI5" s="373">
        <v>0</v>
      </c>
      <c r="EJ5" s="135">
        <f t="shared" ref="EJ5:EJ36" si="31">MAX(O5-P5,ABS(O5-Q4),ABS(Q4-P5))</f>
        <v>218.95000000000073</v>
      </c>
      <c r="EK5" s="21">
        <f t="shared" ref="EK5:EK36" si="32">(EJ5*R5)</f>
        <v>13114667.100000044</v>
      </c>
      <c r="EL5" s="21">
        <v>0</v>
      </c>
      <c r="EM5" s="21">
        <v>0</v>
      </c>
      <c r="EN5" s="319">
        <v>0</v>
      </c>
      <c r="EO5" s="21">
        <v>0</v>
      </c>
      <c r="EP5" s="21">
        <v>0</v>
      </c>
      <c r="EQ5" s="363" t="s">
        <v>20</v>
      </c>
      <c r="ER5" s="381"/>
      <c r="ES5" s="143">
        <f t="shared" ref="ES5:ES36" si="33">MAX(U5-V5,ABS(U5-W4),ABS(W4-V5))</f>
        <v>84.649999999999636</v>
      </c>
      <c r="ET5" s="118">
        <f t="shared" ref="ET5:ET36" si="34">(ES5*X5)</f>
        <v>9571798.749999959</v>
      </c>
      <c r="EU5" s="118">
        <v>0</v>
      </c>
      <c r="EV5" s="118">
        <v>0</v>
      </c>
      <c r="EW5" s="329">
        <v>0</v>
      </c>
      <c r="EX5" s="118">
        <v>0</v>
      </c>
      <c r="EY5" s="118">
        <v>0</v>
      </c>
      <c r="EZ5" s="375" t="s">
        <v>20</v>
      </c>
      <c r="FA5" s="384"/>
      <c r="FB5" s="396">
        <v>0</v>
      </c>
      <c r="FC5" s="403">
        <v>0</v>
      </c>
      <c r="FD5" s="508">
        <v>0</v>
      </c>
      <c r="FE5" s="509">
        <v>0</v>
      </c>
      <c r="FF5" s="20">
        <f t="shared" si="14"/>
        <v>175.35000000000218</v>
      </c>
      <c r="FG5" s="17">
        <f t="shared" si="15"/>
        <v>8.4485462574169744E-3</v>
      </c>
      <c r="FH5" s="388" t="s">
        <v>20</v>
      </c>
      <c r="FI5" s="388" t="s">
        <v>20</v>
      </c>
      <c r="FJ5" s="314" t="s">
        <v>20</v>
      </c>
      <c r="FK5" s="442">
        <f t="shared" si="16"/>
        <v>72.299999999999272</v>
      </c>
      <c r="FL5" s="18">
        <f t="shared" si="17"/>
        <v>8.1017480950245704E-3</v>
      </c>
      <c r="FM5" s="394" t="s">
        <v>20</v>
      </c>
      <c r="FN5" s="394" t="s">
        <v>20</v>
      </c>
      <c r="FO5" s="385" t="s">
        <v>20</v>
      </c>
      <c r="FP5" s="361" t="s">
        <v>20</v>
      </c>
      <c r="FQ5" s="411" t="s">
        <v>20</v>
      </c>
      <c r="FR5" s="415">
        <v>0</v>
      </c>
      <c r="FS5" s="413" t="s">
        <v>20</v>
      </c>
      <c r="FT5" s="404">
        <v>0</v>
      </c>
      <c r="FU5" s="414" t="s">
        <v>20</v>
      </c>
      <c r="FV5" s="415">
        <v>0</v>
      </c>
      <c r="FW5" s="413" t="s">
        <v>20</v>
      </c>
      <c r="FX5" s="404">
        <v>0</v>
      </c>
      <c r="FY5" s="414" t="s">
        <v>20</v>
      </c>
    </row>
    <row r="6" spans="1:184" x14ac:dyDescent="0.3">
      <c r="J6" s="223" t="s">
        <v>301</v>
      </c>
      <c r="L6" s="283">
        <f t="shared" ref="L6:L67" si="35">L5+1</f>
        <v>3</v>
      </c>
      <c r="M6" s="290">
        <f>'[4]BANKNIFTY-I'!C22</f>
        <v>42796</v>
      </c>
      <c r="N6" s="7">
        <f>'[4]BANKNIFTY-I'!D22</f>
        <v>20925.349999999999</v>
      </c>
      <c r="O6" s="7">
        <f>'[4]BANKNIFTY-I'!E22</f>
        <v>20957.900000000001</v>
      </c>
      <c r="P6" s="7">
        <f>'[4]BANKNIFTY-I'!F22</f>
        <v>20581.45</v>
      </c>
      <c r="Q6" s="7">
        <f>'[4]BANKNIFTY-I'!G22</f>
        <v>20631.25</v>
      </c>
      <c r="R6" s="11">
        <f>'[4]BANKNIFTY-I'!H22</f>
        <v>105646</v>
      </c>
      <c r="S6" s="291">
        <f>'[5]NIFTY-I'!C22</f>
        <v>42796</v>
      </c>
      <c r="T6" s="9">
        <f>'[5]NIFTY-I'!D22</f>
        <v>9001</v>
      </c>
      <c r="U6" s="9">
        <f>'[5]NIFTY-I'!E22</f>
        <v>9018.2999999999993</v>
      </c>
      <c r="V6" s="9">
        <f>'[5]NIFTY-I'!F22</f>
        <v>8898.25</v>
      </c>
      <c r="W6" s="9">
        <f>'[5]NIFTY-I'!G22</f>
        <v>8917.2000000000007</v>
      </c>
      <c r="X6" s="12">
        <f>'[5]NIFTY-I'!H22</f>
        <v>146853</v>
      </c>
      <c r="Y6" s="115"/>
      <c r="Z6" s="122">
        <f t="shared" ref="Z6:Z67" si="36">IF(OR(Q5=0,Q6=0),0,LN(Q6/Q5))</f>
        <v>-1.0400737951425518E-2</v>
      </c>
      <c r="AA6" s="19">
        <f t="shared" si="18"/>
        <v>-6.5779232055210224E-3</v>
      </c>
      <c r="AB6" s="305">
        <v>0</v>
      </c>
      <c r="AC6" s="306">
        <v>0</v>
      </c>
      <c r="AD6" s="122">
        <f t="shared" si="0"/>
        <v>-2.4920453117595865E-3</v>
      </c>
      <c r="AE6" s="364" t="s">
        <v>20</v>
      </c>
      <c r="AF6" s="513">
        <f t="shared" si="1"/>
        <v>6.2780271120284141E-4</v>
      </c>
      <c r="AG6" s="522" t="s">
        <v>20</v>
      </c>
      <c r="AH6" s="466">
        <f t="shared" ref="AH6:AH36" si="37">IF(OR(Q5=0,Q6=0),0,LN(Q6/Q5))</f>
        <v>-1.0400737951425518E-2</v>
      </c>
      <c r="AI6" s="17">
        <f t="shared" ref="AI6:AI67" si="38">AJ5</f>
        <v>1.9523636768604558E-3</v>
      </c>
      <c r="AJ6" s="17">
        <f t="shared" ref="AJ6:AJ67" si="39">SQRT((0.94*(AI6^2))+(0.06*(AH6^2)))</f>
        <v>3.1738842901363022E-3</v>
      </c>
      <c r="AK6" s="314">
        <f t="shared" ref="AK6:AK67" si="40">AJ6*SQRT(365)</f>
        <v>6.0636974222156866E-2</v>
      </c>
      <c r="AL6" s="467">
        <f t="shared" ref="AL6:AL36" si="41">IF(OR(W5=0,W6=0),0,LN(W6/W5))</f>
        <v>-6.5779232055210224E-3</v>
      </c>
      <c r="AM6" s="18">
        <f>AN5</f>
        <v>1.8269842806546235E-3</v>
      </c>
      <c r="AN6" s="18">
        <f t="shared" si="19"/>
        <v>2.3945236874830583E-3</v>
      </c>
      <c r="AO6" s="385">
        <f t="shared" ref="AO6:AO38" si="42">AN6*SQRT(365)</f>
        <v>4.5747310815171131E-2</v>
      </c>
      <c r="AP6" s="10">
        <f t="shared" si="2"/>
        <v>1.8125478915636012E-2</v>
      </c>
      <c r="AQ6" s="17">
        <f t="shared" ref="AQ6:AQ39" si="43">AR5</f>
        <v>2.0637401739872613E-3</v>
      </c>
      <c r="AR6" s="17">
        <f t="shared" ref="AR6:AR39" si="44">SQRT((0.94*(AQ6^2))+(0.06*(AP6^2)))</f>
        <v>4.8698522822212143E-3</v>
      </c>
      <c r="AS6" s="314">
        <f t="shared" ref="AS6:AS39" si="45">AR6*SQRT(365)</f>
        <v>9.3038397215822327E-2</v>
      </c>
      <c r="AT6" s="448">
        <f t="shared" si="3"/>
        <v>1.3401218054745747E-2</v>
      </c>
      <c r="AU6" s="18">
        <f>AV5</f>
        <v>1.9770265164884516E-3</v>
      </c>
      <c r="AV6" s="18">
        <f t="shared" si="20"/>
        <v>3.8012727522680027E-3</v>
      </c>
      <c r="AW6" s="385">
        <f t="shared" ref="AW6:AW38" si="46">AV6*SQRT(365)</f>
        <v>7.2623213961200667E-2</v>
      </c>
      <c r="AX6" s="6">
        <f t="shared" si="4"/>
        <v>2210679526.0999999</v>
      </c>
      <c r="AY6" s="319">
        <v>0</v>
      </c>
      <c r="AZ6" s="140">
        <f t="shared" si="5"/>
        <v>1321823853</v>
      </c>
      <c r="BA6" s="481">
        <v>0</v>
      </c>
      <c r="BB6" s="135">
        <v>0</v>
      </c>
      <c r="BC6" s="21">
        <v>0</v>
      </c>
      <c r="BD6" s="319">
        <v>0</v>
      </c>
      <c r="BE6" s="21">
        <f t="shared" si="6"/>
        <v>20723.533333333336</v>
      </c>
      <c r="BF6" s="21">
        <f t="shared" si="7"/>
        <v>2189358402.5333338</v>
      </c>
      <c r="BG6" s="21">
        <v>0</v>
      </c>
      <c r="BH6" s="21">
        <v>0</v>
      </c>
      <c r="BI6" s="332">
        <v>0</v>
      </c>
      <c r="BJ6" s="141">
        <v>0</v>
      </c>
      <c r="BK6" s="118">
        <v>0</v>
      </c>
      <c r="BL6" s="329">
        <v>0</v>
      </c>
      <c r="BM6" s="118">
        <f t="shared" si="8"/>
        <v>8944.5833333333339</v>
      </c>
      <c r="BN6" s="118">
        <f t="shared" si="9"/>
        <v>1313538896.25</v>
      </c>
      <c r="BO6" s="118">
        <v>0</v>
      </c>
      <c r="BP6" s="118">
        <v>0</v>
      </c>
      <c r="BQ6" s="325">
        <v>0</v>
      </c>
      <c r="BR6" s="6">
        <f t="shared" si="10"/>
        <v>2174347866.7000003</v>
      </c>
      <c r="BS6" s="8">
        <f t="shared" si="11"/>
        <v>2214118303.4000001</v>
      </c>
      <c r="BT6" s="331">
        <v>0</v>
      </c>
      <c r="BU6" s="319">
        <v>0</v>
      </c>
      <c r="BV6" s="331"/>
      <c r="BW6" s="331">
        <v>0</v>
      </c>
      <c r="BX6" s="319">
        <v>0</v>
      </c>
      <c r="BY6" s="504"/>
      <c r="BZ6" s="140">
        <f t="shared" si="12"/>
        <v>1306734707.25</v>
      </c>
      <c r="CA6" s="142">
        <f t="shared" si="13"/>
        <v>1324364409.8999999</v>
      </c>
      <c r="CB6" s="339">
        <v>0</v>
      </c>
      <c r="CC6" s="329">
        <v>0</v>
      </c>
      <c r="CD6" s="339"/>
      <c r="CE6" s="339">
        <v>0</v>
      </c>
      <c r="CF6" s="329">
        <v>0</v>
      </c>
      <c r="CG6" s="503"/>
      <c r="CH6" s="20">
        <v>0</v>
      </c>
      <c r="CI6" s="21">
        <v>0</v>
      </c>
      <c r="CJ6" s="21">
        <v>0</v>
      </c>
      <c r="CK6" s="21">
        <v>0</v>
      </c>
      <c r="CL6" s="21">
        <v>0</v>
      </c>
      <c r="CM6" s="21">
        <v>0</v>
      </c>
      <c r="CN6" s="342">
        <v>0</v>
      </c>
      <c r="CO6" s="342">
        <v>0</v>
      </c>
      <c r="CP6" s="343">
        <v>0</v>
      </c>
      <c r="CQ6" s="141">
        <v>0</v>
      </c>
      <c r="CR6" s="118">
        <v>0</v>
      </c>
      <c r="CS6" s="118">
        <v>0</v>
      </c>
      <c r="CT6" s="118"/>
      <c r="CU6" s="118"/>
      <c r="CV6" s="118">
        <v>0</v>
      </c>
      <c r="CW6" s="350">
        <v>0</v>
      </c>
      <c r="CX6" s="350">
        <v>0</v>
      </c>
      <c r="CY6" s="351">
        <v>0</v>
      </c>
      <c r="CZ6" s="20">
        <f t="shared" si="21"/>
        <v>-100.59999999999491</v>
      </c>
      <c r="DA6" s="21">
        <f t="shared" si="22"/>
        <v>0</v>
      </c>
      <c r="DB6" s="21">
        <f t="shared" si="23"/>
        <v>2189358402.5333338</v>
      </c>
      <c r="DC6" s="21">
        <v>0</v>
      </c>
      <c r="DD6" s="21">
        <v>0</v>
      </c>
      <c r="DE6" s="21">
        <v>0</v>
      </c>
      <c r="DF6" s="342">
        <v>0</v>
      </c>
      <c r="DG6" s="342">
        <v>0</v>
      </c>
      <c r="DH6" s="355">
        <v>0</v>
      </c>
      <c r="DI6" s="141">
        <f t="shared" si="24"/>
        <v>-19.333333333332121</v>
      </c>
      <c r="DJ6" s="118">
        <f t="shared" si="25"/>
        <v>0</v>
      </c>
      <c r="DK6" s="118">
        <f t="shared" si="26"/>
        <v>1313538896.25</v>
      </c>
      <c r="DL6" s="118">
        <v>0</v>
      </c>
      <c r="DM6" s="118">
        <v>0</v>
      </c>
      <c r="DN6" s="118">
        <v>0</v>
      </c>
      <c r="DO6" s="350">
        <v>0</v>
      </c>
      <c r="DP6" s="350">
        <v>0</v>
      </c>
      <c r="DQ6" s="351">
        <v>0</v>
      </c>
      <c r="DR6" s="135">
        <f t="shared" si="27"/>
        <v>376.45000000000073</v>
      </c>
      <c r="DS6" s="20">
        <f t="shared" si="28"/>
        <v>39770436.700000077</v>
      </c>
      <c r="DT6" s="21">
        <v>0</v>
      </c>
      <c r="DU6" s="21">
        <v>0</v>
      </c>
      <c r="DV6" s="319">
        <v>0</v>
      </c>
      <c r="DW6" s="21">
        <v>0</v>
      </c>
      <c r="DX6" s="21">
        <v>0</v>
      </c>
      <c r="DY6" s="319">
        <v>0</v>
      </c>
      <c r="DZ6" s="362">
        <v>0</v>
      </c>
      <c r="EA6" s="141">
        <f t="shared" si="29"/>
        <v>120.04999999999927</v>
      </c>
      <c r="EB6" s="143">
        <f t="shared" si="30"/>
        <v>17629702.649999894</v>
      </c>
      <c r="EC6" s="118">
        <v>0</v>
      </c>
      <c r="ED6" s="118">
        <v>0</v>
      </c>
      <c r="EE6" s="329">
        <v>0</v>
      </c>
      <c r="EF6" s="118">
        <v>0</v>
      </c>
      <c r="EG6" s="118">
        <v>0</v>
      </c>
      <c r="EH6" s="372">
        <v>0</v>
      </c>
      <c r="EI6" s="373">
        <v>0</v>
      </c>
      <c r="EJ6" s="135">
        <f t="shared" si="31"/>
        <v>376.45000000000073</v>
      </c>
      <c r="EK6" s="21">
        <f t="shared" si="32"/>
        <v>39770436.700000077</v>
      </c>
      <c r="EL6" s="21">
        <v>0</v>
      </c>
      <c r="EM6" s="21">
        <v>0</v>
      </c>
      <c r="EN6" s="319">
        <v>0</v>
      </c>
      <c r="EO6" s="21">
        <v>0</v>
      </c>
      <c r="EP6" s="21">
        <v>0</v>
      </c>
      <c r="EQ6" s="363" t="s">
        <v>20</v>
      </c>
      <c r="ER6" s="381"/>
      <c r="ES6" s="143">
        <f t="shared" si="33"/>
        <v>120.04999999999927</v>
      </c>
      <c r="ET6" s="118">
        <f t="shared" si="34"/>
        <v>17629702.649999894</v>
      </c>
      <c r="EU6" s="118">
        <v>0</v>
      </c>
      <c r="EV6" s="118">
        <v>0</v>
      </c>
      <c r="EW6" s="329">
        <v>0</v>
      </c>
      <c r="EX6" s="118">
        <v>0</v>
      </c>
      <c r="EY6" s="118">
        <v>0</v>
      </c>
      <c r="EZ6" s="375" t="s">
        <v>20</v>
      </c>
      <c r="FA6" s="384"/>
      <c r="FB6" s="396">
        <v>0</v>
      </c>
      <c r="FC6" s="403">
        <v>0</v>
      </c>
      <c r="FD6" s="508">
        <v>0</v>
      </c>
      <c r="FE6" s="509">
        <v>0</v>
      </c>
      <c r="FF6" s="20">
        <f t="shared" si="14"/>
        <v>376.45000000000073</v>
      </c>
      <c r="FG6" s="17">
        <f t="shared" si="15"/>
        <v>1.7990141144592599E-2</v>
      </c>
      <c r="FH6" s="388" t="s">
        <v>20</v>
      </c>
      <c r="FI6" s="388" t="s">
        <v>20</v>
      </c>
      <c r="FJ6" s="314" t="s">
        <v>20</v>
      </c>
      <c r="FK6" s="442">
        <f t="shared" si="16"/>
        <v>120.04999999999927</v>
      </c>
      <c r="FL6" s="18">
        <f t="shared" si="17"/>
        <v>1.3337406954782721E-2</v>
      </c>
      <c r="FM6" s="394" t="s">
        <v>20</v>
      </c>
      <c r="FN6" s="394" t="s">
        <v>20</v>
      </c>
      <c r="FO6" s="385" t="s">
        <v>20</v>
      </c>
      <c r="FP6" s="416">
        <f t="shared" ref="FP6:FP37" si="47">IF(Q5&lt;((O4+P4+Q4)/3),1,IF(Q5&gt;((O4+P4+Q4)/3),2,0))</f>
        <v>2</v>
      </c>
      <c r="FQ6" s="417">
        <f t="shared" ref="FQ6:FQ37" si="48">IF(W5&lt;((U4+V4+W4)/3),1,IF(W5&gt;((U4+V4+W4)/3),2,0))</f>
        <v>2</v>
      </c>
      <c r="FR6" s="415">
        <v>0</v>
      </c>
      <c r="FS6" s="413" t="s">
        <v>20</v>
      </c>
      <c r="FT6" s="404">
        <v>0</v>
      </c>
      <c r="FU6" s="414" t="s">
        <v>20</v>
      </c>
      <c r="FV6" s="415">
        <v>0</v>
      </c>
      <c r="FW6" s="413" t="s">
        <v>20</v>
      </c>
      <c r="FX6" s="404">
        <v>0</v>
      </c>
      <c r="FY6" s="414" t="s">
        <v>20</v>
      </c>
    </row>
    <row r="7" spans="1:184" ht="11.15" thickBot="1" x14ac:dyDescent="0.35">
      <c r="L7" s="283">
        <f t="shared" si="35"/>
        <v>4</v>
      </c>
      <c r="M7" s="290">
        <f>'[4]BANKNIFTY-I'!C23</f>
        <v>42797</v>
      </c>
      <c r="N7" s="7">
        <f>'[4]BANKNIFTY-I'!D23</f>
        <v>20511.099999999999</v>
      </c>
      <c r="O7" s="7">
        <f>'[4]BANKNIFTY-I'!E23</f>
        <v>20619.849999999999</v>
      </c>
      <c r="P7" s="7">
        <f>'[4]BANKNIFTY-I'!F23</f>
        <v>20494.599999999999</v>
      </c>
      <c r="Q7" s="7">
        <f>'[4]BANKNIFTY-I'!G23</f>
        <v>20579.900000000001</v>
      </c>
      <c r="R7" s="11">
        <f>'[4]BANKNIFTY-I'!H23</f>
        <v>53163</v>
      </c>
      <c r="S7" s="291">
        <f>'[5]NIFTY-I'!C23</f>
        <v>42797</v>
      </c>
      <c r="T7" s="9">
        <f>'[5]NIFTY-I'!D23</f>
        <v>8884</v>
      </c>
      <c r="U7" s="9">
        <f>'[5]NIFTY-I'!E23</f>
        <v>8933</v>
      </c>
      <c r="V7" s="9">
        <f>'[5]NIFTY-I'!F23</f>
        <v>8872.7000000000007</v>
      </c>
      <c r="W7" s="9">
        <f>'[5]NIFTY-I'!G23</f>
        <v>8922.7999999999993</v>
      </c>
      <c r="X7" s="12">
        <f>'[5]NIFTY-I'!H23</f>
        <v>110827</v>
      </c>
      <c r="Y7" s="115"/>
      <c r="Z7" s="122">
        <f t="shared" si="36"/>
        <v>-2.4920453117595865E-3</v>
      </c>
      <c r="AA7" s="19">
        <f t="shared" si="18"/>
        <v>6.2780271120284141E-4</v>
      </c>
      <c r="AB7" s="305">
        <v>0</v>
      </c>
      <c r="AC7" s="306">
        <v>0</v>
      </c>
      <c r="AD7" s="122">
        <f t="shared" si="0"/>
        <v>7.467228061212877E-3</v>
      </c>
      <c r="AE7" s="364" t="s">
        <v>20</v>
      </c>
      <c r="AF7" s="513">
        <f t="shared" si="1"/>
        <v>6.2954243651526659E-3</v>
      </c>
      <c r="AG7" s="522" t="s">
        <v>20</v>
      </c>
      <c r="AH7" s="466">
        <f t="shared" si="37"/>
        <v>-2.4920453117595865E-3</v>
      </c>
      <c r="AI7" s="17">
        <f t="shared" si="38"/>
        <v>3.1738842901363022E-3</v>
      </c>
      <c r="AJ7" s="17">
        <f t="shared" si="39"/>
        <v>3.1371557800172045E-3</v>
      </c>
      <c r="AK7" s="314">
        <f t="shared" si="40"/>
        <v>5.9935277021590579E-2</v>
      </c>
      <c r="AL7" s="467">
        <f t="shared" si="41"/>
        <v>6.2780271120284141E-4</v>
      </c>
      <c r="AM7" s="18">
        <f t="shared" ref="AM7:AM37" si="49">AN6</f>
        <v>2.3945236874830583E-3</v>
      </c>
      <c r="AN7" s="18">
        <f t="shared" si="19"/>
        <v>2.326664402782239E-3</v>
      </c>
      <c r="AO7" s="385">
        <f t="shared" si="42"/>
        <v>4.4450861001318315E-2</v>
      </c>
      <c r="AP7" s="10">
        <f t="shared" si="2"/>
        <v>6.0927672610813959E-3</v>
      </c>
      <c r="AQ7" s="17">
        <f t="shared" si="43"/>
        <v>4.8698522822212143E-3</v>
      </c>
      <c r="AR7" s="17">
        <f t="shared" si="44"/>
        <v>4.9517514426188815E-3</v>
      </c>
      <c r="AS7" s="314">
        <f t="shared" si="45"/>
        <v>9.4603078478237332E-2</v>
      </c>
      <c r="AT7" s="448">
        <f t="shared" si="3"/>
        <v>6.7731378742414503E-3</v>
      </c>
      <c r="AU7" s="18">
        <f t="shared" ref="AU7:AU37" si="50">AV6</f>
        <v>3.8012727522680027E-3</v>
      </c>
      <c r="AV7" s="18">
        <f t="shared" si="20"/>
        <v>4.0416850278956777E-3</v>
      </c>
      <c r="AW7" s="385">
        <f t="shared" si="46"/>
        <v>7.7216284037898181E-2</v>
      </c>
      <c r="AX7" s="6">
        <f t="shared" si="4"/>
        <v>1090431609.3</v>
      </c>
      <c r="AY7" s="319">
        <v>0</v>
      </c>
      <c r="AZ7" s="140">
        <f t="shared" si="5"/>
        <v>984587068</v>
      </c>
      <c r="BA7" s="481">
        <v>0</v>
      </c>
      <c r="BB7" s="135">
        <v>0</v>
      </c>
      <c r="BC7" s="21">
        <v>0</v>
      </c>
      <c r="BD7" s="319">
        <v>0</v>
      </c>
      <c r="BE7" s="21">
        <f t="shared" si="6"/>
        <v>20564.783333333333</v>
      </c>
      <c r="BF7" s="21">
        <f t="shared" si="7"/>
        <v>1093285576.3499999</v>
      </c>
      <c r="BG7" s="21">
        <v>0</v>
      </c>
      <c r="BH7" s="21">
        <v>0</v>
      </c>
      <c r="BI7" s="332">
        <v>0</v>
      </c>
      <c r="BJ7" s="141">
        <v>0</v>
      </c>
      <c r="BK7" s="118">
        <v>0</v>
      </c>
      <c r="BL7" s="329">
        <v>0</v>
      </c>
      <c r="BM7" s="118">
        <f t="shared" si="8"/>
        <v>8909.5</v>
      </c>
      <c r="BN7" s="118">
        <f t="shared" si="9"/>
        <v>987413156.5</v>
      </c>
      <c r="BO7" s="118">
        <v>0</v>
      </c>
      <c r="BP7" s="118">
        <v>0</v>
      </c>
      <c r="BQ7" s="325">
        <v>0</v>
      </c>
      <c r="BR7" s="6">
        <f t="shared" si="10"/>
        <v>1089554419.8</v>
      </c>
      <c r="BS7" s="8">
        <f t="shared" si="11"/>
        <v>1096213085.55</v>
      </c>
      <c r="BT7" s="331">
        <v>0</v>
      </c>
      <c r="BU7" s="319">
        <v>0</v>
      </c>
      <c r="BV7" s="331"/>
      <c r="BW7" s="331">
        <v>0</v>
      </c>
      <c r="BX7" s="319">
        <v>0</v>
      </c>
      <c r="BY7" s="504"/>
      <c r="BZ7" s="140">
        <f t="shared" si="12"/>
        <v>983334722.9000001</v>
      </c>
      <c r="CA7" s="142">
        <f t="shared" si="13"/>
        <v>990017591</v>
      </c>
      <c r="CB7" s="339">
        <v>0</v>
      </c>
      <c r="CC7" s="329">
        <v>0</v>
      </c>
      <c r="CD7" s="339"/>
      <c r="CE7" s="339">
        <v>0</v>
      </c>
      <c r="CF7" s="329">
        <v>0</v>
      </c>
      <c r="CG7" s="503"/>
      <c r="CH7" s="20">
        <v>0</v>
      </c>
      <c r="CI7" s="21">
        <v>0</v>
      </c>
      <c r="CJ7" s="21">
        <v>0</v>
      </c>
      <c r="CK7" s="21">
        <v>0</v>
      </c>
      <c r="CL7" s="21">
        <v>0</v>
      </c>
      <c r="CM7" s="21">
        <v>0</v>
      </c>
      <c r="CN7" s="342">
        <v>0</v>
      </c>
      <c r="CO7" s="342">
        <v>0</v>
      </c>
      <c r="CP7" s="343">
        <v>0</v>
      </c>
      <c r="CQ7" s="141">
        <v>0</v>
      </c>
      <c r="CR7" s="118">
        <v>0</v>
      </c>
      <c r="CS7" s="118">
        <v>0</v>
      </c>
      <c r="CT7" s="118"/>
      <c r="CU7" s="118"/>
      <c r="CV7" s="118">
        <v>0</v>
      </c>
      <c r="CW7" s="350">
        <v>0</v>
      </c>
      <c r="CX7" s="350">
        <v>0</v>
      </c>
      <c r="CY7" s="351">
        <v>0</v>
      </c>
      <c r="CZ7" s="20">
        <f t="shared" si="21"/>
        <v>-158.75000000000364</v>
      </c>
      <c r="DA7" s="21">
        <f t="shared" si="22"/>
        <v>0</v>
      </c>
      <c r="DB7" s="21">
        <f t="shared" si="23"/>
        <v>1093285576.3499999</v>
      </c>
      <c r="DC7" s="21">
        <v>0</v>
      </c>
      <c r="DD7" s="21">
        <v>0</v>
      </c>
      <c r="DE7" s="21">
        <v>0</v>
      </c>
      <c r="DF7" s="342">
        <v>0</v>
      </c>
      <c r="DG7" s="342">
        <v>0</v>
      </c>
      <c r="DH7" s="355">
        <v>0</v>
      </c>
      <c r="DI7" s="141">
        <f t="shared" si="24"/>
        <v>-35.08333333333394</v>
      </c>
      <c r="DJ7" s="118">
        <f t="shared" si="25"/>
        <v>0</v>
      </c>
      <c r="DK7" s="118">
        <f t="shared" si="26"/>
        <v>987413156.5</v>
      </c>
      <c r="DL7" s="118">
        <v>0</v>
      </c>
      <c r="DM7" s="118">
        <v>0</v>
      </c>
      <c r="DN7" s="118">
        <v>0</v>
      </c>
      <c r="DO7" s="350">
        <v>0</v>
      </c>
      <c r="DP7" s="350">
        <v>0</v>
      </c>
      <c r="DQ7" s="351">
        <v>0</v>
      </c>
      <c r="DR7" s="135">
        <f t="shared" si="27"/>
        <v>136.65000000000146</v>
      </c>
      <c r="DS7" s="20">
        <f t="shared" si="28"/>
        <v>7264723.9500000775</v>
      </c>
      <c r="DT7" s="21">
        <v>0</v>
      </c>
      <c r="DU7" s="21">
        <v>0</v>
      </c>
      <c r="DV7" s="319">
        <v>0</v>
      </c>
      <c r="DW7" s="21">
        <v>0</v>
      </c>
      <c r="DX7" s="21">
        <v>0</v>
      </c>
      <c r="DY7" s="319">
        <v>0</v>
      </c>
      <c r="DZ7" s="362">
        <v>0</v>
      </c>
      <c r="EA7" s="141">
        <f t="shared" si="29"/>
        <v>60.299999999999272</v>
      </c>
      <c r="EB7" s="143">
        <f t="shared" si="30"/>
        <v>6682868.0999999195</v>
      </c>
      <c r="EC7" s="118">
        <v>0</v>
      </c>
      <c r="ED7" s="118">
        <v>0</v>
      </c>
      <c r="EE7" s="329">
        <v>0</v>
      </c>
      <c r="EF7" s="118">
        <v>0</v>
      </c>
      <c r="EG7" s="118">
        <v>0</v>
      </c>
      <c r="EH7" s="372">
        <v>0</v>
      </c>
      <c r="EI7" s="373">
        <v>0</v>
      </c>
      <c r="EJ7" s="135">
        <f t="shared" si="31"/>
        <v>136.65000000000146</v>
      </c>
      <c r="EK7" s="21">
        <f t="shared" si="32"/>
        <v>7264723.9500000775</v>
      </c>
      <c r="EL7" s="21">
        <v>0</v>
      </c>
      <c r="EM7" s="21">
        <v>0</v>
      </c>
      <c r="EN7" s="319">
        <v>0</v>
      </c>
      <c r="EO7" s="21">
        <v>0</v>
      </c>
      <c r="EP7" s="21">
        <v>0</v>
      </c>
      <c r="EQ7" s="363" t="s">
        <v>20</v>
      </c>
      <c r="ER7" s="381"/>
      <c r="ES7" s="143">
        <f t="shared" si="33"/>
        <v>60.299999999999272</v>
      </c>
      <c r="ET7" s="118">
        <f t="shared" si="34"/>
        <v>6682868.0999999195</v>
      </c>
      <c r="EU7" s="118">
        <v>0</v>
      </c>
      <c r="EV7" s="118">
        <v>0</v>
      </c>
      <c r="EW7" s="329">
        <v>0</v>
      </c>
      <c r="EX7" s="118">
        <v>0</v>
      </c>
      <c r="EY7" s="118">
        <v>0</v>
      </c>
      <c r="EZ7" s="375" t="s">
        <v>20</v>
      </c>
      <c r="FA7" s="384"/>
      <c r="FB7" s="396">
        <v>0</v>
      </c>
      <c r="FC7" s="403">
        <v>0</v>
      </c>
      <c r="FD7" s="508">
        <v>0</v>
      </c>
      <c r="FE7" s="509">
        <v>0</v>
      </c>
      <c r="FF7" s="20">
        <f t="shared" si="14"/>
        <v>125.25</v>
      </c>
      <c r="FG7" s="17">
        <f t="shared" si="15"/>
        <v>6.1064496784667818E-3</v>
      </c>
      <c r="FH7" s="388" t="s">
        <v>20</v>
      </c>
      <c r="FI7" s="388" t="s">
        <v>20</v>
      </c>
      <c r="FJ7" s="314" t="s">
        <v>20</v>
      </c>
      <c r="FK7" s="442">
        <f t="shared" si="16"/>
        <v>60.299999999999272</v>
      </c>
      <c r="FL7" s="18">
        <f t="shared" si="17"/>
        <v>6.7874831157135607E-3</v>
      </c>
      <c r="FM7" s="394" t="s">
        <v>20</v>
      </c>
      <c r="FN7" s="394" t="s">
        <v>20</v>
      </c>
      <c r="FO7" s="385" t="s">
        <v>20</v>
      </c>
      <c r="FP7" s="416">
        <f t="shared" si="47"/>
        <v>1</v>
      </c>
      <c r="FQ7" s="417">
        <f t="shared" si="48"/>
        <v>1</v>
      </c>
      <c r="FR7" s="415">
        <v>0</v>
      </c>
      <c r="FS7" s="413" t="s">
        <v>20</v>
      </c>
      <c r="FT7" s="404">
        <v>0</v>
      </c>
      <c r="FU7" s="414" t="s">
        <v>20</v>
      </c>
      <c r="FV7" s="415">
        <v>0</v>
      </c>
      <c r="FW7" s="413" t="s">
        <v>20</v>
      </c>
      <c r="FX7" s="404">
        <v>0</v>
      </c>
      <c r="FY7" s="414" t="s">
        <v>20</v>
      </c>
    </row>
    <row r="8" spans="1:184" ht="11.15" thickBot="1" x14ac:dyDescent="0.35">
      <c r="A8" s="691" t="str">
        <f>CONCATENATE("Gann Angle - ",$F$1)</f>
        <v>Gann Angle - BNF</v>
      </c>
      <c r="B8" s="687" t="s">
        <v>21</v>
      </c>
      <c r="C8" s="688"/>
      <c r="D8" s="154" t="s">
        <v>22</v>
      </c>
      <c r="E8" s="154" t="s">
        <v>23</v>
      </c>
      <c r="F8" s="241" t="s">
        <v>24</v>
      </c>
      <c r="G8" s="243" t="s">
        <v>300</v>
      </c>
      <c r="L8" s="283">
        <f t="shared" si="35"/>
        <v>5</v>
      </c>
      <c r="M8" s="290">
        <f>'[4]BANKNIFTY-I'!C24</f>
        <v>42800</v>
      </c>
      <c r="N8" s="7">
        <f>'[4]BANKNIFTY-I'!D24</f>
        <v>20625.75</v>
      </c>
      <c r="O8" s="7">
        <f>'[4]BANKNIFTY-I'!E24</f>
        <v>20803.400000000001</v>
      </c>
      <c r="P8" s="7">
        <f>'[4]BANKNIFTY-I'!F24</f>
        <v>20610.2</v>
      </c>
      <c r="Q8" s="7">
        <f>'[4]BANKNIFTY-I'!G24</f>
        <v>20734.150000000001</v>
      </c>
      <c r="R8" s="11">
        <f>'[4]BANKNIFTY-I'!H24</f>
        <v>59768</v>
      </c>
      <c r="S8" s="291">
        <f>'[5]NIFTY-I'!C24</f>
        <v>42800</v>
      </c>
      <c r="T8" s="9">
        <f>'[5]NIFTY-I'!D24</f>
        <v>8935</v>
      </c>
      <c r="U8" s="9">
        <f>'[5]NIFTY-I'!E24</f>
        <v>8985</v>
      </c>
      <c r="V8" s="9">
        <f>'[5]NIFTY-I'!F24</f>
        <v>8928.4500000000007</v>
      </c>
      <c r="W8" s="9">
        <f>'[5]NIFTY-I'!G24</f>
        <v>8979.15</v>
      </c>
      <c r="X8" s="12">
        <f>'[5]NIFTY-I'!H24</f>
        <v>92519</v>
      </c>
      <c r="Y8" s="115"/>
      <c r="Z8" s="122">
        <f t="shared" si="36"/>
        <v>7.467228061212877E-3</v>
      </c>
      <c r="AA8" s="19">
        <f t="shared" si="18"/>
        <v>6.2954243651526659E-3</v>
      </c>
      <c r="AB8" s="305">
        <v>0</v>
      </c>
      <c r="AC8" s="306">
        <v>0</v>
      </c>
      <c r="AD8" s="122">
        <f t="shared" si="0"/>
        <v>-7.7679837545817972E-4</v>
      </c>
      <c r="AE8" s="364" t="s">
        <v>20</v>
      </c>
      <c r="AF8" s="513">
        <f t="shared" si="1"/>
        <v>-5.6257225106182E-4</v>
      </c>
      <c r="AG8" s="522" t="s">
        <v>20</v>
      </c>
      <c r="AH8" s="466">
        <f t="shared" si="37"/>
        <v>7.467228061212877E-3</v>
      </c>
      <c r="AI8" s="17">
        <f t="shared" si="38"/>
        <v>3.1371557800172045E-3</v>
      </c>
      <c r="AJ8" s="17">
        <f t="shared" si="39"/>
        <v>3.5491986841961289E-3</v>
      </c>
      <c r="AK8" s="314">
        <f t="shared" si="40"/>
        <v>6.7807345652689643E-2</v>
      </c>
      <c r="AL8" s="467">
        <f t="shared" si="41"/>
        <v>6.2954243651526659E-3</v>
      </c>
      <c r="AM8" s="18">
        <f t="shared" si="49"/>
        <v>2.326664402782239E-3</v>
      </c>
      <c r="AN8" s="18">
        <f t="shared" si="19"/>
        <v>2.7324910402094752E-3</v>
      </c>
      <c r="AO8" s="385">
        <f t="shared" si="42"/>
        <v>5.2204168022880575E-2</v>
      </c>
      <c r="AP8" s="10">
        <f t="shared" si="2"/>
        <v>9.3303360048971936E-3</v>
      </c>
      <c r="AQ8" s="17">
        <f t="shared" si="43"/>
        <v>4.9517514426188815E-3</v>
      </c>
      <c r="AR8" s="17">
        <f t="shared" si="44"/>
        <v>5.3171385167556373E-3</v>
      </c>
      <c r="AS8" s="314">
        <f t="shared" si="45"/>
        <v>0.10158378872794474</v>
      </c>
      <c r="AT8" s="448">
        <f t="shared" si="3"/>
        <v>6.3137126409605589E-3</v>
      </c>
      <c r="AU8" s="18">
        <f t="shared" si="50"/>
        <v>4.0416850278956777E-3</v>
      </c>
      <c r="AV8" s="18">
        <f t="shared" si="20"/>
        <v>4.2127049305156214E-3</v>
      </c>
      <c r="AW8" s="385">
        <f t="shared" si="46"/>
        <v>8.0483614689765129E-2</v>
      </c>
      <c r="AX8" s="6">
        <f t="shared" si="4"/>
        <v>1232759826</v>
      </c>
      <c r="AY8" s="319">
        <v>0</v>
      </c>
      <c r="AZ8" s="140">
        <f t="shared" si="5"/>
        <v>826657265</v>
      </c>
      <c r="BA8" s="481">
        <v>0</v>
      </c>
      <c r="BB8" s="135">
        <v>0</v>
      </c>
      <c r="BC8" s="21">
        <v>0</v>
      </c>
      <c r="BD8" s="319">
        <v>0</v>
      </c>
      <c r="BE8" s="21">
        <f t="shared" si="6"/>
        <v>20715.916666666668</v>
      </c>
      <c r="BF8" s="21">
        <f t="shared" si="7"/>
        <v>1238148907.3333335</v>
      </c>
      <c r="BG8" s="21">
        <f>AVERAGE(BF4:BF8)</f>
        <v>1341922962.0233333</v>
      </c>
      <c r="BH8" s="21">
        <f>AVERAGE(R4:R8)</f>
        <v>64797</v>
      </c>
      <c r="BI8" s="332">
        <f>BG8/BH8</f>
        <v>20709.646465474223</v>
      </c>
      <c r="BJ8" s="141">
        <v>0</v>
      </c>
      <c r="BK8" s="118">
        <v>0</v>
      </c>
      <c r="BL8" s="329">
        <v>0</v>
      </c>
      <c r="BM8" s="118">
        <f t="shared" si="8"/>
        <v>8964.1999999999989</v>
      </c>
      <c r="BN8" s="118">
        <f t="shared" si="9"/>
        <v>829358819.79999995</v>
      </c>
      <c r="BO8" s="118">
        <f>AVERAGE(BN4:BN8)</f>
        <v>986615493.37666667</v>
      </c>
      <c r="BP8" s="118">
        <f>AVERAGE(X4:X8)</f>
        <v>110367.8</v>
      </c>
      <c r="BQ8" s="325">
        <f>BO8/BP8</f>
        <v>8939.3418494947491</v>
      </c>
      <c r="BR8" s="6">
        <f t="shared" si="10"/>
        <v>1231830433.6000001</v>
      </c>
      <c r="BS8" s="8">
        <f t="shared" si="11"/>
        <v>1243377611.2</v>
      </c>
      <c r="BT8" s="331">
        <v>0</v>
      </c>
      <c r="BU8" s="319">
        <f t="shared" ref="BU8:BU39" si="51">AVERAGE(BR4:BR8)/AVERAGE(R4:R8)</f>
        <v>20606.58723706345</v>
      </c>
      <c r="BV8" s="319">
        <f t="shared" ref="BV8:BV39" si="52">AVERAGE(BS4:BS8)/AVERAGE(R4:R8)</f>
        <v>20833.615523403863</v>
      </c>
      <c r="BW8" s="331">
        <v>0</v>
      </c>
      <c r="BX8" s="319">
        <v>0</v>
      </c>
      <c r="BY8" s="504"/>
      <c r="BZ8" s="140">
        <f t="shared" si="12"/>
        <v>826051265.55000007</v>
      </c>
      <c r="CA8" s="142">
        <f t="shared" si="13"/>
        <v>831283215</v>
      </c>
      <c r="CB8" s="339">
        <v>0</v>
      </c>
      <c r="CC8" s="329">
        <f t="shared" ref="CC8:CC39" si="53">AVERAGE(BZ4:BZ8)/AVERAGE(X4:X8)</f>
        <v>8900.7240661678479</v>
      </c>
      <c r="CD8" s="329">
        <f t="shared" ref="CD8:CD39" si="54">AVERAGE(CA4:CA8)/AVERAGE(X4:X8)</f>
        <v>8977.791693138759</v>
      </c>
      <c r="CE8" s="339">
        <v>0</v>
      </c>
      <c r="CF8" s="329">
        <v>0</v>
      </c>
      <c r="CG8" s="503"/>
      <c r="CH8" s="20">
        <v>0</v>
      </c>
      <c r="CI8" s="21">
        <v>0</v>
      </c>
      <c r="CJ8" s="21">
        <v>0</v>
      </c>
      <c r="CK8" s="21">
        <v>0</v>
      </c>
      <c r="CL8" s="21">
        <v>0</v>
      </c>
      <c r="CM8" s="21">
        <v>0</v>
      </c>
      <c r="CN8" s="342">
        <v>0</v>
      </c>
      <c r="CO8" s="342">
        <v>0</v>
      </c>
      <c r="CP8" s="343">
        <v>0</v>
      </c>
      <c r="CQ8" s="141">
        <v>0</v>
      </c>
      <c r="CR8" s="118">
        <v>0</v>
      </c>
      <c r="CS8" s="118">
        <v>0</v>
      </c>
      <c r="CT8" s="118"/>
      <c r="CU8" s="118"/>
      <c r="CV8" s="118">
        <v>0</v>
      </c>
      <c r="CW8" s="350">
        <v>0</v>
      </c>
      <c r="CX8" s="350">
        <v>0</v>
      </c>
      <c r="CY8" s="351">
        <v>0</v>
      </c>
      <c r="CZ8" s="20">
        <f t="shared" si="21"/>
        <v>151.13333333333503</v>
      </c>
      <c r="DA8" s="21">
        <f t="shared" si="22"/>
        <v>1238148907.3333335</v>
      </c>
      <c r="DB8" s="21">
        <f t="shared" si="23"/>
        <v>0</v>
      </c>
      <c r="DC8" s="21">
        <v>0</v>
      </c>
      <c r="DD8" s="21">
        <v>0</v>
      </c>
      <c r="DE8" s="21">
        <v>0</v>
      </c>
      <c r="DF8" s="342">
        <v>0</v>
      </c>
      <c r="DG8" s="342">
        <v>0</v>
      </c>
      <c r="DH8" s="355">
        <v>0</v>
      </c>
      <c r="DI8" s="141">
        <f t="shared" si="24"/>
        <v>54.699999999998909</v>
      </c>
      <c r="DJ8" s="118">
        <f t="shared" si="25"/>
        <v>829358819.79999995</v>
      </c>
      <c r="DK8" s="118">
        <f t="shared" si="26"/>
        <v>0</v>
      </c>
      <c r="DL8" s="118">
        <v>0</v>
      </c>
      <c r="DM8" s="118">
        <v>0</v>
      </c>
      <c r="DN8" s="118">
        <v>0</v>
      </c>
      <c r="DO8" s="350">
        <v>0</v>
      </c>
      <c r="DP8" s="350">
        <v>0</v>
      </c>
      <c r="DQ8" s="351">
        <v>0</v>
      </c>
      <c r="DR8" s="135">
        <f t="shared" si="27"/>
        <v>223.5</v>
      </c>
      <c r="DS8" s="20">
        <f t="shared" si="28"/>
        <v>13358148</v>
      </c>
      <c r="DT8" s="21">
        <v>0</v>
      </c>
      <c r="DU8" s="21">
        <v>0</v>
      </c>
      <c r="DV8" s="319">
        <v>0</v>
      </c>
      <c r="DW8" s="21">
        <v>0</v>
      </c>
      <c r="DX8" s="21">
        <v>0</v>
      </c>
      <c r="DY8" s="319">
        <v>0</v>
      </c>
      <c r="DZ8" s="362">
        <v>0</v>
      </c>
      <c r="EA8" s="141">
        <f t="shared" si="29"/>
        <v>62.200000000000728</v>
      </c>
      <c r="EB8" s="143">
        <f t="shared" si="30"/>
        <v>5754681.8000000669</v>
      </c>
      <c r="EC8" s="118">
        <v>0</v>
      </c>
      <c r="ED8" s="118">
        <v>0</v>
      </c>
      <c r="EE8" s="329">
        <v>0</v>
      </c>
      <c r="EF8" s="118">
        <v>0</v>
      </c>
      <c r="EG8" s="118">
        <v>0</v>
      </c>
      <c r="EH8" s="372">
        <v>0</v>
      </c>
      <c r="EI8" s="373">
        <v>0</v>
      </c>
      <c r="EJ8" s="135">
        <f t="shared" si="31"/>
        <v>223.5</v>
      </c>
      <c r="EK8" s="21">
        <f t="shared" si="32"/>
        <v>13358148</v>
      </c>
      <c r="EL8" s="21">
        <v>0</v>
      </c>
      <c r="EM8" s="21">
        <v>0</v>
      </c>
      <c r="EN8" s="319">
        <v>0</v>
      </c>
      <c r="EO8" s="21">
        <v>0</v>
      </c>
      <c r="EP8" s="21">
        <v>0</v>
      </c>
      <c r="EQ8" s="363" t="s">
        <v>20</v>
      </c>
      <c r="ER8" s="381"/>
      <c r="ES8" s="143">
        <f t="shared" si="33"/>
        <v>62.200000000000728</v>
      </c>
      <c r="ET8" s="118">
        <f t="shared" si="34"/>
        <v>5754681.8000000669</v>
      </c>
      <c r="EU8" s="118">
        <v>0</v>
      </c>
      <c r="EV8" s="118">
        <v>0</v>
      </c>
      <c r="EW8" s="329">
        <v>0</v>
      </c>
      <c r="EX8" s="118">
        <v>0</v>
      </c>
      <c r="EY8" s="118">
        <v>0</v>
      </c>
      <c r="EZ8" s="375" t="s">
        <v>20</v>
      </c>
      <c r="FA8" s="384"/>
      <c r="FB8" s="396">
        <v>0</v>
      </c>
      <c r="FC8" s="403">
        <v>0</v>
      </c>
      <c r="FD8" s="508">
        <v>0</v>
      </c>
      <c r="FE8" s="509">
        <v>0</v>
      </c>
      <c r="FF8" s="20">
        <f t="shared" si="14"/>
        <v>193.20000000000073</v>
      </c>
      <c r="FG8" s="17">
        <f t="shared" si="15"/>
        <v>9.3669321115596154E-3</v>
      </c>
      <c r="FH8" s="388" t="s">
        <v>20</v>
      </c>
      <c r="FI8" s="388" t="s">
        <v>20</v>
      </c>
      <c r="FJ8" s="314" t="s">
        <v>20</v>
      </c>
      <c r="FK8" s="442">
        <f t="shared" si="16"/>
        <v>56.549999999999272</v>
      </c>
      <c r="FL8" s="18">
        <f t="shared" si="17"/>
        <v>6.3290430889758557E-3</v>
      </c>
      <c r="FM8" s="394" t="s">
        <v>20</v>
      </c>
      <c r="FN8" s="394" t="s">
        <v>20</v>
      </c>
      <c r="FO8" s="385" t="s">
        <v>20</v>
      </c>
      <c r="FP8" s="416">
        <f t="shared" si="47"/>
        <v>1</v>
      </c>
      <c r="FQ8" s="417">
        <f t="shared" si="48"/>
        <v>1</v>
      </c>
      <c r="FR8" s="415">
        <v>0</v>
      </c>
      <c r="FS8" s="413" t="s">
        <v>20</v>
      </c>
      <c r="FT8" s="404">
        <v>0</v>
      </c>
      <c r="FU8" s="414" t="s">
        <v>20</v>
      </c>
      <c r="FV8" s="415">
        <v>0</v>
      </c>
      <c r="FW8" s="413" t="s">
        <v>20</v>
      </c>
      <c r="FX8" s="404">
        <v>0</v>
      </c>
      <c r="FY8" s="414" t="s">
        <v>20</v>
      </c>
    </row>
    <row r="9" spans="1:184" ht="11.15" thickBot="1" x14ac:dyDescent="0.35">
      <c r="A9" s="692"/>
      <c r="B9" s="708">
        <f>$N$69</f>
        <v>25730</v>
      </c>
      <c r="C9" s="709"/>
      <c r="D9" s="91">
        <f>$O$69</f>
        <v>25880</v>
      </c>
      <c r="E9" s="91">
        <f>$P$69</f>
        <v>25630.1</v>
      </c>
      <c r="F9" s="242">
        <f>$Q$69</f>
        <v>25845.55</v>
      </c>
      <c r="G9" s="474">
        <f>'Base Data'!$D$17</f>
        <v>0</v>
      </c>
      <c r="I9" s="461"/>
      <c r="L9" s="283">
        <f t="shared" si="35"/>
        <v>6</v>
      </c>
      <c r="M9" s="290">
        <f>'[4]BANKNIFTY-I'!C25</f>
        <v>42801</v>
      </c>
      <c r="N9" s="7">
        <f>'[4]BANKNIFTY-I'!D25</f>
        <v>20735.099999999999</v>
      </c>
      <c r="O9" s="7">
        <f>'[4]BANKNIFTY-I'!E25</f>
        <v>20767.349999999999</v>
      </c>
      <c r="P9" s="7">
        <f>'[4]BANKNIFTY-I'!F25</f>
        <v>20660</v>
      </c>
      <c r="Q9" s="7">
        <f>'[4]BANKNIFTY-I'!G25</f>
        <v>20718.05</v>
      </c>
      <c r="R9" s="11">
        <f>'[4]BANKNIFTY-I'!H25</f>
        <v>38252</v>
      </c>
      <c r="S9" s="291">
        <f>'[5]NIFTY-I'!C25</f>
        <v>42801</v>
      </c>
      <c r="T9" s="9">
        <f>'[5]NIFTY-I'!D25</f>
        <v>8986.9</v>
      </c>
      <c r="U9" s="9">
        <f>'[5]NIFTY-I'!E25</f>
        <v>8988.9</v>
      </c>
      <c r="V9" s="9">
        <f>'[5]NIFTY-I'!F25</f>
        <v>8960.0499999999993</v>
      </c>
      <c r="W9" s="9">
        <f>'[5]NIFTY-I'!G25</f>
        <v>8974.1</v>
      </c>
      <c r="X9" s="12">
        <f>'[5]NIFTY-I'!H25</f>
        <v>59040</v>
      </c>
      <c r="Y9" s="115"/>
      <c r="Z9" s="122">
        <f t="shared" si="36"/>
        <v>-7.7679837545817972E-4</v>
      </c>
      <c r="AA9" s="19">
        <f t="shared" si="18"/>
        <v>-5.6257225106182E-4</v>
      </c>
      <c r="AB9" s="305">
        <v>0</v>
      </c>
      <c r="AC9" s="306">
        <v>0</v>
      </c>
      <c r="AD9" s="122">
        <f t="shared" si="0"/>
        <v>1.8589673982361953E-3</v>
      </c>
      <c r="AE9" s="364" t="s">
        <v>20</v>
      </c>
      <c r="AF9" s="513">
        <f t="shared" si="1"/>
        <v>-2.4545091592335622E-3</v>
      </c>
      <c r="AG9" s="522" t="s">
        <v>20</v>
      </c>
      <c r="AH9" s="466">
        <f t="shared" si="37"/>
        <v>-7.7679837545817972E-4</v>
      </c>
      <c r="AI9" s="17">
        <f t="shared" si="38"/>
        <v>3.5491986841961289E-3</v>
      </c>
      <c r="AJ9" s="17">
        <f t="shared" si="39"/>
        <v>3.4463324803147518E-3</v>
      </c>
      <c r="AK9" s="314">
        <f t="shared" si="40"/>
        <v>6.5842089586968883E-2</v>
      </c>
      <c r="AL9" s="467">
        <f t="shared" si="41"/>
        <v>-5.6257225106182E-4</v>
      </c>
      <c r="AM9" s="18">
        <f t="shared" si="49"/>
        <v>2.7324910402094752E-3</v>
      </c>
      <c r="AN9" s="18">
        <f t="shared" si="19"/>
        <v>2.6528298286915128E-3</v>
      </c>
      <c r="AO9" s="385">
        <f t="shared" si="42"/>
        <v>5.0682242713778324E-2</v>
      </c>
      <c r="AP9" s="10">
        <f t="shared" si="2"/>
        <v>5.1825781893879387E-3</v>
      </c>
      <c r="AQ9" s="17">
        <f t="shared" si="43"/>
        <v>5.3171385167556373E-3</v>
      </c>
      <c r="AR9" s="17">
        <f t="shared" si="44"/>
        <v>5.3091610718955899E-3</v>
      </c>
      <c r="AS9" s="314">
        <f t="shared" si="45"/>
        <v>0.10143137985789213</v>
      </c>
      <c r="AT9" s="448">
        <f t="shared" si="3"/>
        <v>3.2146754929939232E-3</v>
      </c>
      <c r="AU9" s="18">
        <f t="shared" si="50"/>
        <v>4.2127049305156214E-3</v>
      </c>
      <c r="AV9" s="18">
        <f t="shared" si="20"/>
        <v>4.1595814901514471E-3</v>
      </c>
      <c r="AW9" s="385">
        <f t="shared" si="46"/>
        <v>7.9468692786668155E-2</v>
      </c>
      <c r="AX9" s="6">
        <f t="shared" si="4"/>
        <v>793159045.19999993</v>
      </c>
      <c r="AY9" s="319">
        <v>0</v>
      </c>
      <c r="AZ9" s="140">
        <f t="shared" si="5"/>
        <v>530586576</v>
      </c>
      <c r="BA9" s="481">
        <v>0</v>
      </c>
      <c r="BB9" s="135">
        <v>0</v>
      </c>
      <c r="BC9" s="21">
        <v>0</v>
      </c>
      <c r="BD9" s="319">
        <v>0</v>
      </c>
      <c r="BE9" s="21">
        <f t="shared" si="6"/>
        <v>20715.133333333331</v>
      </c>
      <c r="BF9" s="21">
        <f t="shared" si="7"/>
        <v>792395280.26666665</v>
      </c>
      <c r="BG9" s="21">
        <f>((BF9-BG8)*(2/(1+5)))+BG8</f>
        <v>1158747068.1044445</v>
      </c>
      <c r="BH9" s="21">
        <f t="shared" ref="BH9:BH40" si="55">((R9-BH8)*(2/(1+5)))+BH8</f>
        <v>55948.666666666672</v>
      </c>
      <c r="BI9" s="332">
        <f t="shared" ref="BI9:BI67" si="56">BG9/BH9</f>
        <v>20710.896919279181</v>
      </c>
      <c r="BJ9" s="141">
        <v>0</v>
      </c>
      <c r="BK9" s="118">
        <v>0</v>
      </c>
      <c r="BL9" s="329">
        <v>0</v>
      </c>
      <c r="BM9" s="118">
        <f t="shared" si="8"/>
        <v>8974.3499999999985</v>
      </c>
      <c r="BN9" s="118">
        <f t="shared" si="9"/>
        <v>529845623.99999994</v>
      </c>
      <c r="BO9" s="118">
        <f>((BN9-BO8)*(2/(1+5)))+BO8</f>
        <v>834358870.25111103</v>
      </c>
      <c r="BP9" s="118">
        <f t="shared" ref="BP9:BP40" si="57">((X9-BP8)*(2/(1+5)))+BP8</f>
        <v>93258.53333333334</v>
      </c>
      <c r="BQ9" s="325">
        <f t="shared" ref="BQ9" si="58">BO9/BP9</f>
        <v>8946.7294887521748</v>
      </c>
      <c r="BR9" s="6">
        <f t="shared" si="10"/>
        <v>790286320</v>
      </c>
      <c r="BS9" s="8">
        <f t="shared" si="11"/>
        <v>794392672.19999993</v>
      </c>
      <c r="BT9" s="331">
        <v>0</v>
      </c>
      <c r="BU9" s="319">
        <f t="shared" si="51"/>
        <v>20608.941091223674</v>
      </c>
      <c r="BV9" s="319">
        <f t="shared" si="52"/>
        <v>20838.115574453706</v>
      </c>
      <c r="BW9" s="331">
        <v>0</v>
      </c>
      <c r="BX9" s="319">
        <v>0</v>
      </c>
      <c r="BY9" s="504"/>
      <c r="BZ9" s="140">
        <f t="shared" si="12"/>
        <v>529001351.99999994</v>
      </c>
      <c r="CA9" s="142">
        <f t="shared" si="13"/>
        <v>530704656</v>
      </c>
      <c r="CB9" s="339">
        <v>0</v>
      </c>
      <c r="CC9" s="329">
        <f t="shared" si="53"/>
        <v>8910.2403443139556</v>
      </c>
      <c r="CD9" s="329">
        <f t="shared" si="54"/>
        <v>8985.7182114590069</v>
      </c>
      <c r="CE9" s="339">
        <v>0</v>
      </c>
      <c r="CF9" s="329">
        <v>0</v>
      </c>
      <c r="CG9" s="503"/>
      <c r="CH9" s="20">
        <v>0</v>
      </c>
      <c r="CI9" s="21">
        <v>0</v>
      </c>
      <c r="CJ9" s="21">
        <v>0</v>
      </c>
      <c r="CK9" s="21">
        <v>0</v>
      </c>
      <c r="CL9" s="21">
        <v>0</v>
      </c>
      <c r="CM9" s="21">
        <v>0</v>
      </c>
      <c r="CN9" s="342">
        <v>0</v>
      </c>
      <c r="CO9" s="342">
        <v>0</v>
      </c>
      <c r="CP9" s="343">
        <v>0</v>
      </c>
      <c r="CQ9" s="141">
        <v>0</v>
      </c>
      <c r="CR9" s="118">
        <v>0</v>
      </c>
      <c r="CS9" s="118">
        <v>0</v>
      </c>
      <c r="CT9" s="118"/>
      <c r="CU9" s="118"/>
      <c r="CV9" s="118">
        <v>0</v>
      </c>
      <c r="CW9" s="350">
        <v>0</v>
      </c>
      <c r="CX9" s="350">
        <v>0</v>
      </c>
      <c r="CY9" s="351">
        <v>0</v>
      </c>
      <c r="CZ9" s="20">
        <f t="shared" si="21"/>
        <v>-0.78333333333648625</v>
      </c>
      <c r="DA9" s="21">
        <f t="shared" si="22"/>
        <v>0</v>
      </c>
      <c r="DB9" s="21">
        <f t="shared" si="23"/>
        <v>792395280.26666665</v>
      </c>
      <c r="DC9" s="21">
        <v>0</v>
      </c>
      <c r="DD9" s="21">
        <v>0</v>
      </c>
      <c r="DE9" s="21">
        <v>0</v>
      </c>
      <c r="DF9" s="342">
        <v>0</v>
      </c>
      <c r="DG9" s="342">
        <v>0</v>
      </c>
      <c r="DH9" s="355">
        <v>0</v>
      </c>
      <c r="DI9" s="141">
        <f t="shared" si="24"/>
        <v>10.149999999999636</v>
      </c>
      <c r="DJ9" s="118">
        <f t="shared" si="25"/>
        <v>529845623.99999994</v>
      </c>
      <c r="DK9" s="118">
        <f t="shared" si="26"/>
        <v>0</v>
      </c>
      <c r="DL9" s="118">
        <v>0</v>
      </c>
      <c r="DM9" s="118">
        <v>0</v>
      </c>
      <c r="DN9" s="118">
        <v>0</v>
      </c>
      <c r="DO9" s="350">
        <v>0</v>
      </c>
      <c r="DP9" s="350">
        <v>0</v>
      </c>
      <c r="DQ9" s="351">
        <v>0</v>
      </c>
      <c r="DR9" s="135">
        <f t="shared" si="27"/>
        <v>107.34999999999854</v>
      </c>
      <c r="DS9" s="20">
        <f t="shared" si="28"/>
        <v>4106352.1999999443</v>
      </c>
      <c r="DT9" s="21">
        <v>0</v>
      </c>
      <c r="DU9" s="21">
        <v>0</v>
      </c>
      <c r="DV9" s="319">
        <v>0</v>
      </c>
      <c r="DW9" s="21">
        <v>0</v>
      </c>
      <c r="DX9" s="21">
        <v>0</v>
      </c>
      <c r="DY9" s="319">
        <v>0</v>
      </c>
      <c r="DZ9" s="362">
        <v>0</v>
      </c>
      <c r="EA9" s="141">
        <f t="shared" si="29"/>
        <v>28.850000000000364</v>
      </c>
      <c r="EB9" s="143">
        <f t="shared" si="30"/>
        <v>1703304.0000000214</v>
      </c>
      <c r="EC9" s="118">
        <v>0</v>
      </c>
      <c r="ED9" s="118">
        <v>0</v>
      </c>
      <c r="EE9" s="329">
        <v>0</v>
      </c>
      <c r="EF9" s="118">
        <v>0</v>
      </c>
      <c r="EG9" s="118">
        <v>0</v>
      </c>
      <c r="EH9" s="372">
        <v>0</v>
      </c>
      <c r="EI9" s="373">
        <v>0</v>
      </c>
      <c r="EJ9" s="135">
        <f t="shared" si="31"/>
        <v>107.34999999999854</v>
      </c>
      <c r="EK9" s="21">
        <f t="shared" si="32"/>
        <v>4106352.1999999443</v>
      </c>
      <c r="EL9" s="21">
        <v>0</v>
      </c>
      <c r="EM9" s="21">
        <v>0</v>
      </c>
      <c r="EN9" s="319">
        <v>0</v>
      </c>
      <c r="EO9" s="21">
        <v>0</v>
      </c>
      <c r="EP9" s="21">
        <v>0</v>
      </c>
      <c r="EQ9" s="363" t="s">
        <v>20</v>
      </c>
      <c r="ER9" s="381"/>
      <c r="ES9" s="143">
        <f t="shared" si="33"/>
        <v>28.850000000000364</v>
      </c>
      <c r="ET9" s="118">
        <f t="shared" si="34"/>
        <v>1703304.0000000214</v>
      </c>
      <c r="EU9" s="118">
        <v>0</v>
      </c>
      <c r="EV9" s="118">
        <v>0</v>
      </c>
      <c r="EW9" s="329">
        <v>0</v>
      </c>
      <c r="EX9" s="118">
        <v>0</v>
      </c>
      <c r="EY9" s="118">
        <v>0</v>
      </c>
      <c r="EZ9" s="375" t="s">
        <v>20</v>
      </c>
      <c r="FA9" s="384"/>
      <c r="FB9" s="396">
        <v>0</v>
      </c>
      <c r="FC9" s="403">
        <v>0</v>
      </c>
      <c r="FD9" s="508">
        <v>0</v>
      </c>
      <c r="FE9" s="509">
        <v>0</v>
      </c>
      <c r="FF9" s="20">
        <f t="shared" si="14"/>
        <v>107.34999999999854</v>
      </c>
      <c r="FG9" s="17">
        <f t="shared" si="15"/>
        <v>5.1772115880800457E-3</v>
      </c>
      <c r="FH9" s="388" t="s">
        <v>20</v>
      </c>
      <c r="FI9" s="388" t="s">
        <v>20</v>
      </c>
      <c r="FJ9" s="314" t="s">
        <v>20</v>
      </c>
      <c r="FK9" s="442">
        <f t="shared" si="16"/>
        <v>28.850000000000364</v>
      </c>
      <c r="FL9" s="18">
        <f t="shared" si="17"/>
        <v>3.2102282210773867E-3</v>
      </c>
      <c r="FM9" s="394" t="s">
        <v>20</v>
      </c>
      <c r="FN9" s="394" t="s">
        <v>20</v>
      </c>
      <c r="FO9" s="385" t="s">
        <v>20</v>
      </c>
      <c r="FP9" s="416">
        <f t="shared" si="47"/>
        <v>2</v>
      </c>
      <c r="FQ9" s="417">
        <f t="shared" si="48"/>
        <v>2</v>
      </c>
      <c r="FR9" s="415">
        <v>0</v>
      </c>
      <c r="FS9" s="413" t="s">
        <v>20</v>
      </c>
      <c r="FT9" s="404">
        <v>0</v>
      </c>
      <c r="FU9" s="414" t="s">
        <v>20</v>
      </c>
      <c r="FV9" s="415">
        <v>0</v>
      </c>
      <c r="FW9" s="413" t="s">
        <v>20</v>
      </c>
      <c r="FX9" s="404">
        <v>0</v>
      </c>
      <c r="FY9" s="414" t="s">
        <v>20</v>
      </c>
    </row>
    <row r="10" spans="1:184" ht="11.15" thickBot="1" x14ac:dyDescent="0.35">
      <c r="A10" s="5"/>
      <c r="L10" s="283">
        <f t="shared" si="35"/>
        <v>7</v>
      </c>
      <c r="M10" s="290">
        <f>'[4]BANKNIFTY-I'!C26</f>
        <v>42802</v>
      </c>
      <c r="N10" s="7">
        <f>'[4]BANKNIFTY-I'!D26</f>
        <v>20699.900000000001</v>
      </c>
      <c r="O10" s="7">
        <f>'[4]BANKNIFTY-I'!E26</f>
        <v>20787.7</v>
      </c>
      <c r="P10" s="7">
        <f>'[4]BANKNIFTY-I'!F26</f>
        <v>20588.099999999999</v>
      </c>
      <c r="Q10" s="7">
        <f>'[4]BANKNIFTY-I'!G26</f>
        <v>20756.599999999999</v>
      </c>
      <c r="R10" s="11">
        <f>'[4]BANKNIFTY-I'!H26</f>
        <v>87761</v>
      </c>
      <c r="S10" s="291">
        <f>'[5]NIFTY-I'!C26</f>
        <v>42802</v>
      </c>
      <c r="T10" s="9">
        <f>'[5]NIFTY-I'!D26</f>
        <v>8974</v>
      </c>
      <c r="U10" s="9">
        <f>'[5]NIFTY-I'!E26</f>
        <v>8980</v>
      </c>
      <c r="V10" s="9">
        <f>'[5]NIFTY-I'!F26</f>
        <v>8907.65</v>
      </c>
      <c r="W10" s="9">
        <f>'[5]NIFTY-I'!G26</f>
        <v>8952.1</v>
      </c>
      <c r="X10" s="12">
        <f>'[5]NIFTY-I'!H26</f>
        <v>118774</v>
      </c>
      <c r="Y10" s="115"/>
      <c r="Z10" s="122">
        <f t="shared" si="36"/>
        <v>1.8589673982361953E-3</v>
      </c>
      <c r="AA10" s="19">
        <f t="shared" si="18"/>
        <v>-2.4545091592335622E-3</v>
      </c>
      <c r="AB10" s="305">
        <v>0</v>
      </c>
      <c r="AC10" s="306">
        <v>0</v>
      </c>
      <c r="AD10" s="122">
        <f t="shared" si="0"/>
        <v>1.7641464171455224E-3</v>
      </c>
      <c r="AE10" s="364" t="s">
        <v>20</v>
      </c>
      <c r="AF10" s="513">
        <f t="shared" si="1"/>
        <v>2.6805758931014272E-4</v>
      </c>
      <c r="AG10" s="522" t="s">
        <v>20</v>
      </c>
      <c r="AH10" s="466">
        <f t="shared" si="37"/>
        <v>1.8589673982361953E-3</v>
      </c>
      <c r="AI10" s="17">
        <f t="shared" si="38"/>
        <v>3.4463324803147518E-3</v>
      </c>
      <c r="AJ10" s="17">
        <f t="shared" si="39"/>
        <v>3.3722278538441596E-3</v>
      </c>
      <c r="AK10" s="314">
        <f t="shared" si="40"/>
        <v>6.4426322686138709E-2</v>
      </c>
      <c r="AL10" s="467">
        <f t="shared" si="41"/>
        <v>-2.4545091592335622E-3</v>
      </c>
      <c r="AM10" s="18">
        <f t="shared" si="49"/>
        <v>2.6528298286915128E-3</v>
      </c>
      <c r="AN10" s="18">
        <f t="shared" si="19"/>
        <v>2.641350534624551E-3</v>
      </c>
      <c r="AO10" s="385">
        <f t="shared" si="42"/>
        <v>5.0462931108566325E-2</v>
      </c>
      <c r="AP10" s="10">
        <f t="shared" si="2"/>
        <v>9.6482266622495705E-3</v>
      </c>
      <c r="AQ10" s="17">
        <f t="shared" si="43"/>
        <v>5.3091610718955899E-3</v>
      </c>
      <c r="AR10" s="17">
        <f t="shared" si="44"/>
        <v>5.664031821384855E-3</v>
      </c>
      <c r="AS10" s="314">
        <f t="shared" si="45"/>
        <v>0.10821117600731445</v>
      </c>
      <c r="AT10" s="448">
        <f t="shared" si="3"/>
        <v>8.0894242162505587E-3</v>
      </c>
      <c r="AU10" s="18">
        <f t="shared" si="50"/>
        <v>4.1595814901514471E-3</v>
      </c>
      <c r="AV10" s="18">
        <f t="shared" si="20"/>
        <v>4.4933637880596265E-3</v>
      </c>
      <c r="AW10" s="385">
        <f t="shared" si="46"/>
        <v>8.5845594634341174E-2</v>
      </c>
      <c r="AX10" s="6">
        <f t="shared" si="4"/>
        <v>1816643923.9000001</v>
      </c>
      <c r="AY10" s="319">
        <v>0</v>
      </c>
      <c r="AZ10" s="140">
        <f t="shared" si="5"/>
        <v>1065877876</v>
      </c>
      <c r="BA10" s="481">
        <v>0</v>
      </c>
      <c r="BB10" s="135">
        <v>0</v>
      </c>
      <c r="BC10" s="21">
        <v>0</v>
      </c>
      <c r="BD10" s="319">
        <v>0</v>
      </c>
      <c r="BE10" s="21">
        <f t="shared" si="6"/>
        <v>20710.8</v>
      </c>
      <c r="BF10" s="21">
        <f t="shared" si="7"/>
        <v>1817600518.8</v>
      </c>
      <c r="BG10" s="21">
        <f t="shared" ref="BG10:BG67" si="59">((BF10-BG9)*(2/(1+5)))+BG9</f>
        <v>1378364885.0029631</v>
      </c>
      <c r="BH10" s="21">
        <f t="shared" si="55"/>
        <v>66552.777777777781</v>
      </c>
      <c r="BI10" s="332">
        <f t="shared" si="56"/>
        <v>20710.854317837417</v>
      </c>
      <c r="BJ10" s="141">
        <v>0</v>
      </c>
      <c r="BK10" s="118">
        <v>0</v>
      </c>
      <c r="BL10" s="329">
        <v>0</v>
      </c>
      <c r="BM10" s="118">
        <f t="shared" si="8"/>
        <v>8946.5833333333339</v>
      </c>
      <c r="BN10" s="118">
        <f t="shared" si="9"/>
        <v>1062621488.8333334</v>
      </c>
      <c r="BO10" s="118">
        <f t="shared" ref="BO10:BO67" si="60">((BN10-BO9)*(2/(1+5)))+BO9</f>
        <v>910446409.77851844</v>
      </c>
      <c r="BP10" s="118">
        <f t="shared" si="57"/>
        <v>101763.68888888889</v>
      </c>
      <c r="BQ10" s="325">
        <f t="shared" ref="BQ10:BQ67" si="61">BO10/BP10</f>
        <v>8946.6726267420709</v>
      </c>
      <c r="BR10" s="6">
        <f t="shared" si="10"/>
        <v>1806832244.0999999</v>
      </c>
      <c r="BS10" s="8">
        <f t="shared" si="11"/>
        <v>1824349339.7</v>
      </c>
      <c r="BT10" s="331">
        <v>0</v>
      </c>
      <c r="BU10" s="319">
        <f t="shared" si="51"/>
        <v>20583.450721727273</v>
      </c>
      <c r="BV10" s="319">
        <f t="shared" si="52"/>
        <v>20814.44909036826</v>
      </c>
      <c r="BW10" s="331">
        <v>0</v>
      </c>
      <c r="BX10" s="319">
        <v>0</v>
      </c>
      <c r="BY10" s="504"/>
      <c r="BZ10" s="140">
        <f t="shared" si="12"/>
        <v>1057997221.0999999</v>
      </c>
      <c r="CA10" s="142">
        <f t="shared" si="13"/>
        <v>1066590520</v>
      </c>
      <c r="CB10" s="339">
        <v>0</v>
      </c>
      <c r="CC10" s="329">
        <f t="shared" si="53"/>
        <v>8907.2035514277104</v>
      </c>
      <c r="CD10" s="329">
        <f t="shared" si="54"/>
        <v>8982.658366176589</v>
      </c>
      <c r="CE10" s="339">
        <v>0</v>
      </c>
      <c r="CF10" s="329">
        <v>0</v>
      </c>
      <c r="CG10" s="503"/>
      <c r="CH10" s="20">
        <v>0</v>
      </c>
      <c r="CI10" s="21">
        <v>0</v>
      </c>
      <c r="CJ10" s="21">
        <v>0</v>
      </c>
      <c r="CK10" s="21">
        <v>0</v>
      </c>
      <c r="CL10" s="21">
        <v>0</v>
      </c>
      <c r="CM10" s="21">
        <v>0</v>
      </c>
      <c r="CN10" s="342">
        <v>0</v>
      </c>
      <c r="CO10" s="342">
        <v>0</v>
      </c>
      <c r="CP10" s="343">
        <v>0</v>
      </c>
      <c r="CQ10" s="141">
        <v>0</v>
      </c>
      <c r="CR10" s="118">
        <v>0</v>
      </c>
      <c r="CS10" s="118">
        <v>0</v>
      </c>
      <c r="CT10" s="118"/>
      <c r="CU10" s="118"/>
      <c r="CV10" s="118">
        <v>0</v>
      </c>
      <c r="CW10" s="350">
        <v>0</v>
      </c>
      <c r="CX10" s="350">
        <v>0</v>
      </c>
      <c r="CY10" s="351">
        <v>0</v>
      </c>
      <c r="CZ10" s="20">
        <f t="shared" si="21"/>
        <v>-4.3333333333321207</v>
      </c>
      <c r="DA10" s="21">
        <f t="shared" si="22"/>
        <v>0</v>
      </c>
      <c r="DB10" s="21">
        <f t="shared" si="23"/>
        <v>1817600518.8</v>
      </c>
      <c r="DC10" s="21">
        <v>0</v>
      </c>
      <c r="DD10" s="21">
        <v>0</v>
      </c>
      <c r="DE10" s="21">
        <v>0</v>
      </c>
      <c r="DF10" s="342">
        <v>0</v>
      </c>
      <c r="DG10" s="342">
        <v>0</v>
      </c>
      <c r="DH10" s="355">
        <v>0</v>
      </c>
      <c r="DI10" s="141">
        <f t="shared" si="24"/>
        <v>-27.766666666664605</v>
      </c>
      <c r="DJ10" s="118">
        <f t="shared" si="25"/>
        <v>0</v>
      </c>
      <c r="DK10" s="118">
        <f t="shared" si="26"/>
        <v>1062621488.8333334</v>
      </c>
      <c r="DL10" s="118">
        <v>0</v>
      </c>
      <c r="DM10" s="118">
        <v>0</v>
      </c>
      <c r="DN10" s="118">
        <v>0</v>
      </c>
      <c r="DO10" s="350">
        <v>0</v>
      </c>
      <c r="DP10" s="350">
        <v>0</v>
      </c>
      <c r="DQ10" s="351">
        <v>0</v>
      </c>
      <c r="DR10" s="135">
        <f t="shared" si="27"/>
        <v>199.60000000000218</v>
      </c>
      <c r="DS10" s="20">
        <f t="shared" si="28"/>
        <v>17517095.600000191</v>
      </c>
      <c r="DT10" s="21">
        <v>0</v>
      </c>
      <c r="DU10" s="21">
        <v>0</v>
      </c>
      <c r="DV10" s="319">
        <v>0</v>
      </c>
      <c r="DW10" s="21">
        <v>0</v>
      </c>
      <c r="DX10" s="21">
        <v>0</v>
      </c>
      <c r="DY10" s="319">
        <v>0</v>
      </c>
      <c r="DZ10" s="362">
        <v>0</v>
      </c>
      <c r="EA10" s="141">
        <f t="shared" si="29"/>
        <v>72.350000000000364</v>
      </c>
      <c r="EB10" s="143">
        <f t="shared" si="30"/>
        <v>8593298.9000000432</v>
      </c>
      <c r="EC10" s="118">
        <v>0</v>
      </c>
      <c r="ED10" s="118">
        <v>0</v>
      </c>
      <c r="EE10" s="329">
        <v>0</v>
      </c>
      <c r="EF10" s="118">
        <v>0</v>
      </c>
      <c r="EG10" s="118">
        <v>0</v>
      </c>
      <c r="EH10" s="372">
        <v>0</v>
      </c>
      <c r="EI10" s="373">
        <v>0</v>
      </c>
      <c r="EJ10" s="135">
        <f t="shared" si="31"/>
        <v>199.60000000000218</v>
      </c>
      <c r="EK10" s="21">
        <f t="shared" si="32"/>
        <v>17517095.600000191</v>
      </c>
      <c r="EL10" s="21">
        <v>0</v>
      </c>
      <c r="EM10" s="21">
        <v>0</v>
      </c>
      <c r="EN10" s="319">
        <v>0</v>
      </c>
      <c r="EO10" s="21">
        <v>0</v>
      </c>
      <c r="EP10" s="21">
        <v>0</v>
      </c>
      <c r="EQ10" s="363" t="s">
        <v>20</v>
      </c>
      <c r="ER10" s="381"/>
      <c r="ES10" s="143">
        <f t="shared" si="33"/>
        <v>72.350000000000364</v>
      </c>
      <c r="ET10" s="118">
        <f t="shared" si="34"/>
        <v>8593298.9000000432</v>
      </c>
      <c r="EU10" s="118">
        <v>0</v>
      </c>
      <c r="EV10" s="118">
        <v>0</v>
      </c>
      <c r="EW10" s="329">
        <v>0</v>
      </c>
      <c r="EX10" s="118">
        <v>0</v>
      </c>
      <c r="EY10" s="118">
        <v>0</v>
      </c>
      <c r="EZ10" s="375" t="s">
        <v>20</v>
      </c>
      <c r="FA10" s="384"/>
      <c r="FB10" s="396">
        <v>0</v>
      </c>
      <c r="FC10" s="403">
        <v>0</v>
      </c>
      <c r="FD10" s="508">
        <v>0</v>
      </c>
      <c r="FE10" s="509">
        <v>0</v>
      </c>
      <c r="FF10" s="20">
        <f t="shared" si="14"/>
        <v>199.60000000000218</v>
      </c>
      <c r="FG10" s="17">
        <f t="shared" si="15"/>
        <v>9.642558659703775E-3</v>
      </c>
      <c r="FH10" s="388" t="s">
        <v>20</v>
      </c>
      <c r="FI10" s="388" t="s">
        <v>20</v>
      </c>
      <c r="FJ10" s="314" t="s">
        <v>20</v>
      </c>
      <c r="FK10" s="442">
        <f t="shared" si="16"/>
        <v>72.350000000000364</v>
      </c>
      <c r="FL10" s="18">
        <f t="shared" si="17"/>
        <v>8.0621796300423855E-3</v>
      </c>
      <c r="FM10" s="394" t="s">
        <v>20</v>
      </c>
      <c r="FN10" s="394" t="s">
        <v>20</v>
      </c>
      <c r="FO10" s="385" t="s">
        <v>20</v>
      </c>
      <c r="FP10" s="416">
        <f t="shared" si="47"/>
        <v>2</v>
      </c>
      <c r="FQ10" s="417">
        <f t="shared" si="48"/>
        <v>2</v>
      </c>
      <c r="FR10" s="415">
        <v>0</v>
      </c>
      <c r="FS10" s="413" t="s">
        <v>20</v>
      </c>
      <c r="FT10" s="404">
        <v>0</v>
      </c>
      <c r="FU10" s="414" t="s">
        <v>20</v>
      </c>
      <c r="FV10" s="415">
        <v>0</v>
      </c>
      <c r="FW10" s="413" t="s">
        <v>20</v>
      </c>
      <c r="FX10" s="404">
        <v>0</v>
      </c>
      <c r="FY10" s="414" t="s">
        <v>20</v>
      </c>
    </row>
    <row r="11" spans="1:184" ht="11.15" thickBot="1" x14ac:dyDescent="0.35">
      <c r="A11" s="702" t="s">
        <v>25</v>
      </c>
      <c r="B11" s="703"/>
      <c r="C11" s="703"/>
      <c r="D11" s="93">
        <f ca="1">IF($H$11=0,IF(AND('Base Data'!$D$20&gt;='Base Data'!$D$19,'Base Data'!$D$20&lt;='Base Data'!$E$19),$B$9,($D$9+$E$9)/2),IF(AND('Base Data'!$D$20&gt;='Base Data'!$D$19,'Base Data'!$D$20&lt;='Base Data'!$E$19),($B$9*1000),((($D$9*1000)+($E$9*1000))/2)))</f>
        <v>25755.05</v>
      </c>
      <c r="E11" s="154" t="s">
        <v>26</v>
      </c>
      <c r="F11" s="475">
        <f ca="1">IF($G$9=0,($D$11*$AR$69),IF($G$9=1,($D$11*$AJ$69*SQRT('Base Data'!$D$18)),"Check 'Base Data D17'"))</f>
        <v>282.90799756075694</v>
      </c>
      <c r="G11" s="460" t="s">
        <v>271</v>
      </c>
      <c r="H11" s="463">
        <f>IF(F9/100&gt;=1,0,1)</f>
        <v>0</v>
      </c>
      <c r="L11" s="283">
        <f t="shared" si="35"/>
        <v>8</v>
      </c>
      <c r="M11" s="290">
        <f>'[4]BANKNIFTY-I'!C27</f>
        <v>42803</v>
      </c>
      <c r="N11" s="7">
        <f>'[4]BANKNIFTY-I'!D27</f>
        <v>20680</v>
      </c>
      <c r="O11" s="7">
        <f>'[4]BANKNIFTY-I'!E27</f>
        <v>20864.3</v>
      </c>
      <c r="P11" s="7">
        <f>'[4]BANKNIFTY-I'!F27</f>
        <v>20649</v>
      </c>
      <c r="Q11" s="7">
        <f>'[4]BANKNIFTY-I'!G27</f>
        <v>20793.25</v>
      </c>
      <c r="R11" s="11">
        <f>'[4]BANKNIFTY-I'!H27</f>
        <v>62955</v>
      </c>
      <c r="S11" s="291">
        <f>'[5]NIFTY-I'!C27</f>
        <v>42803</v>
      </c>
      <c r="T11" s="9">
        <f>'[5]NIFTY-I'!D27</f>
        <v>8923</v>
      </c>
      <c r="U11" s="9">
        <f>'[5]NIFTY-I'!E27</f>
        <v>8977.7999999999993</v>
      </c>
      <c r="V11" s="9">
        <f>'[5]NIFTY-I'!F27</f>
        <v>8912.65</v>
      </c>
      <c r="W11" s="9">
        <f>'[5]NIFTY-I'!G27</f>
        <v>8954.5</v>
      </c>
      <c r="X11" s="12">
        <f>'[5]NIFTY-I'!H27</f>
        <v>93016</v>
      </c>
      <c r="Y11" s="115"/>
      <c r="Z11" s="122">
        <f t="shared" si="36"/>
        <v>1.7641464171455224E-3</v>
      </c>
      <c r="AA11" s="19">
        <f t="shared" si="18"/>
        <v>2.6805758931014272E-4</v>
      </c>
      <c r="AB11" s="305">
        <v>0</v>
      </c>
      <c r="AC11" s="306">
        <v>0</v>
      </c>
      <c r="AD11" s="122">
        <f t="shared" si="0"/>
        <v>2.1879707380072908E-4</v>
      </c>
      <c r="AE11" s="364" t="s">
        <v>20</v>
      </c>
      <c r="AF11" s="513">
        <f t="shared" si="1"/>
        <v>4.689279499992184E-4</v>
      </c>
      <c r="AG11" s="522" t="s">
        <v>20</v>
      </c>
      <c r="AH11" s="466">
        <f t="shared" si="37"/>
        <v>1.7641464171455224E-3</v>
      </c>
      <c r="AI11" s="17">
        <f t="shared" si="38"/>
        <v>3.3722278538441596E-3</v>
      </c>
      <c r="AJ11" s="17">
        <f t="shared" si="39"/>
        <v>3.2979293823876044E-3</v>
      </c>
      <c r="AK11" s="314">
        <f t="shared" si="40"/>
        <v>6.3006852382051684E-2</v>
      </c>
      <c r="AL11" s="467">
        <f t="shared" si="41"/>
        <v>2.6805758931014272E-4</v>
      </c>
      <c r="AM11" s="18">
        <f t="shared" si="49"/>
        <v>2.641350534624551E-3</v>
      </c>
      <c r="AN11" s="18">
        <f t="shared" si="19"/>
        <v>2.5617259768029293E-3</v>
      </c>
      <c r="AO11" s="385">
        <f t="shared" si="42"/>
        <v>4.8941706067349412E-2</v>
      </c>
      <c r="AP11" s="10">
        <f t="shared" si="2"/>
        <v>1.037267239088688E-2</v>
      </c>
      <c r="AQ11" s="17">
        <f t="shared" si="43"/>
        <v>5.664031821384855E-3</v>
      </c>
      <c r="AR11" s="17">
        <f t="shared" si="44"/>
        <v>6.0507785480019543E-3</v>
      </c>
      <c r="AS11" s="314">
        <f t="shared" si="45"/>
        <v>0.11559996184467637</v>
      </c>
      <c r="AT11" s="448">
        <f t="shared" si="3"/>
        <v>7.2832475419748986E-3</v>
      </c>
      <c r="AU11" s="18">
        <f t="shared" si="50"/>
        <v>4.4933637880596265E-3</v>
      </c>
      <c r="AV11" s="18">
        <f t="shared" si="20"/>
        <v>4.7076151849313073E-3</v>
      </c>
      <c r="AW11" s="385">
        <f t="shared" si="46"/>
        <v>8.9938861824182967E-2</v>
      </c>
      <c r="AX11" s="6">
        <f t="shared" si="4"/>
        <v>1301909400</v>
      </c>
      <c r="AY11" s="319">
        <v>0</v>
      </c>
      <c r="AZ11" s="140">
        <f t="shared" si="5"/>
        <v>829981768</v>
      </c>
      <c r="BA11" s="481">
        <v>0</v>
      </c>
      <c r="BB11" s="135">
        <v>0</v>
      </c>
      <c r="BC11" s="21">
        <v>0</v>
      </c>
      <c r="BD11" s="319">
        <v>0</v>
      </c>
      <c r="BE11" s="21">
        <f t="shared" si="6"/>
        <v>20768.850000000002</v>
      </c>
      <c r="BF11" s="21">
        <f t="shared" si="7"/>
        <v>1307502951.7500002</v>
      </c>
      <c r="BG11" s="21">
        <f t="shared" si="59"/>
        <v>1354744240.5853088</v>
      </c>
      <c r="BH11" s="21">
        <f t="shared" si="55"/>
        <v>65353.518518518518</v>
      </c>
      <c r="BI11" s="332">
        <f t="shared" si="56"/>
        <v>20729.476718249371</v>
      </c>
      <c r="BJ11" s="141">
        <v>0</v>
      </c>
      <c r="BK11" s="118">
        <v>0</v>
      </c>
      <c r="BL11" s="329">
        <v>0</v>
      </c>
      <c r="BM11" s="118">
        <f t="shared" si="8"/>
        <v>8948.3166666666657</v>
      </c>
      <c r="BN11" s="118">
        <f t="shared" si="9"/>
        <v>832336623.0666666</v>
      </c>
      <c r="BO11" s="118">
        <f t="shared" si="60"/>
        <v>884409814.20790112</v>
      </c>
      <c r="BP11" s="118">
        <f t="shared" si="57"/>
        <v>98847.792592592596</v>
      </c>
      <c r="BQ11" s="325">
        <f t="shared" si="61"/>
        <v>8947.1883085245208</v>
      </c>
      <c r="BR11" s="6">
        <f t="shared" si="10"/>
        <v>1299957795</v>
      </c>
      <c r="BS11" s="8">
        <f t="shared" si="11"/>
        <v>1313512006.5</v>
      </c>
      <c r="BT11" s="331">
        <v>0</v>
      </c>
      <c r="BU11" s="319">
        <f t="shared" si="51"/>
        <v>20597.819842066387</v>
      </c>
      <c r="BV11" s="319">
        <f t="shared" si="52"/>
        <v>20774.645544205181</v>
      </c>
      <c r="BW11" s="331">
        <v>0</v>
      </c>
      <c r="BX11" s="319">
        <v>0</v>
      </c>
      <c r="BY11" s="504"/>
      <c r="BZ11" s="140">
        <f t="shared" si="12"/>
        <v>829019052.39999998</v>
      </c>
      <c r="CA11" s="142">
        <f t="shared" si="13"/>
        <v>835079044.79999995</v>
      </c>
      <c r="CB11" s="339">
        <v>0</v>
      </c>
      <c r="CC11" s="329">
        <f t="shared" si="53"/>
        <v>8911.0448735279733</v>
      </c>
      <c r="CD11" s="329">
        <f t="shared" si="54"/>
        <v>8970.6670662370088</v>
      </c>
      <c r="CE11" s="339">
        <v>0</v>
      </c>
      <c r="CF11" s="329">
        <v>0</v>
      </c>
      <c r="CG11" s="503"/>
      <c r="CH11" s="20">
        <v>0</v>
      </c>
      <c r="CI11" s="21">
        <v>0</v>
      </c>
      <c r="CJ11" s="21">
        <v>0</v>
      </c>
      <c r="CK11" s="21">
        <v>0</v>
      </c>
      <c r="CL11" s="21">
        <v>0</v>
      </c>
      <c r="CM11" s="21">
        <v>0</v>
      </c>
      <c r="CN11" s="342">
        <v>0</v>
      </c>
      <c r="CO11" s="342">
        <v>0</v>
      </c>
      <c r="CP11" s="343">
        <v>0</v>
      </c>
      <c r="CQ11" s="141">
        <v>0</v>
      </c>
      <c r="CR11" s="118">
        <v>0</v>
      </c>
      <c r="CS11" s="118">
        <v>0</v>
      </c>
      <c r="CT11" s="118"/>
      <c r="CU11" s="118"/>
      <c r="CV11" s="118">
        <v>0</v>
      </c>
      <c r="CW11" s="350">
        <v>0</v>
      </c>
      <c r="CX11" s="350">
        <v>0</v>
      </c>
      <c r="CY11" s="351">
        <v>0</v>
      </c>
      <c r="CZ11" s="20">
        <f t="shared" si="21"/>
        <v>58.05000000000291</v>
      </c>
      <c r="DA11" s="21">
        <f t="shared" si="22"/>
        <v>1307502951.7500002</v>
      </c>
      <c r="DB11" s="21">
        <f t="shared" si="23"/>
        <v>0</v>
      </c>
      <c r="DC11" s="21">
        <v>0</v>
      </c>
      <c r="DD11" s="21">
        <v>0</v>
      </c>
      <c r="DE11" s="21">
        <v>0</v>
      </c>
      <c r="DF11" s="342">
        <v>0</v>
      </c>
      <c r="DG11" s="342">
        <v>0</v>
      </c>
      <c r="DH11" s="355">
        <v>0</v>
      </c>
      <c r="DI11" s="141">
        <f t="shared" si="24"/>
        <v>1.7333333333317569</v>
      </c>
      <c r="DJ11" s="118">
        <f t="shared" si="25"/>
        <v>832336623.0666666</v>
      </c>
      <c r="DK11" s="118">
        <f t="shared" si="26"/>
        <v>0</v>
      </c>
      <c r="DL11" s="118">
        <v>0</v>
      </c>
      <c r="DM11" s="118">
        <v>0</v>
      </c>
      <c r="DN11" s="118">
        <v>0</v>
      </c>
      <c r="DO11" s="350">
        <v>0</v>
      </c>
      <c r="DP11" s="350">
        <v>0</v>
      </c>
      <c r="DQ11" s="351">
        <v>0</v>
      </c>
      <c r="DR11" s="135">
        <f t="shared" si="27"/>
        <v>215.29999999999927</v>
      </c>
      <c r="DS11" s="20">
        <f t="shared" si="28"/>
        <v>13554211.499999953</v>
      </c>
      <c r="DT11" s="21">
        <v>0</v>
      </c>
      <c r="DU11" s="21">
        <v>0</v>
      </c>
      <c r="DV11" s="319">
        <v>0</v>
      </c>
      <c r="DW11" s="21">
        <v>0</v>
      </c>
      <c r="DX11" s="21">
        <v>0</v>
      </c>
      <c r="DY11" s="319">
        <v>0</v>
      </c>
      <c r="DZ11" s="362">
        <v>0</v>
      </c>
      <c r="EA11" s="141">
        <f t="shared" si="29"/>
        <v>65.149999999999636</v>
      </c>
      <c r="EB11" s="143">
        <f t="shared" si="30"/>
        <v>6059992.3999999659</v>
      </c>
      <c r="EC11" s="118">
        <v>0</v>
      </c>
      <c r="ED11" s="118">
        <v>0</v>
      </c>
      <c r="EE11" s="329">
        <v>0</v>
      </c>
      <c r="EF11" s="118">
        <v>0</v>
      </c>
      <c r="EG11" s="118">
        <v>0</v>
      </c>
      <c r="EH11" s="372">
        <v>0</v>
      </c>
      <c r="EI11" s="373">
        <v>0</v>
      </c>
      <c r="EJ11" s="135">
        <f t="shared" si="31"/>
        <v>215.29999999999927</v>
      </c>
      <c r="EK11" s="21">
        <f t="shared" si="32"/>
        <v>13554211.499999953</v>
      </c>
      <c r="EL11" s="21">
        <v>0</v>
      </c>
      <c r="EM11" s="21">
        <v>0</v>
      </c>
      <c r="EN11" s="319">
        <v>0</v>
      </c>
      <c r="EO11" s="21">
        <v>0</v>
      </c>
      <c r="EP11" s="21">
        <v>0</v>
      </c>
      <c r="EQ11" s="363" t="s">
        <v>20</v>
      </c>
      <c r="ER11" s="381"/>
      <c r="ES11" s="143">
        <f t="shared" si="33"/>
        <v>65.149999999999636</v>
      </c>
      <c r="ET11" s="118">
        <f t="shared" si="34"/>
        <v>6059992.3999999659</v>
      </c>
      <c r="EU11" s="118">
        <v>0</v>
      </c>
      <c r="EV11" s="118">
        <v>0</v>
      </c>
      <c r="EW11" s="329">
        <v>0</v>
      </c>
      <c r="EX11" s="118">
        <v>0</v>
      </c>
      <c r="EY11" s="118">
        <v>0</v>
      </c>
      <c r="EZ11" s="375" t="s">
        <v>20</v>
      </c>
      <c r="FA11" s="384"/>
      <c r="FB11" s="396">
        <v>0</v>
      </c>
      <c r="FC11" s="403">
        <v>0</v>
      </c>
      <c r="FD11" s="508">
        <v>0</v>
      </c>
      <c r="FE11" s="509">
        <v>0</v>
      </c>
      <c r="FF11" s="20">
        <f t="shared" si="14"/>
        <v>215.29999999999927</v>
      </c>
      <c r="FG11" s="17">
        <f t="shared" si="15"/>
        <v>1.0411025145067664E-2</v>
      </c>
      <c r="FH11" s="388">
        <f>AVERAGE(FG4:FG11)</f>
        <v>9.0668151622932854E-3</v>
      </c>
      <c r="FI11" s="388" t="s">
        <v>20</v>
      </c>
      <c r="FJ11" s="314" t="s">
        <v>20</v>
      </c>
      <c r="FK11" s="442">
        <f t="shared" si="16"/>
        <v>65.149999999999636</v>
      </c>
      <c r="FL11" s="18">
        <f t="shared" si="17"/>
        <v>7.3013560461727706E-3</v>
      </c>
      <c r="FM11" s="394">
        <f>AVERAGE(FL4:FL11)</f>
        <v>7.4019831995977264E-3</v>
      </c>
      <c r="FN11" s="394" t="s">
        <v>20</v>
      </c>
      <c r="FO11" s="385" t="s">
        <v>20</v>
      </c>
      <c r="FP11" s="416">
        <f t="shared" si="47"/>
        <v>2</v>
      </c>
      <c r="FQ11" s="417">
        <f t="shared" si="48"/>
        <v>1</v>
      </c>
      <c r="FR11" s="415">
        <v>0</v>
      </c>
      <c r="FS11" s="413" t="s">
        <v>20</v>
      </c>
      <c r="FT11" s="404">
        <v>0</v>
      </c>
      <c r="FU11" s="414" t="s">
        <v>20</v>
      </c>
      <c r="FV11" s="415">
        <f t="shared" ref="FV11:FV42" si="62">ABS(Q11-Q4)/(MAX(O4:O11)-MIN(P4:P11))*100</f>
        <v>24.131232462766796</v>
      </c>
      <c r="FW11" s="413" t="str">
        <f>IF(AND(FV11&lt;30,FV11&gt;FV10),"C-R",IF(AND(FV11&lt;30,FV11=FV10),"C-F",IF(AND(FV11&lt;30,FV11&lt;FV10),"C-D",IF(AND(FV11&gt;=30,FV11&gt;FV10),"T-R",IF(AND(FV11&gt;=30,FV11=FV10),"T-F",IF(AND(FV11&gt;=30,FV11&lt;FV10),"T-D","Check"))))))</f>
        <v>C-R</v>
      </c>
      <c r="FX11" s="404">
        <f t="shared" ref="FX11:FX42" si="63">ABS(W11-W4)/(MAX(U4:U11)-MIN(V4:V11))*100</f>
        <v>31.009615384615447</v>
      </c>
      <c r="FY11" s="414" t="str">
        <f>IF(AND(FX11&lt;30,FX11&gt;FX10),"C-R",IF(AND(FX11&lt;30,FX11=FX10),"C-F",IF(AND(FX11&lt;30,FX11&lt;FX10),"C-D",IF(AND(FX11&gt;=30,FX11&gt;FX10),"T-R",IF(AND(FX11&gt;=30,FX11=FX10),"T-F",IF(AND(FX11&gt;=30,FX11&lt;FX10),"T-D","Check"))))))</f>
        <v>T-R</v>
      </c>
    </row>
    <row r="12" spans="1:184" ht="11.15" thickBot="1" x14ac:dyDescent="0.35">
      <c r="E12" s="22"/>
      <c r="F12" s="22"/>
      <c r="G12" s="23"/>
      <c r="H12" s="23"/>
      <c r="I12" s="23"/>
      <c r="J12" s="23"/>
      <c r="L12" s="283">
        <f t="shared" si="35"/>
        <v>9</v>
      </c>
      <c r="M12" s="290">
        <f>'[4]BANKNIFTY-I'!C28</f>
        <v>42804</v>
      </c>
      <c r="N12" s="7">
        <f>'[4]BANKNIFTY-I'!D28</f>
        <v>20889.400000000001</v>
      </c>
      <c r="O12" s="7">
        <f>'[4]BANKNIFTY-I'!E28</f>
        <v>20933.400000000001</v>
      </c>
      <c r="P12" s="7">
        <f>'[4]BANKNIFTY-I'!F28</f>
        <v>20703.3</v>
      </c>
      <c r="Q12" s="7">
        <f>'[4]BANKNIFTY-I'!G28</f>
        <v>20797.8</v>
      </c>
      <c r="R12" s="11">
        <f>'[4]BANKNIFTY-I'!H28</f>
        <v>67509</v>
      </c>
      <c r="S12" s="291">
        <f>'[5]NIFTY-I'!C28</f>
        <v>42804</v>
      </c>
      <c r="T12" s="9">
        <f>'[5]NIFTY-I'!D28</f>
        <v>8975</v>
      </c>
      <c r="U12" s="9">
        <f>'[5]NIFTY-I'!E28</f>
        <v>9002.9</v>
      </c>
      <c r="V12" s="9">
        <f>'[5]NIFTY-I'!F28</f>
        <v>8916.4</v>
      </c>
      <c r="W12" s="9">
        <f>'[5]NIFTY-I'!G28</f>
        <v>8958.7000000000007</v>
      </c>
      <c r="X12" s="12">
        <f>'[5]NIFTY-I'!H28</f>
        <v>115008</v>
      </c>
      <c r="Y12" s="115"/>
      <c r="Z12" s="122">
        <f t="shared" si="36"/>
        <v>2.1879707380072908E-4</v>
      </c>
      <c r="AA12" s="19">
        <f t="shared" si="18"/>
        <v>4.689279499992184E-4</v>
      </c>
      <c r="AB12" s="305">
        <v>0</v>
      </c>
      <c r="AC12" s="306">
        <v>0</v>
      </c>
      <c r="AD12" s="122">
        <f t="shared" si="0"/>
        <v>1.6636653067256899E-2</v>
      </c>
      <c r="AE12" s="364" t="s">
        <v>20</v>
      </c>
      <c r="AF12" s="513">
        <f t="shared" si="1"/>
        <v>1.597890234849542E-2</v>
      </c>
      <c r="AG12" s="522" t="s">
        <v>20</v>
      </c>
      <c r="AH12" s="466">
        <f t="shared" si="37"/>
        <v>2.1879707380072908E-4</v>
      </c>
      <c r="AI12" s="17">
        <f t="shared" si="38"/>
        <v>3.2979293823876044E-3</v>
      </c>
      <c r="AJ12" s="17">
        <f t="shared" si="39"/>
        <v>3.1979102939439659E-3</v>
      </c>
      <c r="AK12" s="314">
        <f t="shared" si="40"/>
        <v>6.1095990380393747E-2</v>
      </c>
      <c r="AL12" s="467">
        <f t="shared" si="41"/>
        <v>4.689279499992184E-4</v>
      </c>
      <c r="AM12" s="18">
        <f t="shared" si="49"/>
        <v>2.5617259768029293E-3</v>
      </c>
      <c r="AN12" s="18">
        <f t="shared" si="19"/>
        <v>2.4863401188797026E-3</v>
      </c>
      <c r="AO12" s="385">
        <f t="shared" si="42"/>
        <v>4.7501461273986273E-2</v>
      </c>
      <c r="AP12" s="10">
        <f t="shared" si="2"/>
        <v>1.1052861659233641E-2</v>
      </c>
      <c r="AQ12" s="17">
        <f t="shared" si="43"/>
        <v>6.0507785480019543E-3</v>
      </c>
      <c r="AR12" s="17">
        <f t="shared" si="44"/>
        <v>6.4610487404315733E-3</v>
      </c>
      <c r="AS12" s="314">
        <f t="shared" si="45"/>
        <v>0.12343816286535875</v>
      </c>
      <c r="AT12" s="448">
        <f t="shared" si="3"/>
        <v>9.6544699713702626E-3</v>
      </c>
      <c r="AU12" s="18">
        <f t="shared" si="50"/>
        <v>4.7076151849313073E-3</v>
      </c>
      <c r="AV12" s="18">
        <f t="shared" si="20"/>
        <v>5.1404736854999541E-3</v>
      </c>
      <c r="AW12" s="385">
        <f t="shared" si="46"/>
        <v>9.8208611865919782E-2</v>
      </c>
      <c r="AX12" s="6">
        <f t="shared" si="4"/>
        <v>1410222504.6000001</v>
      </c>
      <c r="AY12" s="319">
        <v>0</v>
      </c>
      <c r="AZ12" s="140">
        <f t="shared" si="5"/>
        <v>1032196800</v>
      </c>
      <c r="BA12" s="481">
        <v>0</v>
      </c>
      <c r="BB12" s="135">
        <v>0</v>
      </c>
      <c r="BC12" s="21">
        <v>0</v>
      </c>
      <c r="BD12" s="319">
        <v>0</v>
      </c>
      <c r="BE12" s="21">
        <f t="shared" si="6"/>
        <v>20811.5</v>
      </c>
      <c r="BF12" s="21">
        <f t="shared" si="7"/>
        <v>1404963553.5</v>
      </c>
      <c r="BG12" s="21">
        <f t="shared" si="59"/>
        <v>1371484011.5568726</v>
      </c>
      <c r="BH12" s="21">
        <f t="shared" si="55"/>
        <v>66072.012345679017</v>
      </c>
      <c r="BI12" s="332">
        <f t="shared" si="56"/>
        <v>20757.412448427796</v>
      </c>
      <c r="BJ12" s="141">
        <v>0</v>
      </c>
      <c r="BK12" s="118">
        <v>0</v>
      </c>
      <c r="BL12" s="329">
        <v>0</v>
      </c>
      <c r="BM12" s="118">
        <f t="shared" si="8"/>
        <v>8959.3333333333339</v>
      </c>
      <c r="BN12" s="118">
        <f t="shared" si="9"/>
        <v>1030395008.0000001</v>
      </c>
      <c r="BO12" s="118">
        <f t="shared" si="60"/>
        <v>933071545.47193408</v>
      </c>
      <c r="BP12" s="118">
        <f t="shared" si="57"/>
        <v>104234.52839506173</v>
      </c>
      <c r="BQ12" s="325">
        <f t="shared" si="61"/>
        <v>8951.6550785885247</v>
      </c>
      <c r="BR12" s="6">
        <f t="shared" si="10"/>
        <v>1397659079.7</v>
      </c>
      <c r="BS12" s="8">
        <f t="shared" si="11"/>
        <v>1413192900.6000001</v>
      </c>
      <c r="BT12" s="331">
        <v>0</v>
      </c>
      <c r="BU12" s="319">
        <f t="shared" si="51"/>
        <v>20637.688729940393</v>
      </c>
      <c r="BV12" s="319">
        <f t="shared" si="52"/>
        <v>20834.557163591522</v>
      </c>
      <c r="BW12" s="331">
        <v>0</v>
      </c>
      <c r="BX12" s="319">
        <v>0</v>
      </c>
      <c r="BY12" s="504"/>
      <c r="BZ12" s="140">
        <f t="shared" si="12"/>
        <v>1025457331.1999999</v>
      </c>
      <c r="CA12" s="142">
        <f t="shared" si="13"/>
        <v>1035405523.1999999</v>
      </c>
      <c r="CB12" s="339">
        <v>0</v>
      </c>
      <c r="CC12" s="329">
        <f t="shared" si="53"/>
        <v>8921.2162093373772</v>
      </c>
      <c r="CD12" s="329">
        <f t="shared" si="54"/>
        <v>8987.1434075387206</v>
      </c>
      <c r="CE12" s="339">
        <v>0</v>
      </c>
      <c r="CF12" s="329">
        <v>0</v>
      </c>
      <c r="CG12" s="503"/>
      <c r="CH12" s="20">
        <v>0</v>
      </c>
      <c r="CI12" s="21">
        <v>0</v>
      </c>
      <c r="CJ12" s="21">
        <v>0</v>
      </c>
      <c r="CK12" s="21">
        <v>0</v>
      </c>
      <c r="CL12" s="21">
        <v>0</v>
      </c>
      <c r="CM12" s="21">
        <v>0</v>
      </c>
      <c r="CN12" s="342">
        <v>0</v>
      </c>
      <c r="CO12" s="342">
        <v>0</v>
      </c>
      <c r="CP12" s="343">
        <v>0</v>
      </c>
      <c r="CQ12" s="141">
        <v>0</v>
      </c>
      <c r="CR12" s="118">
        <v>0</v>
      </c>
      <c r="CS12" s="118">
        <v>0</v>
      </c>
      <c r="CT12" s="118"/>
      <c r="CU12" s="118"/>
      <c r="CV12" s="118">
        <v>0</v>
      </c>
      <c r="CW12" s="350">
        <v>0</v>
      </c>
      <c r="CX12" s="350">
        <v>0</v>
      </c>
      <c r="CY12" s="351">
        <v>0</v>
      </c>
      <c r="CZ12" s="20">
        <f t="shared" si="21"/>
        <v>42.649999999997817</v>
      </c>
      <c r="DA12" s="21">
        <f t="shared" si="22"/>
        <v>1404963553.5</v>
      </c>
      <c r="DB12" s="21">
        <f t="shared" si="23"/>
        <v>0</v>
      </c>
      <c r="DC12" s="21">
        <v>0</v>
      </c>
      <c r="DD12" s="21">
        <v>0</v>
      </c>
      <c r="DE12" s="21">
        <v>0</v>
      </c>
      <c r="DF12" s="342">
        <v>0</v>
      </c>
      <c r="DG12" s="342">
        <v>0</v>
      </c>
      <c r="DH12" s="355">
        <v>0</v>
      </c>
      <c r="DI12" s="141">
        <f t="shared" si="24"/>
        <v>11.016666666668243</v>
      </c>
      <c r="DJ12" s="118">
        <f t="shared" si="25"/>
        <v>1030395008.0000001</v>
      </c>
      <c r="DK12" s="118">
        <f t="shared" si="26"/>
        <v>0</v>
      </c>
      <c r="DL12" s="118">
        <v>0</v>
      </c>
      <c r="DM12" s="118">
        <v>0</v>
      </c>
      <c r="DN12" s="118">
        <v>0</v>
      </c>
      <c r="DO12" s="350">
        <v>0</v>
      </c>
      <c r="DP12" s="350">
        <v>0</v>
      </c>
      <c r="DQ12" s="351">
        <v>0</v>
      </c>
      <c r="DR12" s="135">
        <f t="shared" si="27"/>
        <v>230.10000000000218</v>
      </c>
      <c r="DS12" s="20">
        <f t="shared" si="28"/>
        <v>15533820.900000148</v>
      </c>
      <c r="DT12" s="21">
        <v>0</v>
      </c>
      <c r="DU12" s="21">
        <v>0</v>
      </c>
      <c r="DV12" s="319">
        <v>0</v>
      </c>
      <c r="DW12" s="21">
        <v>0</v>
      </c>
      <c r="DX12" s="21">
        <v>0</v>
      </c>
      <c r="DY12" s="319">
        <v>0</v>
      </c>
      <c r="DZ12" s="362">
        <v>0</v>
      </c>
      <c r="EA12" s="141">
        <f t="shared" si="29"/>
        <v>86.5</v>
      </c>
      <c r="EB12" s="143">
        <f t="shared" si="30"/>
        <v>9948192</v>
      </c>
      <c r="EC12" s="118">
        <v>0</v>
      </c>
      <c r="ED12" s="118">
        <v>0</v>
      </c>
      <c r="EE12" s="329">
        <v>0</v>
      </c>
      <c r="EF12" s="118">
        <v>0</v>
      </c>
      <c r="EG12" s="118">
        <v>0</v>
      </c>
      <c r="EH12" s="329">
        <v>0</v>
      </c>
      <c r="EI12" s="374">
        <v>0</v>
      </c>
      <c r="EJ12" s="135">
        <f t="shared" si="31"/>
        <v>230.10000000000218</v>
      </c>
      <c r="EK12" s="21">
        <f t="shared" si="32"/>
        <v>15533820.900000148</v>
      </c>
      <c r="EL12" s="21">
        <f>AVERAGE(EK5:EK12)</f>
        <v>15527431.993750054</v>
      </c>
      <c r="EM12" s="21">
        <f>AVERAGE(R5:R12)</f>
        <v>66869</v>
      </c>
      <c r="EN12" s="319">
        <f>EL12/EM12</f>
        <v>232.20673247319468</v>
      </c>
      <c r="EO12" s="21">
        <f t="shared" ref="EO12:EO67" si="64">EN12*$F$4</f>
        <v>4644.1346494638938</v>
      </c>
      <c r="EP12" s="21">
        <f>EO12*'Base Data'!$D$13</f>
        <v>3483.1009870979206</v>
      </c>
      <c r="EQ12" s="363">
        <f>IF(INT(('Base Data'!$D$7)/EP12)=0,0,INT(('Base Data'!$D$7)/EP12))</f>
        <v>3</v>
      </c>
      <c r="ER12" s="314">
        <f t="shared" ref="ER12:ER43" si="65">(EN12/Q12)</f>
        <v>1.1164966124936036E-2</v>
      </c>
      <c r="ES12" s="143">
        <f t="shared" si="33"/>
        <v>86.5</v>
      </c>
      <c r="ET12" s="118">
        <f t="shared" si="34"/>
        <v>9948192</v>
      </c>
      <c r="EU12" s="118">
        <f>AVERAGE(ET5:ET12)</f>
        <v>8242979.8249999844</v>
      </c>
      <c r="EV12" s="118">
        <f>AVERAGE(X5:X12)</f>
        <v>106139</v>
      </c>
      <c r="EW12" s="329">
        <f>EU12/EV12</f>
        <v>77.662120662527286</v>
      </c>
      <c r="EX12" s="118">
        <f t="shared" ref="EX12:EX67" si="66">EW12*$G$4</f>
        <v>5824.659049689546</v>
      </c>
      <c r="EY12" s="118">
        <f>EX12*'Base Data'!$D$13</f>
        <v>4368.49428726716</v>
      </c>
      <c r="EZ12" s="375">
        <f>IF(INT(('Base Data'!$D$7)/EY12)=0,0,INT(('Base Data'!$D$7)/EY12))</f>
        <v>2</v>
      </c>
      <c r="FA12" s="385">
        <f t="shared" ref="FA12:FA43" si="67">(EW12/W12)</f>
        <v>8.6689051606290285E-3</v>
      </c>
      <c r="FB12" s="396">
        <v>0</v>
      </c>
      <c r="FC12" s="403">
        <f t="shared" ref="FC12:FC43" si="68">(Q12-AVERAGE(BE4:BE11))/EN12</f>
        <v>0.36149540442956662</v>
      </c>
      <c r="FD12" s="508">
        <v>0</v>
      </c>
      <c r="FE12" s="509">
        <f t="shared" ref="FE12:FE43" si="69">(W12-AVERAGE(BM4:BM11))/EW12</f>
        <v>0.17302514900914523</v>
      </c>
      <c r="FF12" s="20">
        <f t="shared" si="14"/>
        <v>230.10000000000218</v>
      </c>
      <c r="FG12" s="17">
        <f t="shared" si="15"/>
        <v>1.1015156012140231E-2</v>
      </c>
      <c r="FH12" s="388">
        <f t="shared" ref="FH12:FH67" si="70">AVERAGE(FG5:FG12)</f>
        <v>9.7697525746284607E-3</v>
      </c>
      <c r="FI12" s="388" t="s">
        <v>20</v>
      </c>
      <c r="FJ12" s="314" t="s">
        <v>20</v>
      </c>
      <c r="FK12" s="442">
        <f t="shared" si="16"/>
        <v>86.5</v>
      </c>
      <c r="FL12" s="18">
        <f t="shared" si="17"/>
        <v>9.6378830083565462E-3</v>
      </c>
      <c r="FM12" s="394">
        <f t="shared" ref="FM12:FM67" si="71">AVERAGE(FL5:FL12)</f>
        <v>7.8459160200182246E-3</v>
      </c>
      <c r="FN12" s="394" t="s">
        <v>20</v>
      </c>
      <c r="FO12" s="385" t="s">
        <v>20</v>
      </c>
      <c r="FP12" s="416">
        <f t="shared" si="47"/>
        <v>2</v>
      </c>
      <c r="FQ12" s="417">
        <f t="shared" si="48"/>
        <v>2</v>
      </c>
      <c r="FR12" s="415">
        <v>0</v>
      </c>
      <c r="FS12" s="413" t="s">
        <v>20</v>
      </c>
      <c r="FT12" s="404">
        <v>0</v>
      </c>
      <c r="FU12" s="414" t="s">
        <v>20</v>
      </c>
      <c r="FV12" s="415">
        <f t="shared" si="62"/>
        <v>10.608676883229256</v>
      </c>
      <c r="FW12" s="413" t="str">
        <f t="shared" ref="FW12:FW67" si="72">IF(AND(FV12&lt;30,FV12&gt;FV11),"C-R",IF(AND(FV12&lt;30,FV12=FV11),"C-F",IF(AND(FV12&lt;30,FV12&lt;FV11),"C-D",IF(AND(FV12&gt;=30,FV12&gt;FV11),"T-R",IF(AND(FV12&gt;=30,FV12=FV11),"T-F",IF(AND(FV12&gt;=30,FV12&lt;FV11),"T-D","Check"))))))</f>
        <v>C-D</v>
      </c>
      <c r="FX12" s="404">
        <f t="shared" si="63"/>
        <v>11.916208791207911</v>
      </c>
      <c r="FY12" s="414" t="str">
        <f t="shared" ref="FY12:FY67" si="73">IF(AND(FX12&lt;30,FX12&gt;FX11),"C-R",IF(AND(FX12&lt;30,FX12=FX11),"C-F",IF(AND(FX12&lt;30,FX12&lt;FX11),"C-D",IF(AND(FX12&gt;=30,FX12&gt;FX11),"T-R",IF(AND(FX12&gt;=30,FX12=FX11),"T-F",IF(AND(FX12&gt;=30,FX12&lt;FX11),"T-D","Check"))))))</f>
        <v>C-D</v>
      </c>
    </row>
    <row r="13" spans="1:184" x14ac:dyDescent="0.3">
      <c r="A13" s="691" t="s">
        <v>27</v>
      </c>
      <c r="B13" s="660" t="s">
        <v>28</v>
      </c>
      <c r="C13" s="660" t="s">
        <v>29</v>
      </c>
      <c r="D13" s="660" t="s">
        <v>30</v>
      </c>
      <c r="E13" s="685" t="s">
        <v>31</v>
      </c>
      <c r="F13" s="660" t="s">
        <v>32</v>
      </c>
      <c r="G13" s="660" t="s">
        <v>30</v>
      </c>
      <c r="H13" s="660" t="s">
        <v>33</v>
      </c>
      <c r="I13" s="660" t="s">
        <v>28</v>
      </c>
      <c r="J13" s="685" t="s">
        <v>27</v>
      </c>
      <c r="L13" s="283">
        <f t="shared" si="35"/>
        <v>10</v>
      </c>
      <c r="M13" s="290">
        <f>'[4]BANKNIFTY-I'!C29</f>
        <v>42808</v>
      </c>
      <c r="N13" s="7">
        <f>'[4]BANKNIFTY-I'!D29</f>
        <v>21246</v>
      </c>
      <c r="O13" s="7">
        <f>'[4]BANKNIFTY-I'!E29</f>
        <v>21326.3</v>
      </c>
      <c r="P13" s="7">
        <f>'[4]BANKNIFTY-I'!F29</f>
        <v>21100</v>
      </c>
      <c r="Q13" s="7">
        <f>'[4]BANKNIFTY-I'!G29</f>
        <v>21146.7</v>
      </c>
      <c r="R13" s="11">
        <f>'[4]BANKNIFTY-I'!H29</f>
        <v>78502</v>
      </c>
      <c r="S13" s="291">
        <f>'[5]NIFTY-I'!C29</f>
        <v>42808</v>
      </c>
      <c r="T13" s="9">
        <f>'[5]NIFTY-I'!D29</f>
        <v>9145</v>
      </c>
      <c r="U13" s="9">
        <f>'[5]NIFTY-I'!E29</f>
        <v>9158</v>
      </c>
      <c r="V13" s="9">
        <f>'[5]NIFTY-I'!F29</f>
        <v>9077.6</v>
      </c>
      <c r="W13" s="9">
        <f>'[5]NIFTY-I'!G29</f>
        <v>9103</v>
      </c>
      <c r="X13" s="12">
        <f>'[5]NIFTY-I'!H29</f>
        <v>190327</v>
      </c>
      <c r="Y13" s="115"/>
      <c r="Z13" s="122">
        <f t="shared" si="36"/>
        <v>1.6636653067256899E-2</v>
      </c>
      <c r="AA13" s="19">
        <f t="shared" si="18"/>
        <v>1.597890234849542E-2</v>
      </c>
      <c r="AB13" s="305">
        <v>0</v>
      </c>
      <c r="AC13" s="306">
        <v>0</v>
      </c>
      <c r="AD13" s="122">
        <f t="shared" si="0"/>
        <v>3.5827866492937508E-3</v>
      </c>
      <c r="AE13" s="364" t="s">
        <v>20</v>
      </c>
      <c r="AF13" s="513">
        <f t="shared" si="1"/>
        <v>6.9184015761723577E-4</v>
      </c>
      <c r="AG13" s="522" t="s">
        <v>20</v>
      </c>
      <c r="AH13" s="466">
        <f t="shared" si="37"/>
        <v>1.6636653067256899E-2</v>
      </c>
      <c r="AI13" s="17">
        <f t="shared" si="38"/>
        <v>3.1979102939439659E-3</v>
      </c>
      <c r="AJ13" s="17">
        <f t="shared" si="39"/>
        <v>5.1205200858938267E-3</v>
      </c>
      <c r="AK13" s="314">
        <f t="shared" si="40"/>
        <v>9.7827398880709154E-2</v>
      </c>
      <c r="AL13" s="467">
        <f t="shared" si="41"/>
        <v>1.597890234849542E-2</v>
      </c>
      <c r="AM13" s="18">
        <f t="shared" si="49"/>
        <v>2.4863401188797026E-3</v>
      </c>
      <c r="AN13" s="18">
        <f t="shared" si="19"/>
        <v>4.5967916171293687E-3</v>
      </c>
      <c r="AO13" s="385">
        <f t="shared" si="42"/>
        <v>8.7821580534219804E-2</v>
      </c>
      <c r="AP13" s="10">
        <f t="shared" si="2"/>
        <v>1.0668012350669536E-2</v>
      </c>
      <c r="AQ13" s="17">
        <f t="shared" si="43"/>
        <v>6.4610487404315733E-3</v>
      </c>
      <c r="AR13" s="17">
        <f t="shared" si="44"/>
        <v>6.7874023770144011E-3</v>
      </c>
      <c r="AS13" s="314">
        <f t="shared" si="45"/>
        <v>0.12967314033768818</v>
      </c>
      <c r="AT13" s="448">
        <f t="shared" si="3"/>
        <v>8.8179737402609877E-3</v>
      </c>
      <c r="AU13" s="18">
        <f t="shared" si="50"/>
        <v>5.1404736854999541E-3</v>
      </c>
      <c r="AV13" s="18">
        <f t="shared" si="20"/>
        <v>5.4317953921032757E-3</v>
      </c>
      <c r="AW13" s="385">
        <f t="shared" si="46"/>
        <v>0.10377430525573826</v>
      </c>
      <c r="AX13" s="6">
        <f t="shared" si="4"/>
        <v>1667853492</v>
      </c>
      <c r="AY13" s="319">
        <v>0</v>
      </c>
      <c r="AZ13" s="140">
        <f t="shared" si="5"/>
        <v>1740540415</v>
      </c>
      <c r="BA13" s="481">
        <v>0</v>
      </c>
      <c r="BB13" s="135">
        <v>0</v>
      </c>
      <c r="BC13" s="21">
        <v>0</v>
      </c>
      <c r="BD13" s="319">
        <v>0</v>
      </c>
      <c r="BE13" s="21">
        <f t="shared" si="6"/>
        <v>21191</v>
      </c>
      <c r="BF13" s="21">
        <f t="shared" si="7"/>
        <v>1663535882</v>
      </c>
      <c r="BG13" s="21">
        <f t="shared" si="59"/>
        <v>1468834635.037915</v>
      </c>
      <c r="BH13" s="21">
        <f t="shared" si="55"/>
        <v>70215.341563786016</v>
      </c>
      <c r="BI13" s="332">
        <f t="shared" si="56"/>
        <v>20918.998645097745</v>
      </c>
      <c r="BJ13" s="141">
        <v>0</v>
      </c>
      <c r="BK13" s="118">
        <v>0</v>
      </c>
      <c r="BL13" s="329">
        <v>0</v>
      </c>
      <c r="BM13" s="118">
        <f t="shared" si="8"/>
        <v>9112.8666666666668</v>
      </c>
      <c r="BN13" s="118">
        <f t="shared" si="9"/>
        <v>1734424574.0666666</v>
      </c>
      <c r="BO13" s="118">
        <f t="shared" si="60"/>
        <v>1200189221.6701782</v>
      </c>
      <c r="BP13" s="118">
        <f t="shared" si="57"/>
        <v>132932.01893004114</v>
      </c>
      <c r="BQ13" s="325">
        <f t="shared" si="61"/>
        <v>9028.5939484738301</v>
      </c>
      <c r="BR13" s="6">
        <f t="shared" si="10"/>
        <v>1656392200</v>
      </c>
      <c r="BS13" s="8">
        <f t="shared" si="11"/>
        <v>1674157202.5999999</v>
      </c>
      <c r="BT13" s="331">
        <v>0</v>
      </c>
      <c r="BU13" s="319">
        <f t="shared" si="51"/>
        <v>20750.93554760149</v>
      </c>
      <c r="BV13" s="319">
        <f t="shared" si="52"/>
        <v>20955.355773346986</v>
      </c>
      <c r="BW13" s="331">
        <v>0</v>
      </c>
      <c r="BX13" s="319">
        <v>0</v>
      </c>
      <c r="BY13" s="504"/>
      <c r="BZ13" s="140">
        <f t="shared" si="12"/>
        <v>1727712375.2</v>
      </c>
      <c r="CA13" s="142">
        <f t="shared" si="13"/>
        <v>1743014666</v>
      </c>
      <c r="CB13" s="339">
        <v>0</v>
      </c>
      <c r="CC13" s="329">
        <f t="shared" si="53"/>
        <v>8971.7135402185122</v>
      </c>
      <c r="CD13" s="329">
        <f t="shared" si="54"/>
        <v>9043.9273645570283</v>
      </c>
      <c r="CE13" s="339">
        <v>0</v>
      </c>
      <c r="CF13" s="329">
        <v>0</v>
      </c>
      <c r="CG13" s="503"/>
      <c r="CH13" s="20">
        <v>0</v>
      </c>
      <c r="CI13" s="21">
        <v>0</v>
      </c>
      <c r="CJ13" s="21">
        <v>0</v>
      </c>
      <c r="CK13" s="21">
        <v>0</v>
      </c>
      <c r="CL13" s="21">
        <v>0</v>
      </c>
      <c r="CM13" s="21">
        <v>0</v>
      </c>
      <c r="CN13" s="342">
        <v>0</v>
      </c>
      <c r="CO13" s="342">
        <v>0</v>
      </c>
      <c r="CP13" s="343">
        <v>0</v>
      </c>
      <c r="CQ13" s="141">
        <v>0</v>
      </c>
      <c r="CR13" s="118">
        <v>0</v>
      </c>
      <c r="CS13" s="118">
        <v>0</v>
      </c>
      <c r="CT13" s="118"/>
      <c r="CU13" s="118"/>
      <c r="CV13" s="118">
        <v>0</v>
      </c>
      <c r="CW13" s="350">
        <v>0</v>
      </c>
      <c r="CX13" s="350">
        <v>0</v>
      </c>
      <c r="CY13" s="351">
        <v>0</v>
      </c>
      <c r="CZ13" s="20">
        <f t="shared" si="21"/>
        <v>379.5</v>
      </c>
      <c r="DA13" s="21">
        <f t="shared" si="22"/>
        <v>1663535882</v>
      </c>
      <c r="DB13" s="21">
        <f t="shared" si="23"/>
        <v>0</v>
      </c>
      <c r="DC13" s="21">
        <v>0</v>
      </c>
      <c r="DD13" s="21">
        <v>0</v>
      </c>
      <c r="DE13" s="21">
        <v>0</v>
      </c>
      <c r="DF13" s="342">
        <v>0</v>
      </c>
      <c r="DG13" s="342">
        <v>0</v>
      </c>
      <c r="DH13" s="355">
        <v>0</v>
      </c>
      <c r="DI13" s="141">
        <f t="shared" si="24"/>
        <v>153.53333333333285</v>
      </c>
      <c r="DJ13" s="118">
        <f t="shared" si="25"/>
        <v>1734424574.0666666</v>
      </c>
      <c r="DK13" s="118">
        <f t="shared" si="26"/>
        <v>0</v>
      </c>
      <c r="DL13" s="118">
        <v>0</v>
      </c>
      <c r="DM13" s="118">
        <v>0</v>
      </c>
      <c r="DN13" s="118">
        <v>0</v>
      </c>
      <c r="DO13" s="350">
        <v>0</v>
      </c>
      <c r="DP13" s="350">
        <v>0</v>
      </c>
      <c r="DQ13" s="351">
        <v>0</v>
      </c>
      <c r="DR13" s="135">
        <f t="shared" si="27"/>
        <v>528.5</v>
      </c>
      <c r="DS13" s="20">
        <f t="shared" si="28"/>
        <v>41488307</v>
      </c>
      <c r="DT13" s="21">
        <v>0</v>
      </c>
      <c r="DU13" s="21">
        <v>0</v>
      </c>
      <c r="DV13" s="319">
        <v>0</v>
      </c>
      <c r="DW13" s="21">
        <v>0</v>
      </c>
      <c r="DX13" s="21">
        <v>0</v>
      </c>
      <c r="DY13" s="319">
        <v>0</v>
      </c>
      <c r="DZ13" s="362">
        <v>0</v>
      </c>
      <c r="EA13" s="141">
        <f t="shared" si="29"/>
        <v>199.29999999999927</v>
      </c>
      <c r="EB13" s="143">
        <f t="shared" si="30"/>
        <v>37932171.09999986</v>
      </c>
      <c r="EC13" s="118">
        <v>0</v>
      </c>
      <c r="ED13" s="118">
        <v>0</v>
      </c>
      <c r="EE13" s="329">
        <v>0</v>
      </c>
      <c r="EF13" s="118">
        <v>0</v>
      </c>
      <c r="EG13" s="118">
        <v>0</v>
      </c>
      <c r="EH13" s="329">
        <v>0</v>
      </c>
      <c r="EI13" s="374">
        <v>0</v>
      </c>
      <c r="EJ13" s="135">
        <f t="shared" si="31"/>
        <v>528.5</v>
      </c>
      <c r="EK13" s="21">
        <f t="shared" si="32"/>
        <v>41488307</v>
      </c>
      <c r="EL13" s="21">
        <f>((EK13-EL12)*(2/(1+8)))+EL12</f>
        <v>21296515.328472264</v>
      </c>
      <c r="EM13" s="21">
        <f t="shared" ref="EM13:EM44" si="74">((R13-EM12)*(2/(1+8)))+EM12</f>
        <v>69454.111111111109</v>
      </c>
      <c r="EN13" s="319">
        <f t="shared" ref="EN13:EN67" si="75">EL13/EM13</f>
        <v>306.62713823235867</v>
      </c>
      <c r="EO13" s="21">
        <f t="shared" si="64"/>
        <v>6132.5427646471735</v>
      </c>
      <c r="EP13" s="21">
        <f>EO13*'Base Data'!$D$13</f>
        <v>4599.4070734853804</v>
      </c>
      <c r="EQ13" s="363">
        <f>IF(INT(('Base Data'!$D$7)/EP13)=0,0,INT(('Base Data'!$D$7)/EP13))</f>
        <v>2</v>
      </c>
      <c r="ER13" s="314">
        <f t="shared" si="65"/>
        <v>1.4499999443523513E-2</v>
      </c>
      <c r="ES13" s="143">
        <f t="shared" si="33"/>
        <v>199.29999999999927</v>
      </c>
      <c r="ET13" s="118">
        <f t="shared" si="34"/>
        <v>37932171.09999986</v>
      </c>
      <c r="EU13" s="118">
        <f>((ET13-EU12)*(2/(1+8)))+EU12</f>
        <v>14840577.886111068</v>
      </c>
      <c r="EV13" s="118">
        <f t="shared" ref="EV13:EV44" si="76">((X13-EV12)*(2/(1+8)))+EV12</f>
        <v>124847.44444444444</v>
      </c>
      <c r="EW13" s="329">
        <f t="shared" ref="EW13:EW67" si="77">EU13/EV13</f>
        <v>118.86969695014415</v>
      </c>
      <c r="EX13" s="118">
        <f t="shared" si="66"/>
        <v>8915.2272712608101</v>
      </c>
      <c r="EY13" s="118">
        <f>EX13*'Base Data'!$D$13</f>
        <v>6686.4204534456076</v>
      </c>
      <c r="EZ13" s="375">
        <f>IF(INT(('Base Data'!$D$7)/EY13)=0,0,INT(('Base Data'!$D$7)/EY13))</f>
        <v>1</v>
      </c>
      <c r="FA13" s="385">
        <f t="shared" si="67"/>
        <v>1.3058299126677376E-2</v>
      </c>
      <c r="FB13" s="396">
        <v>0</v>
      </c>
      <c r="FC13" s="403">
        <f t="shared" si="68"/>
        <v>1.3611605039464054</v>
      </c>
      <c r="FD13" s="508">
        <v>0</v>
      </c>
      <c r="FE13" s="509">
        <f t="shared" si="69"/>
        <v>1.2757842177131116</v>
      </c>
      <c r="FF13" s="20">
        <f t="shared" si="14"/>
        <v>226.29999999999927</v>
      </c>
      <c r="FG13" s="17">
        <f t="shared" si="15"/>
        <v>1.0651416737268157E-2</v>
      </c>
      <c r="FH13" s="388">
        <f t="shared" si="70"/>
        <v>1.0045111384609859E-2</v>
      </c>
      <c r="FI13" s="388" t="s">
        <v>20</v>
      </c>
      <c r="FJ13" s="314" t="s">
        <v>20</v>
      </c>
      <c r="FK13" s="442">
        <f t="shared" si="16"/>
        <v>80.399999999999636</v>
      </c>
      <c r="FL13" s="18">
        <f t="shared" si="17"/>
        <v>8.7916894477856351E-3</v>
      </c>
      <c r="FM13" s="394">
        <f t="shared" si="71"/>
        <v>7.9321586891133583E-3</v>
      </c>
      <c r="FN13" s="394" t="s">
        <v>20</v>
      </c>
      <c r="FO13" s="385" t="s">
        <v>20</v>
      </c>
      <c r="FP13" s="416">
        <f t="shared" si="47"/>
        <v>2</v>
      </c>
      <c r="FQ13" s="417">
        <f t="shared" si="48"/>
        <v>2</v>
      </c>
      <c r="FR13" s="415">
        <v>0</v>
      </c>
      <c r="FS13" s="413" t="s">
        <v>20</v>
      </c>
      <c r="FT13" s="404">
        <v>0</v>
      </c>
      <c r="FU13" s="414" t="s">
        <v>20</v>
      </c>
      <c r="FV13" s="415">
        <f t="shared" si="62"/>
        <v>61.975471924972979</v>
      </c>
      <c r="FW13" s="413" t="str">
        <f t="shared" si="72"/>
        <v>T-R</v>
      </c>
      <c r="FX13" s="404">
        <f t="shared" si="63"/>
        <v>65.124430424114877</v>
      </c>
      <c r="FY13" s="414" t="str">
        <f t="shared" si="73"/>
        <v>T-R</v>
      </c>
    </row>
    <row r="14" spans="1:184" ht="11.15" thickBot="1" x14ac:dyDescent="0.35">
      <c r="A14" s="692"/>
      <c r="B14" s="661"/>
      <c r="C14" s="661"/>
      <c r="D14" s="661"/>
      <c r="E14" s="686"/>
      <c r="F14" s="661"/>
      <c r="G14" s="661"/>
      <c r="H14" s="661"/>
      <c r="I14" s="661"/>
      <c r="J14" s="686"/>
      <c r="L14" s="283">
        <f t="shared" si="35"/>
        <v>11</v>
      </c>
      <c r="M14" s="290">
        <f>'[4]BANKNIFTY-I'!C30</f>
        <v>42809</v>
      </c>
      <c r="N14" s="7">
        <f>'[4]BANKNIFTY-I'!D30</f>
        <v>21152.65</v>
      </c>
      <c r="O14" s="7">
        <f>'[4]BANKNIFTY-I'!E30</f>
        <v>21285</v>
      </c>
      <c r="P14" s="7">
        <f>'[4]BANKNIFTY-I'!F30</f>
        <v>21116.65</v>
      </c>
      <c r="Q14" s="7">
        <f>'[4]BANKNIFTY-I'!G30</f>
        <v>21222.6</v>
      </c>
      <c r="R14" s="11">
        <f>'[4]BANKNIFTY-I'!H30</f>
        <v>56198</v>
      </c>
      <c r="S14" s="291">
        <f>'[5]NIFTY-I'!C30</f>
        <v>42809</v>
      </c>
      <c r="T14" s="9">
        <f>'[5]NIFTY-I'!D30</f>
        <v>9116.2000000000007</v>
      </c>
      <c r="U14" s="9">
        <f>'[5]NIFTY-I'!E30</f>
        <v>9130</v>
      </c>
      <c r="V14" s="9">
        <f>'[5]NIFTY-I'!F30</f>
        <v>9101.5</v>
      </c>
      <c r="W14" s="9">
        <f>'[5]NIFTY-I'!G30</f>
        <v>9109.2999999999993</v>
      </c>
      <c r="X14" s="12">
        <f>'[5]NIFTY-I'!H30</f>
        <v>73550</v>
      </c>
      <c r="Y14" s="115"/>
      <c r="Z14" s="122">
        <f t="shared" si="36"/>
        <v>3.5827866492937508E-3</v>
      </c>
      <c r="AA14" s="19">
        <f t="shared" si="18"/>
        <v>6.9184015761723577E-4</v>
      </c>
      <c r="AB14" s="305">
        <v>0</v>
      </c>
      <c r="AC14" s="306">
        <v>0</v>
      </c>
      <c r="AD14" s="122">
        <f t="shared" si="0"/>
        <v>4.147334867318715E-3</v>
      </c>
      <c r="AE14" s="364" t="s">
        <v>20</v>
      </c>
      <c r="AF14" s="513">
        <f t="shared" si="1"/>
        <v>7.3118570048432705E-3</v>
      </c>
      <c r="AG14" s="522" t="s">
        <v>20</v>
      </c>
      <c r="AH14" s="466">
        <f t="shared" si="37"/>
        <v>3.5827866492937508E-3</v>
      </c>
      <c r="AI14" s="17">
        <f t="shared" si="38"/>
        <v>5.1205200858938267E-3</v>
      </c>
      <c r="AJ14" s="17">
        <f t="shared" si="39"/>
        <v>5.0415001739066764E-3</v>
      </c>
      <c r="AK14" s="314">
        <f t="shared" si="40"/>
        <v>9.6317725581939906E-2</v>
      </c>
      <c r="AL14" s="467">
        <f t="shared" si="41"/>
        <v>6.9184015761723577E-4</v>
      </c>
      <c r="AM14" s="18">
        <f t="shared" si="49"/>
        <v>4.5967916171293687E-3</v>
      </c>
      <c r="AN14" s="18">
        <f t="shared" si="19"/>
        <v>4.4599755772037246E-3</v>
      </c>
      <c r="AO14" s="385">
        <f t="shared" si="42"/>
        <v>8.5207713761593196E-2</v>
      </c>
      <c r="AP14" s="10">
        <f t="shared" si="2"/>
        <v>7.9407704473713706E-3</v>
      </c>
      <c r="AQ14" s="17">
        <f t="shared" si="43"/>
        <v>6.7874023770144011E-3</v>
      </c>
      <c r="AR14" s="17">
        <f t="shared" si="44"/>
        <v>6.8620733953901631E-3</v>
      </c>
      <c r="AS14" s="314">
        <f t="shared" si="45"/>
        <v>0.13109972814067289</v>
      </c>
      <c r="AT14" s="448">
        <f t="shared" si="3"/>
        <v>3.1264595030606507E-3</v>
      </c>
      <c r="AU14" s="18">
        <f t="shared" si="50"/>
        <v>5.4317953921032757E-3</v>
      </c>
      <c r="AV14" s="18">
        <f t="shared" si="20"/>
        <v>5.321712323325135E-3</v>
      </c>
      <c r="AW14" s="385">
        <f t="shared" si="46"/>
        <v>0.10167117117976054</v>
      </c>
      <c r="AX14" s="6">
        <f t="shared" si="4"/>
        <v>1188736624.7</v>
      </c>
      <c r="AY14" s="319">
        <v>0</v>
      </c>
      <c r="AZ14" s="140">
        <f t="shared" si="5"/>
        <v>670496510</v>
      </c>
      <c r="BA14" s="481">
        <v>0</v>
      </c>
      <c r="BB14" s="135">
        <v>0</v>
      </c>
      <c r="BC14" s="21">
        <v>0</v>
      </c>
      <c r="BD14" s="319">
        <v>0</v>
      </c>
      <c r="BE14" s="21">
        <f t="shared" si="6"/>
        <v>21208.083333333332</v>
      </c>
      <c r="BF14" s="21">
        <f t="shared" si="7"/>
        <v>1191851867.1666665</v>
      </c>
      <c r="BG14" s="21">
        <f t="shared" si="59"/>
        <v>1376507045.7474988</v>
      </c>
      <c r="BH14" s="21">
        <f t="shared" si="55"/>
        <v>65542.894375857344</v>
      </c>
      <c r="BI14" s="332">
        <f t="shared" si="56"/>
        <v>21001.62128718157</v>
      </c>
      <c r="BJ14" s="141">
        <v>0</v>
      </c>
      <c r="BK14" s="118">
        <v>0</v>
      </c>
      <c r="BL14" s="329">
        <v>0</v>
      </c>
      <c r="BM14" s="118">
        <f t="shared" si="8"/>
        <v>9113.6</v>
      </c>
      <c r="BN14" s="118">
        <f t="shared" si="9"/>
        <v>670305280</v>
      </c>
      <c r="BO14" s="118">
        <f t="shared" si="60"/>
        <v>1023561241.1134522</v>
      </c>
      <c r="BP14" s="118">
        <f t="shared" si="57"/>
        <v>113138.01262002744</v>
      </c>
      <c r="BQ14" s="325">
        <f t="shared" si="61"/>
        <v>9047.0145038791652</v>
      </c>
      <c r="BR14" s="6">
        <f t="shared" si="10"/>
        <v>1186713496.7</v>
      </c>
      <c r="BS14" s="8">
        <f t="shared" si="11"/>
        <v>1196174430</v>
      </c>
      <c r="BT14" s="331">
        <v>0</v>
      </c>
      <c r="BU14" s="319">
        <f t="shared" si="51"/>
        <v>20819.026182616701</v>
      </c>
      <c r="BV14" s="319">
        <f t="shared" si="52"/>
        <v>21028.223785223487</v>
      </c>
      <c r="BW14" s="331">
        <v>0</v>
      </c>
      <c r="BX14" s="319">
        <v>0</v>
      </c>
      <c r="BY14" s="504"/>
      <c r="BZ14" s="140">
        <f t="shared" si="12"/>
        <v>669415325</v>
      </c>
      <c r="CA14" s="142">
        <f t="shared" si="13"/>
        <v>671511500</v>
      </c>
      <c r="CB14" s="339">
        <v>0</v>
      </c>
      <c r="CC14" s="329">
        <f t="shared" si="53"/>
        <v>8989.0401742074737</v>
      </c>
      <c r="CD14" s="329">
        <f t="shared" si="54"/>
        <v>9060.14517966733</v>
      </c>
      <c r="CE14" s="339">
        <v>0</v>
      </c>
      <c r="CF14" s="329">
        <v>0</v>
      </c>
      <c r="CG14" s="503"/>
      <c r="CH14" s="20">
        <v>0</v>
      </c>
      <c r="CI14" s="21">
        <v>0</v>
      </c>
      <c r="CJ14" s="21">
        <v>0</v>
      </c>
      <c r="CK14" s="21">
        <v>0</v>
      </c>
      <c r="CL14" s="21">
        <v>0</v>
      </c>
      <c r="CM14" s="21">
        <v>0</v>
      </c>
      <c r="CN14" s="342">
        <v>0</v>
      </c>
      <c r="CO14" s="342">
        <v>0</v>
      </c>
      <c r="CP14" s="343">
        <v>0</v>
      </c>
      <c r="CQ14" s="141">
        <v>0</v>
      </c>
      <c r="CR14" s="118">
        <v>0</v>
      </c>
      <c r="CS14" s="118">
        <v>0</v>
      </c>
      <c r="CT14" s="118"/>
      <c r="CU14" s="118"/>
      <c r="CV14" s="118">
        <v>0</v>
      </c>
      <c r="CW14" s="350">
        <v>0</v>
      </c>
      <c r="CX14" s="350">
        <v>0</v>
      </c>
      <c r="CY14" s="351">
        <v>0</v>
      </c>
      <c r="CZ14" s="20">
        <f t="shared" si="21"/>
        <v>17.083333333332121</v>
      </c>
      <c r="DA14" s="21">
        <f t="shared" si="22"/>
        <v>1191851867.1666665</v>
      </c>
      <c r="DB14" s="21">
        <f t="shared" si="23"/>
        <v>0</v>
      </c>
      <c r="DC14" s="21">
        <v>0</v>
      </c>
      <c r="DD14" s="21">
        <v>0</v>
      </c>
      <c r="DE14" s="21">
        <v>0</v>
      </c>
      <c r="DF14" s="342">
        <v>0</v>
      </c>
      <c r="DG14" s="342">
        <v>0</v>
      </c>
      <c r="DH14" s="355">
        <v>0</v>
      </c>
      <c r="DI14" s="141">
        <f t="shared" si="24"/>
        <v>0.73333333333357587</v>
      </c>
      <c r="DJ14" s="118">
        <f t="shared" si="25"/>
        <v>670305280</v>
      </c>
      <c r="DK14" s="118">
        <f t="shared" si="26"/>
        <v>0</v>
      </c>
      <c r="DL14" s="118">
        <v>0</v>
      </c>
      <c r="DM14" s="118">
        <v>0</v>
      </c>
      <c r="DN14" s="118">
        <v>0</v>
      </c>
      <c r="DO14" s="350">
        <v>0</v>
      </c>
      <c r="DP14" s="350">
        <v>0</v>
      </c>
      <c r="DQ14" s="351">
        <v>0</v>
      </c>
      <c r="DR14" s="135">
        <f t="shared" si="27"/>
        <v>168.34999999999854</v>
      </c>
      <c r="DS14" s="20">
        <f t="shared" si="28"/>
        <v>9460933.2999999188</v>
      </c>
      <c r="DT14" s="21">
        <v>0</v>
      </c>
      <c r="DU14" s="21">
        <v>0</v>
      </c>
      <c r="DV14" s="319">
        <v>0</v>
      </c>
      <c r="DW14" s="21">
        <v>0</v>
      </c>
      <c r="DX14" s="21">
        <v>0</v>
      </c>
      <c r="DY14" s="319">
        <v>0</v>
      </c>
      <c r="DZ14" s="362">
        <v>0</v>
      </c>
      <c r="EA14" s="141">
        <f t="shared" si="29"/>
        <v>28.5</v>
      </c>
      <c r="EB14" s="143">
        <f t="shared" si="30"/>
        <v>2096175</v>
      </c>
      <c r="EC14" s="118">
        <v>0</v>
      </c>
      <c r="ED14" s="118">
        <v>0</v>
      </c>
      <c r="EE14" s="329">
        <v>0</v>
      </c>
      <c r="EF14" s="118">
        <v>0</v>
      </c>
      <c r="EG14" s="118">
        <v>0</v>
      </c>
      <c r="EH14" s="329">
        <v>0</v>
      </c>
      <c r="EI14" s="374">
        <v>0</v>
      </c>
      <c r="EJ14" s="135">
        <f t="shared" si="31"/>
        <v>168.34999999999854</v>
      </c>
      <c r="EK14" s="21">
        <f t="shared" si="32"/>
        <v>9460933.2999999188</v>
      </c>
      <c r="EL14" s="21">
        <f t="shared" ref="EL14:EL67" si="78">((EK14-EL13)*(2/(1+8)))+EL13</f>
        <v>18666385.988811743</v>
      </c>
      <c r="EM14" s="21">
        <f t="shared" si="74"/>
        <v>66508.308641975309</v>
      </c>
      <c r="EN14" s="319">
        <f t="shared" si="75"/>
        <v>280.66246714069717</v>
      </c>
      <c r="EO14" s="21">
        <f t="shared" si="64"/>
        <v>5613.2493428139433</v>
      </c>
      <c r="EP14" s="21">
        <f>EO14*'Base Data'!$D$13</f>
        <v>4209.9370071104577</v>
      </c>
      <c r="EQ14" s="363">
        <f>IF(INT(('Base Data'!$D$7)/EP14)=0,0,INT(('Base Data'!$D$7)/EP14))</f>
        <v>2</v>
      </c>
      <c r="ER14" s="314">
        <f t="shared" si="65"/>
        <v>1.3224697593164702E-2</v>
      </c>
      <c r="ES14" s="143">
        <f t="shared" si="33"/>
        <v>28.5</v>
      </c>
      <c r="ET14" s="118">
        <f t="shared" si="34"/>
        <v>2096175</v>
      </c>
      <c r="EU14" s="118">
        <f t="shared" ref="EU14:EU67" si="79">((ET14-EU13)*(2/(1+8)))+EU13</f>
        <v>12008488.355864163</v>
      </c>
      <c r="EV14" s="118">
        <f t="shared" si="76"/>
        <v>113448.012345679</v>
      </c>
      <c r="EW14" s="329">
        <f t="shared" si="77"/>
        <v>105.85014322925281</v>
      </c>
      <c r="EX14" s="118">
        <f t="shared" si="66"/>
        <v>7938.7607421939611</v>
      </c>
      <c r="EY14" s="118">
        <f>EX14*'Base Data'!$D$13</f>
        <v>5954.0705566454708</v>
      </c>
      <c r="EZ14" s="375">
        <f>IF(INT(('Base Data'!$D$7)/EY14)=0,0,INT(('Base Data'!$D$7)/EY14))</f>
        <v>1</v>
      </c>
      <c r="FA14" s="385">
        <f t="shared" si="67"/>
        <v>1.1620008478066681E-2</v>
      </c>
      <c r="FB14" s="396">
        <v>0</v>
      </c>
      <c r="FC14" s="403">
        <f t="shared" si="68"/>
        <v>1.5941227240847176</v>
      </c>
      <c r="FD14" s="508">
        <v>0</v>
      </c>
      <c r="FE14" s="509">
        <f t="shared" si="69"/>
        <v>1.3163263561350182</v>
      </c>
      <c r="FF14" s="20">
        <f t="shared" si="14"/>
        <v>168.34999999999854</v>
      </c>
      <c r="FG14" s="17">
        <f t="shared" si="15"/>
        <v>7.9588136711002417E-3</v>
      </c>
      <c r="FH14" s="388">
        <f t="shared" si="70"/>
        <v>8.7911954504233131E-3</v>
      </c>
      <c r="FI14" s="388" t="s">
        <v>20</v>
      </c>
      <c r="FJ14" s="314" t="s">
        <v>20</v>
      </c>
      <c r="FK14" s="442">
        <f t="shared" si="16"/>
        <v>28.5</v>
      </c>
      <c r="FL14" s="18">
        <f t="shared" si="17"/>
        <v>3.1263026260942056E-3</v>
      </c>
      <c r="FM14" s="394">
        <f t="shared" si="71"/>
        <v>6.6557706480272934E-3</v>
      </c>
      <c r="FN14" s="394" t="s">
        <v>20</v>
      </c>
      <c r="FO14" s="385" t="s">
        <v>20</v>
      </c>
      <c r="FP14" s="416">
        <f t="shared" si="47"/>
        <v>2</v>
      </c>
      <c r="FQ14" s="417">
        <f t="shared" si="48"/>
        <v>2</v>
      </c>
      <c r="FR14" s="415">
        <v>0</v>
      </c>
      <c r="FS14" s="413" t="s">
        <v>20</v>
      </c>
      <c r="FT14" s="404">
        <v>0</v>
      </c>
      <c r="FU14" s="414" t="s">
        <v>20</v>
      </c>
      <c r="FV14" s="415">
        <f t="shared" si="62"/>
        <v>77.275459901406336</v>
      </c>
      <c r="FW14" s="413" t="str">
        <f t="shared" si="72"/>
        <v>T-R</v>
      </c>
      <c r="FX14" s="404">
        <f t="shared" si="63"/>
        <v>65.369786189975628</v>
      </c>
      <c r="FY14" s="414" t="str">
        <f t="shared" si="73"/>
        <v>T-R</v>
      </c>
    </row>
    <row r="15" spans="1:184" x14ac:dyDescent="0.3">
      <c r="A15" s="107">
        <v>86.25</v>
      </c>
      <c r="B15" s="108">
        <f>A15/180</f>
        <v>0.47916666666666669</v>
      </c>
      <c r="C15" s="109">
        <f t="shared" ref="C15:C25" ca="1" si="80">POWER(SQRT($F$11)+B15,2)</f>
        <v>299.25663950508192</v>
      </c>
      <c r="D15" s="110" t="s">
        <v>34</v>
      </c>
      <c r="E15" s="269">
        <f t="shared" ref="E15:E25" ca="1" si="81">$D$11+(C15*B15)</f>
        <v>25898.443806429517</v>
      </c>
      <c r="F15" s="264">
        <f t="shared" ref="F15:F25" ca="1" si="82">$D$11-(H15*I15)</f>
        <v>25627.103608101617</v>
      </c>
      <c r="G15" s="110" t="s">
        <v>35</v>
      </c>
      <c r="H15" s="109">
        <f t="shared" ref="H15:H25" ca="1" si="83">POWER(SQRT($F$11)-I15,2)</f>
        <v>267.01855700532087</v>
      </c>
      <c r="I15" s="108">
        <f t="shared" ref="I15:I25" si="84">J15/180</f>
        <v>0.47916666666666669</v>
      </c>
      <c r="J15" s="111">
        <v>86.25</v>
      </c>
      <c r="L15" s="283">
        <f t="shared" si="35"/>
        <v>12</v>
      </c>
      <c r="M15" s="290">
        <f>'[4]BANKNIFTY-I'!C31</f>
        <v>42810</v>
      </c>
      <c r="N15" s="7">
        <f>'[4]BANKNIFTY-I'!D31</f>
        <v>21278.65</v>
      </c>
      <c r="O15" s="7">
        <f>'[4]BANKNIFTY-I'!E31</f>
        <v>21347.1</v>
      </c>
      <c r="P15" s="7">
        <f>'[4]BANKNIFTY-I'!F31</f>
        <v>21250.05</v>
      </c>
      <c r="Q15" s="7">
        <f>'[4]BANKNIFTY-I'!G31</f>
        <v>21310.799999999999</v>
      </c>
      <c r="R15" s="11">
        <f>'[4]BANKNIFTY-I'!H31</f>
        <v>55895</v>
      </c>
      <c r="S15" s="291">
        <f>'[5]NIFTY-I'!C31</f>
        <v>42810</v>
      </c>
      <c r="T15" s="9">
        <f>'[5]NIFTY-I'!D31</f>
        <v>9156</v>
      </c>
      <c r="U15" s="9">
        <f>'[5]NIFTY-I'!E31</f>
        <v>9181.25</v>
      </c>
      <c r="V15" s="9">
        <f>'[5]NIFTY-I'!F31</f>
        <v>9152.1</v>
      </c>
      <c r="W15" s="9">
        <f>'[5]NIFTY-I'!G31</f>
        <v>9176.15</v>
      </c>
      <c r="X15" s="12">
        <f>'[5]NIFTY-I'!H31</f>
        <v>99303</v>
      </c>
      <c r="Y15" s="115"/>
      <c r="Z15" s="122">
        <f t="shared" si="36"/>
        <v>4.147334867318715E-3</v>
      </c>
      <c r="AA15" s="19">
        <f t="shared" si="18"/>
        <v>7.3118570048432705E-3</v>
      </c>
      <c r="AB15" s="305">
        <v>0</v>
      </c>
      <c r="AC15" s="306">
        <v>0</v>
      </c>
      <c r="AD15" s="122">
        <f t="shared" si="0"/>
        <v>-3.5867690108839301E-3</v>
      </c>
      <c r="AE15" s="364" t="s">
        <v>20</v>
      </c>
      <c r="AF15" s="513">
        <f t="shared" si="1"/>
        <v>-4.7961893016044602E-4</v>
      </c>
      <c r="AG15" s="522" t="s">
        <v>20</v>
      </c>
      <c r="AH15" s="466">
        <f t="shared" si="37"/>
        <v>4.147334867318715E-3</v>
      </c>
      <c r="AI15" s="17">
        <f t="shared" si="38"/>
        <v>5.0415001739066764E-3</v>
      </c>
      <c r="AJ15" s="17">
        <f t="shared" si="39"/>
        <v>4.9923685514384492E-3</v>
      </c>
      <c r="AK15" s="314">
        <f t="shared" si="40"/>
        <v>9.5379067252662666E-2</v>
      </c>
      <c r="AL15" s="467">
        <f t="shared" si="41"/>
        <v>7.3118570048432705E-3</v>
      </c>
      <c r="AM15" s="18">
        <f t="shared" si="49"/>
        <v>4.4599755772037246E-3</v>
      </c>
      <c r="AN15" s="18">
        <f t="shared" si="19"/>
        <v>4.6803519517077995E-3</v>
      </c>
      <c r="AO15" s="385">
        <f t="shared" si="42"/>
        <v>8.9417998484796549E-2</v>
      </c>
      <c r="AP15" s="10">
        <f t="shared" si="2"/>
        <v>4.5566507581488135E-3</v>
      </c>
      <c r="AQ15" s="17">
        <f t="shared" si="43"/>
        <v>6.8620733953901631E-3</v>
      </c>
      <c r="AR15" s="17">
        <f t="shared" si="44"/>
        <v>6.7460026811885041E-3</v>
      </c>
      <c r="AS15" s="314">
        <f t="shared" si="45"/>
        <v>0.12888220025950017</v>
      </c>
      <c r="AT15" s="448">
        <f t="shared" si="3"/>
        <v>3.179999788876313E-3</v>
      </c>
      <c r="AU15" s="18">
        <f t="shared" si="50"/>
        <v>5.321712323325135E-3</v>
      </c>
      <c r="AV15" s="18">
        <f t="shared" si="20"/>
        <v>5.2180579384031346E-3</v>
      </c>
      <c r="AW15" s="385">
        <f t="shared" si="46"/>
        <v>9.9690856936401992E-2</v>
      </c>
      <c r="AX15" s="6">
        <f t="shared" si="4"/>
        <v>1189370141.75</v>
      </c>
      <c r="AY15" s="319">
        <v>0</v>
      </c>
      <c r="AZ15" s="140">
        <f t="shared" si="5"/>
        <v>909218268</v>
      </c>
      <c r="BA15" s="481">
        <v>0</v>
      </c>
      <c r="BB15" s="135">
        <v>0</v>
      </c>
      <c r="BC15" s="21">
        <v>0</v>
      </c>
      <c r="BD15" s="319">
        <v>0</v>
      </c>
      <c r="BE15" s="21">
        <f t="shared" si="6"/>
        <v>21302.649999999998</v>
      </c>
      <c r="BF15" s="21">
        <f t="shared" si="7"/>
        <v>1190711621.7499998</v>
      </c>
      <c r="BG15" s="21">
        <f t="shared" si="59"/>
        <v>1314575237.7483325</v>
      </c>
      <c r="BH15" s="21">
        <f t="shared" si="55"/>
        <v>62326.929583904894</v>
      </c>
      <c r="BI15" s="332">
        <f t="shared" si="56"/>
        <v>21091.609141095956</v>
      </c>
      <c r="BJ15" s="141">
        <v>0</v>
      </c>
      <c r="BK15" s="118">
        <v>0</v>
      </c>
      <c r="BL15" s="329">
        <v>0</v>
      </c>
      <c r="BM15" s="118">
        <f t="shared" si="8"/>
        <v>9169.8333333333339</v>
      </c>
      <c r="BN15" s="118">
        <f t="shared" si="9"/>
        <v>910591959.50000012</v>
      </c>
      <c r="BO15" s="118">
        <f t="shared" si="60"/>
        <v>985904813.90896821</v>
      </c>
      <c r="BP15" s="118">
        <f t="shared" si="57"/>
        <v>108526.34174668496</v>
      </c>
      <c r="BQ15" s="325">
        <f t="shared" si="61"/>
        <v>9084.4747739696431</v>
      </c>
      <c r="BR15" s="6">
        <f t="shared" si="10"/>
        <v>1187771544.75</v>
      </c>
      <c r="BS15" s="8">
        <f t="shared" si="11"/>
        <v>1193196154.5</v>
      </c>
      <c r="BT15" s="331">
        <v>0</v>
      </c>
      <c r="BU15" s="319">
        <f t="shared" si="51"/>
        <v>20957.188915900191</v>
      </c>
      <c r="BV15" s="319">
        <f t="shared" si="52"/>
        <v>21149.485590498945</v>
      </c>
      <c r="BW15" s="331">
        <v>0</v>
      </c>
      <c r="BX15" s="319">
        <v>0</v>
      </c>
      <c r="BY15" s="504"/>
      <c r="BZ15" s="140">
        <f t="shared" si="12"/>
        <v>908830986.30000007</v>
      </c>
      <c r="CA15" s="142">
        <f t="shared" si="13"/>
        <v>911725668.75</v>
      </c>
      <c r="CB15" s="339">
        <v>0</v>
      </c>
      <c r="CC15" s="329">
        <f t="shared" si="53"/>
        <v>9034.311857234894</v>
      </c>
      <c r="CD15" s="329">
        <f t="shared" si="54"/>
        <v>9097.8641654295134</v>
      </c>
      <c r="CE15" s="339">
        <v>0</v>
      </c>
      <c r="CF15" s="329">
        <v>0</v>
      </c>
      <c r="CG15" s="503"/>
      <c r="CH15" s="20">
        <f>AVERAGE(BF4:BF15)</f>
        <v>1339848040.4458332</v>
      </c>
      <c r="CI15" s="21">
        <f>AVERAGE(R4:R15)</f>
        <v>64254.75</v>
      </c>
      <c r="CJ15" s="21">
        <f>CH15/CI15</f>
        <v>20852.124402411235</v>
      </c>
      <c r="CK15" s="21">
        <v>0</v>
      </c>
      <c r="CL15" s="21">
        <v>0</v>
      </c>
      <c r="CM15" s="21">
        <v>0</v>
      </c>
      <c r="CN15" s="342">
        <v>0</v>
      </c>
      <c r="CO15" s="342">
        <v>0</v>
      </c>
      <c r="CP15" s="343">
        <v>0</v>
      </c>
      <c r="CQ15" s="141">
        <f>AVERAGE(BN4:BN15)</f>
        <v>975299835.36249983</v>
      </c>
      <c r="CR15" s="118">
        <f>AVERAGE(X4:X15)</f>
        <v>108404.75</v>
      </c>
      <c r="CS15" s="118">
        <f>CQ15/CR15</f>
        <v>8996.8367194472557</v>
      </c>
      <c r="CT15" s="118"/>
      <c r="CU15" s="118"/>
      <c r="CV15" s="118">
        <v>0</v>
      </c>
      <c r="CW15" s="350">
        <v>0</v>
      </c>
      <c r="CX15" s="350">
        <v>0</v>
      </c>
      <c r="CY15" s="351">
        <v>0</v>
      </c>
      <c r="CZ15" s="20">
        <f t="shared" si="21"/>
        <v>94.566666666665697</v>
      </c>
      <c r="DA15" s="21">
        <f t="shared" si="22"/>
        <v>1190711621.7499998</v>
      </c>
      <c r="DB15" s="21">
        <f t="shared" si="23"/>
        <v>0</v>
      </c>
      <c r="DC15" s="21">
        <v>0</v>
      </c>
      <c r="DD15" s="21">
        <v>0</v>
      </c>
      <c r="DE15" s="21">
        <v>0</v>
      </c>
      <c r="DF15" s="342">
        <v>0</v>
      </c>
      <c r="DG15" s="342">
        <v>0</v>
      </c>
      <c r="DH15" s="355">
        <v>0</v>
      </c>
      <c r="DI15" s="141">
        <f t="shared" si="24"/>
        <v>56.233333333333576</v>
      </c>
      <c r="DJ15" s="118">
        <f t="shared" si="25"/>
        <v>910591959.50000012</v>
      </c>
      <c r="DK15" s="118">
        <f t="shared" si="26"/>
        <v>0</v>
      </c>
      <c r="DL15" s="118">
        <v>0</v>
      </c>
      <c r="DM15" s="118">
        <v>0</v>
      </c>
      <c r="DN15" s="118">
        <v>0</v>
      </c>
      <c r="DO15" s="350">
        <v>0</v>
      </c>
      <c r="DP15" s="350">
        <v>0</v>
      </c>
      <c r="DQ15" s="351">
        <v>0</v>
      </c>
      <c r="DR15" s="135">
        <f t="shared" si="27"/>
        <v>124.5</v>
      </c>
      <c r="DS15" s="20">
        <f t="shared" si="28"/>
        <v>6958927.5</v>
      </c>
      <c r="DT15" s="21">
        <v>0</v>
      </c>
      <c r="DU15" s="21">
        <v>0</v>
      </c>
      <c r="DV15" s="319">
        <v>0</v>
      </c>
      <c r="DW15" s="21">
        <v>0</v>
      </c>
      <c r="DX15" s="21">
        <v>0</v>
      </c>
      <c r="DY15" s="319">
        <v>0</v>
      </c>
      <c r="DZ15" s="362">
        <v>0</v>
      </c>
      <c r="EA15" s="141">
        <f t="shared" si="29"/>
        <v>71.950000000000728</v>
      </c>
      <c r="EB15" s="143">
        <f t="shared" si="30"/>
        <v>7144850.8500000723</v>
      </c>
      <c r="EC15" s="118">
        <v>0</v>
      </c>
      <c r="ED15" s="118">
        <v>0</v>
      </c>
      <c r="EE15" s="329">
        <v>0</v>
      </c>
      <c r="EF15" s="118">
        <v>0</v>
      </c>
      <c r="EG15" s="118">
        <v>0</v>
      </c>
      <c r="EH15" s="329">
        <v>0</v>
      </c>
      <c r="EI15" s="374">
        <v>0</v>
      </c>
      <c r="EJ15" s="135">
        <f t="shared" si="31"/>
        <v>124.5</v>
      </c>
      <c r="EK15" s="21">
        <f t="shared" si="32"/>
        <v>6958927.5</v>
      </c>
      <c r="EL15" s="21">
        <f t="shared" si="78"/>
        <v>16064728.546853578</v>
      </c>
      <c r="EM15" s="21">
        <f t="shared" si="74"/>
        <v>64149.795610425237</v>
      </c>
      <c r="EN15" s="319">
        <f t="shared" si="75"/>
        <v>250.42524912180446</v>
      </c>
      <c r="EO15" s="21">
        <f t="shared" si="64"/>
        <v>5008.5049824360894</v>
      </c>
      <c r="EP15" s="21">
        <f>EO15*'Base Data'!$D$13</f>
        <v>3756.3787368270669</v>
      </c>
      <c r="EQ15" s="363">
        <f>IF(INT(('Base Data'!$D$7)/EP15)=0,0,INT(('Base Data'!$D$7)/EP15))</f>
        <v>2</v>
      </c>
      <c r="ER15" s="314">
        <f t="shared" si="65"/>
        <v>1.175109564736211E-2</v>
      </c>
      <c r="ES15" s="143">
        <f t="shared" si="33"/>
        <v>71.950000000000728</v>
      </c>
      <c r="ET15" s="118">
        <f t="shared" si="34"/>
        <v>7144850.8500000723</v>
      </c>
      <c r="EU15" s="118">
        <f t="shared" si="79"/>
        <v>10927680.021227699</v>
      </c>
      <c r="EV15" s="118">
        <f t="shared" si="76"/>
        <v>110304.67626886144</v>
      </c>
      <c r="EW15" s="329">
        <f t="shared" si="77"/>
        <v>99.068148249599986</v>
      </c>
      <c r="EX15" s="118">
        <f t="shared" si="66"/>
        <v>7430.1111187199986</v>
      </c>
      <c r="EY15" s="118">
        <f>EX15*'Base Data'!$D$13</f>
        <v>5572.5833390399985</v>
      </c>
      <c r="EZ15" s="375">
        <f>IF(INT(('Base Data'!$D$7)/EY15)=0,0,INT(('Base Data'!$D$7)/EY15))</f>
        <v>1</v>
      </c>
      <c r="FA15" s="385">
        <f t="shared" si="67"/>
        <v>1.0796265127488106E-2</v>
      </c>
      <c r="FB15" s="396">
        <v>0</v>
      </c>
      <c r="FC15" s="403">
        <f t="shared" si="68"/>
        <v>1.8969399784268899</v>
      </c>
      <c r="FD15" s="508">
        <v>0</v>
      </c>
      <c r="FE15" s="509">
        <f t="shared" si="69"/>
        <v>1.8679692037218112</v>
      </c>
      <c r="FF15" s="20">
        <f t="shared" si="14"/>
        <v>97.049999999999272</v>
      </c>
      <c r="FG15" s="17">
        <f t="shared" si="15"/>
        <v>4.5609096441738203E-3</v>
      </c>
      <c r="FH15" s="388">
        <f t="shared" si="70"/>
        <v>8.5980029461366937E-3</v>
      </c>
      <c r="FI15" s="388" t="s">
        <v>20</v>
      </c>
      <c r="FJ15" s="314" t="s">
        <v>20</v>
      </c>
      <c r="FK15" s="442">
        <f t="shared" si="16"/>
        <v>29.149999999999636</v>
      </c>
      <c r="FL15" s="18">
        <f t="shared" si="17"/>
        <v>3.183704674530323E-3</v>
      </c>
      <c r="FM15" s="394">
        <f t="shared" si="71"/>
        <v>6.2052983428793887E-3</v>
      </c>
      <c r="FN15" s="394" t="s">
        <v>20</v>
      </c>
      <c r="FO15" s="385" t="s">
        <v>20</v>
      </c>
      <c r="FP15" s="416">
        <f t="shared" si="47"/>
        <v>2</v>
      </c>
      <c r="FQ15" s="417">
        <f t="shared" si="48"/>
        <v>1</v>
      </c>
      <c r="FR15" s="415">
        <v>0</v>
      </c>
      <c r="FS15" s="413" t="s">
        <v>20</v>
      </c>
      <c r="FT15" s="404">
        <v>0</v>
      </c>
      <c r="FU15" s="414" t="s">
        <v>20</v>
      </c>
      <c r="FV15" s="415">
        <f t="shared" si="62"/>
        <v>75.974967061923294</v>
      </c>
      <c r="FW15" s="413" t="str">
        <f t="shared" si="72"/>
        <v>T-D</v>
      </c>
      <c r="FX15" s="404">
        <f t="shared" si="63"/>
        <v>72.002923976608088</v>
      </c>
      <c r="FY15" s="414" t="str">
        <f t="shared" si="73"/>
        <v>T-R</v>
      </c>
    </row>
    <row r="16" spans="1:184" x14ac:dyDescent="0.3">
      <c r="A16" s="94">
        <v>82.5</v>
      </c>
      <c r="B16" s="24">
        <f t="shared" ref="B16:B25" si="85">A16/180</f>
        <v>0.45833333333333331</v>
      </c>
      <c r="C16" s="25">
        <f t="shared" ca="1" si="80"/>
        <v>298.53628037465222</v>
      </c>
      <c r="D16" s="26" t="s">
        <v>36</v>
      </c>
      <c r="E16" s="270">
        <f t="shared" ca="1" si="81"/>
        <v>25891.879128505047</v>
      </c>
      <c r="F16" s="265">
        <f t="shared" ca="1" si="82"/>
        <v>25632.35423375028</v>
      </c>
      <c r="G16" s="26" t="s">
        <v>37</v>
      </c>
      <c r="H16" s="25">
        <f t="shared" ca="1" si="83"/>
        <v>267.69985363575057</v>
      </c>
      <c r="I16" s="24">
        <f t="shared" si="84"/>
        <v>0.45833333333333331</v>
      </c>
      <c r="J16" s="95">
        <v>82.5</v>
      </c>
      <c r="L16" s="283">
        <f t="shared" si="35"/>
        <v>13</v>
      </c>
      <c r="M16" s="290">
        <f>'[4]BANKNIFTY-I'!C32</f>
        <v>42811</v>
      </c>
      <c r="N16" s="7">
        <f>'[4]BANKNIFTY-I'!D32</f>
        <v>21678.5</v>
      </c>
      <c r="O16" s="7">
        <f>'[4]BANKNIFTY-I'!E32</f>
        <v>21678.5</v>
      </c>
      <c r="P16" s="7">
        <f>'[4]BANKNIFTY-I'!F32</f>
        <v>21190.95</v>
      </c>
      <c r="Q16" s="7">
        <f>'[4]BANKNIFTY-I'!G32</f>
        <v>21234.5</v>
      </c>
      <c r="R16" s="11">
        <f>'[4]BANKNIFTY-I'!H32</f>
        <v>55505</v>
      </c>
      <c r="S16" s="291">
        <f>'[5]NIFTY-I'!C32</f>
        <v>42811</v>
      </c>
      <c r="T16" s="9">
        <f>'[5]NIFTY-I'!D32</f>
        <v>9212.85</v>
      </c>
      <c r="U16" s="9">
        <f>'[5]NIFTY-I'!E32</f>
        <v>9212.85</v>
      </c>
      <c r="V16" s="9">
        <f>'[5]NIFTY-I'!F32</f>
        <v>9165.2999999999993</v>
      </c>
      <c r="W16" s="9">
        <f>'[5]NIFTY-I'!G32</f>
        <v>9171.75</v>
      </c>
      <c r="X16" s="12">
        <f>'[5]NIFTY-I'!H32</f>
        <v>111152</v>
      </c>
      <c r="Y16" s="115"/>
      <c r="Z16" s="122">
        <f t="shared" si="36"/>
        <v>-3.5867690108839301E-3</v>
      </c>
      <c r="AA16" s="19">
        <f t="shared" si="18"/>
        <v>-4.7961893016044602E-4</v>
      </c>
      <c r="AB16" s="305">
        <v>0</v>
      </c>
      <c r="AC16" s="306">
        <v>0</v>
      </c>
      <c r="AD16" s="122">
        <f t="shared" si="0"/>
        <v>-2.4494879287908526E-3</v>
      </c>
      <c r="AE16" s="364" t="s">
        <v>20</v>
      </c>
      <c r="AF16" s="513">
        <f t="shared" si="1"/>
        <v>-1.9863255700035029E-3</v>
      </c>
      <c r="AG16" s="522" t="s">
        <v>20</v>
      </c>
      <c r="AH16" s="466">
        <f t="shared" si="37"/>
        <v>-3.5867690108839301E-3</v>
      </c>
      <c r="AI16" s="17">
        <f t="shared" si="38"/>
        <v>4.9923685514384492E-3</v>
      </c>
      <c r="AJ16" s="17">
        <f t="shared" si="39"/>
        <v>4.9193712854829711E-3</v>
      </c>
      <c r="AK16" s="314">
        <f t="shared" si="40"/>
        <v>9.3984456444768286E-2</v>
      </c>
      <c r="AL16" s="467">
        <f t="shared" si="41"/>
        <v>-4.7961893016044602E-4</v>
      </c>
      <c r="AM16" s="18">
        <f t="shared" si="49"/>
        <v>4.6803519517077995E-3</v>
      </c>
      <c r="AN16" s="18">
        <f t="shared" si="19"/>
        <v>4.5392901193285502E-3</v>
      </c>
      <c r="AO16" s="385">
        <f t="shared" si="42"/>
        <v>8.672301596123913E-2</v>
      </c>
      <c r="AP16" s="10">
        <f t="shared" si="2"/>
        <v>2.274678224254215E-2</v>
      </c>
      <c r="AQ16" s="17">
        <f t="shared" si="43"/>
        <v>6.7460026811885041E-3</v>
      </c>
      <c r="AR16" s="17">
        <f t="shared" si="44"/>
        <v>8.5920314936285113E-3</v>
      </c>
      <c r="AS16" s="314">
        <f t="shared" si="45"/>
        <v>0.16415053120059961</v>
      </c>
      <c r="AT16" s="448">
        <f t="shared" si="3"/>
        <v>5.174634672499386E-3</v>
      </c>
      <c r="AU16" s="18">
        <f t="shared" si="50"/>
        <v>5.2180579384031346E-3</v>
      </c>
      <c r="AV16" s="18">
        <f t="shared" si="20"/>
        <v>5.2154627377875131E-3</v>
      </c>
      <c r="AW16" s="385">
        <f t="shared" si="46"/>
        <v>9.9641275698257981E-2</v>
      </c>
      <c r="AX16" s="6">
        <f t="shared" si="4"/>
        <v>1203265142.5</v>
      </c>
      <c r="AY16" s="319">
        <v>0</v>
      </c>
      <c r="AZ16" s="140">
        <f t="shared" si="5"/>
        <v>1024026703.2</v>
      </c>
      <c r="BA16" s="481">
        <v>0</v>
      </c>
      <c r="BB16" s="484">
        <f>AVERAGE(AX4:AX16)</f>
        <v>1329951428.6115384</v>
      </c>
      <c r="BC16" s="249">
        <f>AVERAGE(R4:R16)</f>
        <v>63581.692307692305</v>
      </c>
      <c r="BD16" s="319">
        <f>BB16/BC16</f>
        <v>20917.207144715096</v>
      </c>
      <c r="BE16" s="21">
        <f t="shared" si="6"/>
        <v>21367.983333333334</v>
      </c>
      <c r="BF16" s="21">
        <f t="shared" si="7"/>
        <v>1186029914.9166667</v>
      </c>
      <c r="BG16" s="21">
        <f t="shared" si="59"/>
        <v>1271726796.8044438</v>
      </c>
      <c r="BH16" s="21">
        <f t="shared" si="55"/>
        <v>60052.953055936596</v>
      </c>
      <c r="BI16" s="332">
        <f t="shared" si="56"/>
        <v>21176.757046733208</v>
      </c>
      <c r="BJ16" s="442">
        <f>AVERAGE(AZ4:AZ16)</f>
        <v>979631311.51538467</v>
      </c>
      <c r="BK16" s="254">
        <f>AVERAGE(X4:X16)</f>
        <v>108616.07692307692</v>
      </c>
      <c r="BL16" s="329">
        <f>BJ16/BK16</f>
        <v>9019.2109609074741</v>
      </c>
      <c r="BM16" s="118">
        <f t="shared" si="8"/>
        <v>9183.3000000000011</v>
      </c>
      <c r="BN16" s="118">
        <f t="shared" si="9"/>
        <v>1020742161.6000001</v>
      </c>
      <c r="BO16" s="118">
        <f t="shared" si="60"/>
        <v>997517263.13931215</v>
      </c>
      <c r="BP16" s="118">
        <f t="shared" si="57"/>
        <v>109401.56116445664</v>
      </c>
      <c r="BQ16" s="325">
        <f t="shared" si="61"/>
        <v>9117.94358802436</v>
      </c>
      <c r="BR16" s="6">
        <f t="shared" si="10"/>
        <v>1176203679.75</v>
      </c>
      <c r="BS16" s="8">
        <f t="shared" si="11"/>
        <v>1203265142.5</v>
      </c>
      <c r="BT16" s="331">
        <f t="shared" ref="BT16:BT47" si="86">AVERAGE(AX4:AX16)/AVERAGE(R4:R16)</f>
        <v>20917.207144715096</v>
      </c>
      <c r="BU16" s="319">
        <f t="shared" si="51"/>
        <v>21060.428753320215</v>
      </c>
      <c r="BV16" s="319">
        <f t="shared" si="52"/>
        <v>21300.363925142454</v>
      </c>
      <c r="BW16" s="331">
        <v>0</v>
      </c>
      <c r="BX16" s="319">
        <f t="shared" ref="BX16:BX47" si="87">AVERAGE(BR4:BR16)/AVERAGE(R4:R16)</f>
        <v>20782.520277970685</v>
      </c>
      <c r="BY16" s="332">
        <f t="shared" ref="BY16:BY47" si="88">AVERAGE(BS4:BS16)/AVERAGE(R4:R16)</f>
        <v>21005.101582155967</v>
      </c>
      <c r="BZ16" s="140">
        <f t="shared" si="12"/>
        <v>1018741425.5999999</v>
      </c>
      <c r="CA16" s="142">
        <f t="shared" si="13"/>
        <v>1024026703.2</v>
      </c>
      <c r="CB16" s="339">
        <f t="shared" ref="CB16:CB47" si="89">AVERAGE(AZ4:AZ16)/AVERAGE(X4:X16)</f>
        <v>9019.2109609074741</v>
      </c>
      <c r="CC16" s="329">
        <f t="shared" si="53"/>
        <v>9078.2187587810076</v>
      </c>
      <c r="CD16" s="329">
        <f t="shared" si="54"/>
        <v>9138.5007994536263</v>
      </c>
      <c r="CE16" s="339">
        <v>0</v>
      </c>
      <c r="CF16" s="329">
        <f t="shared" ref="CF16:CF47" si="90">AVERAGE(BZ4:BZ16)/AVERAGE(X4:X16)</f>
        <v>8978.6550487638524</v>
      </c>
      <c r="CG16" s="325">
        <f t="shared" ref="CG16:CG47" si="91">AVERAGE(CA4:CA16)/AVERAGE(X4:X16)</f>
        <v>9045.5187410986764</v>
      </c>
      <c r="CH16" s="20">
        <f t="shared" ref="CH16:CH47" si="92">((BF16-CH15)*(2/(1+12)))+CH15</f>
        <v>1316183713.4413462</v>
      </c>
      <c r="CI16" s="21">
        <f t="shared" ref="CI16:CI47" si="93">((R16-CI15)*(2/(1+12)))+CI15</f>
        <v>62908.634615384617</v>
      </c>
      <c r="CJ16" s="21">
        <f t="shared" ref="CJ16:CJ69" si="94">CH16/CI16</f>
        <v>20922.147197889859</v>
      </c>
      <c r="CK16" s="21">
        <v>0</v>
      </c>
      <c r="CL16" s="21">
        <v>0</v>
      </c>
      <c r="CM16" s="21">
        <v>0</v>
      </c>
      <c r="CN16" s="342">
        <v>0</v>
      </c>
      <c r="CO16" s="342">
        <v>0</v>
      </c>
      <c r="CP16" s="343">
        <v>0</v>
      </c>
      <c r="CQ16" s="141">
        <f t="shared" ref="CQ16:CQ47" si="95">((BN16-CQ15)*(2/(1+12)))+CQ15</f>
        <v>982290962.47596145</v>
      </c>
      <c r="CR16" s="118">
        <f t="shared" ref="CR16:CR47" si="96">((X16-CR15)*(2/(1+12)))+CR15</f>
        <v>108827.40384615384</v>
      </c>
      <c r="CS16" s="118">
        <f t="shared" ref="CS16" si="97">CQ16/CR16</f>
        <v>9026.136136304398</v>
      </c>
      <c r="CT16" s="118"/>
      <c r="CU16" s="118"/>
      <c r="CV16" s="118">
        <v>0</v>
      </c>
      <c r="CW16" s="350">
        <v>0</v>
      </c>
      <c r="CX16" s="350">
        <v>0</v>
      </c>
      <c r="CY16" s="351">
        <v>0</v>
      </c>
      <c r="CZ16" s="20">
        <f t="shared" si="21"/>
        <v>65.333333333335759</v>
      </c>
      <c r="DA16" s="21">
        <f t="shared" si="22"/>
        <v>1186029914.9166667</v>
      </c>
      <c r="DB16" s="21">
        <f t="shared" si="23"/>
        <v>0</v>
      </c>
      <c r="DC16" s="21">
        <v>0</v>
      </c>
      <c r="DD16" s="21">
        <v>0</v>
      </c>
      <c r="DE16" s="21">
        <v>0</v>
      </c>
      <c r="DF16" s="342">
        <v>0</v>
      </c>
      <c r="DG16" s="342">
        <v>0</v>
      </c>
      <c r="DH16" s="355">
        <v>0</v>
      </c>
      <c r="DI16" s="141">
        <f t="shared" si="24"/>
        <v>13.466666666667152</v>
      </c>
      <c r="DJ16" s="118">
        <f t="shared" si="25"/>
        <v>1020742161.6000001</v>
      </c>
      <c r="DK16" s="118">
        <f t="shared" si="26"/>
        <v>0</v>
      </c>
      <c r="DL16" s="118">
        <v>0</v>
      </c>
      <c r="DM16" s="118">
        <v>0</v>
      </c>
      <c r="DN16" s="118">
        <v>0</v>
      </c>
      <c r="DO16" s="350">
        <v>0</v>
      </c>
      <c r="DP16" s="350">
        <v>0</v>
      </c>
      <c r="DQ16" s="351">
        <v>0</v>
      </c>
      <c r="DR16" s="135">
        <f t="shared" si="27"/>
        <v>487.54999999999927</v>
      </c>
      <c r="DS16" s="20">
        <f t="shared" si="28"/>
        <v>27061462.749999959</v>
      </c>
      <c r="DT16" s="21">
        <v>0</v>
      </c>
      <c r="DU16" s="21">
        <v>0</v>
      </c>
      <c r="DV16" s="319">
        <v>0</v>
      </c>
      <c r="DW16" s="21">
        <v>0</v>
      </c>
      <c r="DX16" s="21">
        <v>0</v>
      </c>
      <c r="DY16" s="319">
        <v>0</v>
      </c>
      <c r="DZ16" s="362">
        <v>0</v>
      </c>
      <c r="EA16" s="141">
        <f t="shared" si="29"/>
        <v>47.550000000001091</v>
      </c>
      <c r="EB16" s="143">
        <f t="shared" si="30"/>
        <v>5285277.6000001216</v>
      </c>
      <c r="EC16" s="118">
        <v>0</v>
      </c>
      <c r="ED16" s="118">
        <v>0</v>
      </c>
      <c r="EE16" s="329">
        <v>0</v>
      </c>
      <c r="EF16" s="118">
        <v>0</v>
      </c>
      <c r="EG16" s="118">
        <v>0</v>
      </c>
      <c r="EH16" s="329">
        <v>0</v>
      </c>
      <c r="EI16" s="374">
        <v>0</v>
      </c>
      <c r="EJ16" s="135">
        <f t="shared" si="31"/>
        <v>487.54999999999927</v>
      </c>
      <c r="EK16" s="21">
        <f t="shared" si="32"/>
        <v>27061462.749999959</v>
      </c>
      <c r="EL16" s="21">
        <f t="shared" si="78"/>
        <v>18508447.258663885</v>
      </c>
      <c r="EM16" s="21">
        <f t="shared" si="74"/>
        <v>62228.72991921963</v>
      </c>
      <c r="EN16" s="319">
        <f t="shared" si="75"/>
        <v>297.42608089045166</v>
      </c>
      <c r="EO16" s="21">
        <f t="shared" si="64"/>
        <v>5948.5216178090332</v>
      </c>
      <c r="EP16" s="21">
        <f>EO16*'Base Data'!$D$13</f>
        <v>4461.3912133567746</v>
      </c>
      <c r="EQ16" s="363">
        <f>IF(INT(('Base Data'!$D$7)/EP16)=0,0,INT(('Base Data'!$D$7)/EP16))</f>
        <v>2</v>
      </c>
      <c r="ER16" s="314">
        <f t="shared" si="65"/>
        <v>1.4006738133247858E-2</v>
      </c>
      <c r="ES16" s="143">
        <f t="shared" si="33"/>
        <v>47.550000000001091</v>
      </c>
      <c r="ET16" s="118">
        <f t="shared" si="34"/>
        <v>5285277.6000001216</v>
      </c>
      <c r="EU16" s="118">
        <f t="shared" si="79"/>
        <v>9673812.8165104594</v>
      </c>
      <c r="EV16" s="118">
        <f t="shared" si="76"/>
        <v>110492.97043133668</v>
      </c>
      <c r="EW16" s="329">
        <f t="shared" si="77"/>
        <v>87.551387013547867</v>
      </c>
      <c r="EX16" s="118">
        <f t="shared" si="66"/>
        <v>6566.3540260160898</v>
      </c>
      <c r="EY16" s="118">
        <f>EX16*'Base Data'!$D$13</f>
        <v>4924.7655195120678</v>
      </c>
      <c r="EZ16" s="375">
        <f>IF(INT(('Base Data'!$D$7)/EY16)=0,0,INT(('Base Data'!$D$7)/EY16))</f>
        <v>2</v>
      </c>
      <c r="FA16" s="385">
        <f t="shared" si="67"/>
        <v>9.5457668398667497E-3</v>
      </c>
      <c r="FB16" s="396">
        <v>0</v>
      </c>
      <c r="FC16" s="403">
        <f t="shared" si="68"/>
        <v>1.0305361668878827</v>
      </c>
      <c r="FD16" s="508">
        <v>0</v>
      </c>
      <c r="FE16" s="509">
        <f t="shared" si="69"/>
        <v>1.6917445672267237</v>
      </c>
      <c r="FF16" s="20">
        <f t="shared" si="14"/>
        <v>487.54999999999927</v>
      </c>
      <c r="FG16" s="17">
        <f t="shared" si="15"/>
        <v>2.2490024678829223E-2</v>
      </c>
      <c r="FH16" s="388">
        <f t="shared" si="70"/>
        <v>1.0238389517045395E-2</v>
      </c>
      <c r="FI16" s="388">
        <f>AVERAGE(FG4:FG16)</f>
        <v>9.9392955416813811E-3</v>
      </c>
      <c r="FJ16" s="314" t="s">
        <v>20</v>
      </c>
      <c r="FK16" s="442">
        <f t="shared" si="16"/>
        <v>47.550000000001091</v>
      </c>
      <c r="FL16" s="18">
        <f t="shared" si="17"/>
        <v>5.161269314056029E-3</v>
      </c>
      <c r="FM16" s="394">
        <f t="shared" si="71"/>
        <v>6.0593266210144103E-3</v>
      </c>
      <c r="FN16" s="394">
        <f>AVERAGE(FL4:FL16)</f>
        <v>6.8551318975080414E-3</v>
      </c>
      <c r="FO16" s="385" t="s">
        <v>20</v>
      </c>
      <c r="FP16" s="416">
        <f t="shared" si="47"/>
        <v>2</v>
      </c>
      <c r="FQ16" s="417">
        <f t="shared" si="48"/>
        <v>2</v>
      </c>
      <c r="FR16" s="415">
        <v>0</v>
      </c>
      <c r="FS16" s="413" t="s">
        <v>20</v>
      </c>
      <c r="FT16" s="404">
        <v>0</v>
      </c>
      <c r="FU16" s="414" t="s">
        <v>20</v>
      </c>
      <c r="FV16" s="415">
        <f t="shared" si="62"/>
        <v>47.36335289801908</v>
      </c>
      <c r="FW16" s="413" t="str">
        <f t="shared" si="72"/>
        <v>T-D</v>
      </c>
      <c r="FX16" s="404">
        <f t="shared" si="63"/>
        <v>64.760812581913228</v>
      </c>
      <c r="FY16" s="414" t="str">
        <f t="shared" si="73"/>
        <v>T-D</v>
      </c>
    </row>
    <row r="17" spans="1:181" x14ac:dyDescent="0.3">
      <c r="A17" s="94">
        <v>75</v>
      </c>
      <c r="B17" s="24">
        <f t="shared" si="85"/>
        <v>0.41666666666666669</v>
      </c>
      <c r="C17" s="25">
        <f t="shared" ca="1" si="80"/>
        <v>297.09816628045979</v>
      </c>
      <c r="D17" s="26" t="s">
        <v>38</v>
      </c>
      <c r="E17" s="270">
        <f t="shared" ca="1" si="81"/>
        <v>25878.840902616859</v>
      </c>
      <c r="F17" s="265">
        <f t="shared" ca="1" si="82"/>
        <v>25642.939562056967</v>
      </c>
      <c r="G17" s="26" t="s">
        <v>39</v>
      </c>
      <c r="H17" s="25">
        <f t="shared" ca="1" si="83"/>
        <v>269.06505106327631</v>
      </c>
      <c r="I17" s="24">
        <f t="shared" si="84"/>
        <v>0.41666666666666669</v>
      </c>
      <c r="J17" s="95">
        <v>75</v>
      </c>
      <c r="L17" s="283">
        <f t="shared" si="35"/>
        <v>14</v>
      </c>
      <c r="M17" s="290">
        <f>'[4]BANKNIFTY-I'!C33</f>
        <v>42814</v>
      </c>
      <c r="N17" s="7">
        <f>'[4]BANKNIFTY-I'!D33</f>
        <v>21206</v>
      </c>
      <c r="O17" s="7">
        <f>'[4]BANKNIFTY-I'!E33</f>
        <v>21235.95</v>
      </c>
      <c r="P17" s="7">
        <f>'[4]BANKNIFTY-I'!F33</f>
        <v>21140</v>
      </c>
      <c r="Q17" s="7">
        <f>'[4]BANKNIFTY-I'!G33</f>
        <v>21182.55</v>
      </c>
      <c r="R17" s="11">
        <f>'[4]BANKNIFTY-I'!H33</f>
        <v>32204</v>
      </c>
      <c r="S17" s="291">
        <f>'[5]NIFTY-I'!C33</f>
        <v>42814</v>
      </c>
      <c r="T17" s="9">
        <f>'[5]NIFTY-I'!D33</f>
        <v>9164.9500000000007</v>
      </c>
      <c r="U17" s="9">
        <f>'[5]NIFTY-I'!E33</f>
        <v>9164.9500000000007</v>
      </c>
      <c r="V17" s="9">
        <f>'[5]NIFTY-I'!F33</f>
        <v>9142</v>
      </c>
      <c r="W17" s="9">
        <f>'[5]NIFTY-I'!G33</f>
        <v>9153.5499999999993</v>
      </c>
      <c r="X17" s="12">
        <f>'[5]NIFTY-I'!H33</f>
        <v>73494</v>
      </c>
      <c r="Y17" s="115"/>
      <c r="Z17" s="122">
        <f t="shared" si="36"/>
        <v>-2.4494879287908526E-3</v>
      </c>
      <c r="AA17" s="19">
        <f t="shared" si="18"/>
        <v>-1.9863255700035029E-3</v>
      </c>
      <c r="AB17" s="305">
        <v>0</v>
      </c>
      <c r="AC17" s="306">
        <v>0</v>
      </c>
      <c r="AD17" s="122">
        <f t="shared" si="0"/>
        <v>-4.3431737906961211E-3</v>
      </c>
      <c r="AE17" s="364" t="s">
        <v>20</v>
      </c>
      <c r="AF17" s="513">
        <f t="shared" si="1"/>
        <v>-1.1532230031589038E-3</v>
      </c>
      <c r="AG17" s="522" t="s">
        <v>20</v>
      </c>
      <c r="AH17" s="466">
        <f t="shared" si="37"/>
        <v>-2.4494879287908526E-3</v>
      </c>
      <c r="AI17" s="17">
        <f t="shared" si="38"/>
        <v>4.9193712854829711E-3</v>
      </c>
      <c r="AJ17" s="17">
        <f t="shared" si="39"/>
        <v>4.8070989672114976E-3</v>
      </c>
      <c r="AK17" s="314">
        <f t="shared" si="40"/>
        <v>9.1839496815948052E-2</v>
      </c>
      <c r="AL17" s="467">
        <f t="shared" si="41"/>
        <v>-1.9863255700035029E-3</v>
      </c>
      <c r="AM17" s="18">
        <f t="shared" si="49"/>
        <v>4.5392901193285502E-3</v>
      </c>
      <c r="AN17" s="18">
        <f t="shared" si="19"/>
        <v>4.4278182953222866E-3</v>
      </c>
      <c r="AO17" s="385">
        <f t="shared" si="42"/>
        <v>8.4593349753882108E-2</v>
      </c>
      <c r="AP17" s="10">
        <f t="shared" si="2"/>
        <v>4.5285197841901607E-3</v>
      </c>
      <c r="AQ17" s="17">
        <f t="shared" si="43"/>
        <v>8.5920314936285113E-3</v>
      </c>
      <c r="AR17" s="17">
        <f t="shared" si="44"/>
        <v>8.4038130846897131E-3</v>
      </c>
      <c r="AS17" s="314">
        <f t="shared" si="45"/>
        <v>0.16055462354686875</v>
      </c>
      <c r="AT17" s="448">
        <f t="shared" si="3"/>
        <v>2.5072458298637601E-3</v>
      </c>
      <c r="AU17" s="18">
        <f t="shared" si="50"/>
        <v>5.2154627377875131E-3</v>
      </c>
      <c r="AV17" s="18">
        <f t="shared" si="20"/>
        <v>5.0937378588004675E-3</v>
      </c>
      <c r="AW17" s="385">
        <f t="shared" si="46"/>
        <v>9.7315725150536006E-2</v>
      </c>
      <c r="AX17" s="6">
        <f t="shared" si="4"/>
        <v>682918024</v>
      </c>
      <c r="AY17" s="319">
        <v>0</v>
      </c>
      <c r="AZ17" s="140">
        <f t="shared" si="5"/>
        <v>673568835.30000007</v>
      </c>
      <c r="BA17" s="481">
        <v>0</v>
      </c>
      <c r="BB17" s="135">
        <f t="shared" ref="BB17:BB48" si="98">((AX17-BB16)*(2/(1+13)))+BB16</f>
        <v>1237518085.0956044</v>
      </c>
      <c r="BC17" s="21">
        <f t="shared" ref="BC17:BC48" si="99">((R17-BC16)*(2/(1+13)))+BC16</f>
        <v>59099.164835164833</v>
      </c>
      <c r="BD17" s="319">
        <f t="shared" ref="BD17:BD67" si="100">BB17/BC17</f>
        <v>20939.688209591481</v>
      </c>
      <c r="BE17" s="21">
        <f t="shared" si="6"/>
        <v>21186.166666666668</v>
      </c>
      <c r="BF17" s="21">
        <f t="shared" si="7"/>
        <v>682279311.33333337</v>
      </c>
      <c r="BG17" s="21">
        <f t="shared" si="59"/>
        <v>1075244301.6474071</v>
      </c>
      <c r="BH17" s="21">
        <f t="shared" si="55"/>
        <v>50769.968703957733</v>
      </c>
      <c r="BI17" s="332">
        <f t="shared" si="56"/>
        <v>21178.746591655614</v>
      </c>
      <c r="BJ17" s="141">
        <f t="shared" ref="BJ17:BJ48" si="101">((AZ17-BJ16)*(2/(1+13)))+BJ16</f>
        <v>935908100.62747264</v>
      </c>
      <c r="BK17" s="118">
        <f t="shared" ref="BK17:BK48" si="102">((X17-BK16)*(2/(1+13)))+BK16</f>
        <v>103598.63736263737</v>
      </c>
      <c r="BL17" s="329">
        <f t="shared" ref="BL17" si="103">BJ17/BK17</f>
        <v>9033.980797946344</v>
      </c>
      <c r="BM17" s="118">
        <f t="shared" si="8"/>
        <v>9153.5</v>
      </c>
      <c r="BN17" s="118">
        <f t="shared" si="9"/>
        <v>672727329</v>
      </c>
      <c r="BO17" s="118">
        <f t="shared" si="60"/>
        <v>889253951.75954139</v>
      </c>
      <c r="BP17" s="118">
        <f t="shared" si="57"/>
        <v>97432.374109637763</v>
      </c>
      <c r="BQ17" s="325">
        <f t="shared" si="61"/>
        <v>9126.8837476842164</v>
      </c>
      <c r="BR17" s="6">
        <f t="shared" si="10"/>
        <v>680792560</v>
      </c>
      <c r="BS17" s="8">
        <f t="shared" si="11"/>
        <v>683882533.80000007</v>
      </c>
      <c r="BT17" s="331">
        <f t="shared" si="86"/>
        <v>20941.9115812856</v>
      </c>
      <c r="BU17" s="319">
        <f t="shared" si="51"/>
        <v>21156.266101816716</v>
      </c>
      <c r="BV17" s="319">
        <f t="shared" si="52"/>
        <v>21381.925748102793</v>
      </c>
      <c r="BW17" s="331">
        <v>0</v>
      </c>
      <c r="BX17" s="319">
        <f t="shared" si="87"/>
        <v>20804.925736791371</v>
      </c>
      <c r="BY17" s="332">
        <f t="shared" si="88"/>
        <v>21028.708723636839</v>
      </c>
      <c r="BZ17" s="140">
        <f t="shared" si="12"/>
        <v>671882148</v>
      </c>
      <c r="CA17" s="142">
        <f t="shared" si="13"/>
        <v>673568835.30000007</v>
      </c>
      <c r="CB17" s="339">
        <f t="shared" si="89"/>
        <v>9033.0732197849866</v>
      </c>
      <c r="CC17" s="329">
        <f t="shared" si="53"/>
        <v>9120.7468431582311</v>
      </c>
      <c r="CD17" s="329">
        <f t="shared" si="54"/>
        <v>9170.51650204627</v>
      </c>
      <c r="CE17" s="339">
        <v>0</v>
      </c>
      <c r="CF17" s="329">
        <f t="shared" si="90"/>
        <v>8993.2403156045566</v>
      </c>
      <c r="CG17" s="325">
        <f t="shared" si="91"/>
        <v>9058.5902045402145</v>
      </c>
      <c r="CH17" s="20">
        <f t="shared" si="92"/>
        <v>1218659959.2708826</v>
      </c>
      <c r="CI17" s="21">
        <f t="shared" si="93"/>
        <v>58184.844674556211</v>
      </c>
      <c r="CJ17" s="21">
        <f t="shared" si="94"/>
        <v>20944.628555548818</v>
      </c>
      <c r="CK17" s="21">
        <v>0</v>
      </c>
      <c r="CL17" s="21">
        <v>0</v>
      </c>
      <c r="CM17" s="21">
        <v>0</v>
      </c>
      <c r="CN17" s="342">
        <v>0</v>
      </c>
      <c r="CO17" s="342">
        <v>0</v>
      </c>
      <c r="CP17" s="343">
        <v>0</v>
      </c>
      <c r="CQ17" s="141">
        <f t="shared" si="95"/>
        <v>934665788.09504426</v>
      </c>
      <c r="CR17" s="118">
        <f t="shared" si="96"/>
        <v>103391.49556213018</v>
      </c>
      <c r="CS17" s="118">
        <f t="shared" ref="CS17:CS67" si="104">CQ17/CR17</f>
        <v>9040.0644947957389</v>
      </c>
      <c r="CT17" s="118"/>
      <c r="CU17" s="118"/>
      <c r="CV17" s="118">
        <v>0</v>
      </c>
      <c r="CW17" s="350">
        <v>0</v>
      </c>
      <c r="CX17" s="350">
        <v>0</v>
      </c>
      <c r="CY17" s="351">
        <v>0</v>
      </c>
      <c r="CZ17" s="20">
        <f t="shared" si="21"/>
        <v>-181.8166666666657</v>
      </c>
      <c r="DA17" s="21">
        <f t="shared" si="22"/>
        <v>0</v>
      </c>
      <c r="DB17" s="21">
        <f t="shared" si="23"/>
        <v>682279311.33333337</v>
      </c>
      <c r="DC17" s="21">
        <v>0</v>
      </c>
      <c r="DD17" s="21">
        <v>0</v>
      </c>
      <c r="DE17" s="21">
        <v>0</v>
      </c>
      <c r="DF17" s="342">
        <v>0</v>
      </c>
      <c r="DG17" s="342">
        <v>0</v>
      </c>
      <c r="DH17" s="355">
        <v>0</v>
      </c>
      <c r="DI17" s="141">
        <f t="shared" si="24"/>
        <v>-29.800000000001091</v>
      </c>
      <c r="DJ17" s="118">
        <f t="shared" si="25"/>
        <v>0</v>
      </c>
      <c r="DK17" s="118">
        <f t="shared" si="26"/>
        <v>672727329</v>
      </c>
      <c r="DL17" s="118">
        <v>0</v>
      </c>
      <c r="DM17" s="118">
        <v>0</v>
      </c>
      <c r="DN17" s="118">
        <v>0</v>
      </c>
      <c r="DO17" s="350">
        <v>0</v>
      </c>
      <c r="DP17" s="350">
        <v>0</v>
      </c>
      <c r="DQ17" s="351">
        <v>0</v>
      </c>
      <c r="DR17" s="135">
        <f t="shared" si="27"/>
        <v>95.950000000000728</v>
      </c>
      <c r="DS17" s="20">
        <f t="shared" si="28"/>
        <v>3089973.8000000236</v>
      </c>
      <c r="DT17" s="21">
        <v>0</v>
      </c>
      <c r="DU17" s="21">
        <v>0</v>
      </c>
      <c r="DV17" s="319">
        <v>0</v>
      </c>
      <c r="DW17" s="21">
        <v>0</v>
      </c>
      <c r="DX17" s="21">
        <v>0</v>
      </c>
      <c r="DY17" s="319">
        <v>0</v>
      </c>
      <c r="DZ17" s="362">
        <v>0</v>
      </c>
      <c r="EA17" s="141">
        <f t="shared" si="29"/>
        <v>29.75</v>
      </c>
      <c r="EB17" s="143">
        <f t="shared" si="30"/>
        <v>2186446.5</v>
      </c>
      <c r="EC17" s="118">
        <v>0</v>
      </c>
      <c r="ED17" s="118">
        <v>0</v>
      </c>
      <c r="EE17" s="329">
        <v>0</v>
      </c>
      <c r="EF17" s="118">
        <v>0</v>
      </c>
      <c r="EG17" s="118">
        <v>0</v>
      </c>
      <c r="EH17" s="329">
        <v>0</v>
      </c>
      <c r="EI17" s="374">
        <v>0</v>
      </c>
      <c r="EJ17" s="135">
        <f t="shared" si="31"/>
        <v>95.950000000000728</v>
      </c>
      <c r="EK17" s="21">
        <f t="shared" si="32"/>
        <v>3089973.8000000236</v>
      </c>
      <c r="EL17" s="21">
        <f t="shared" si="78"/>
        <v>15082119.823405249</v>
      </c>
      <c r="EM17" s="21">
        <f t="shared" si="74"/>
        <v>55556.5677149486</v>
      </c>
      <c r="EN17" s="319">
        <f t="shared" si="75"/>
        <v>271.47321088640803</v>
      </c>
      <c r="EO17" s="21">
        <f t="shared" si="64"/>
        <v>5429.4642177281603</v>
      </c>
      <c r="EP17" s="21">
        <f>EO17*'Base Data'!$D$13</f>
        <v>4072.0981632961202</v>
      </c>
      <c r="EQ17" s="363">
        <f>IF(INT(('Base Data'!$D$7)/EP17)=0,0,INT(('Base Data'!$D$7)/EP17))</f>
        <v>2</v>
      </c>
      <c r="ER17" s="314">
        <f t="shared" si="65"/>
        <v>1.2815889063706119E-2</v>
      </c>
      <c r="ES17" s="143">
        <f t="shared" si="33"/>
        <v>29.75</v>
      </c>
      <c r="ET17" s="118">
        <f t="shared" si="34"/>
        <v>2186446.5</v>
      </c>
      <c r="EU17" s="118">
        <f t="shared" si="79"/>
        <v>8009953.6350636911</v>
      </c>
      <c r="EV17" s="118">
        <f t="shared" si="76"/>
        <v>102270.97700215076</v>
      </c>
      <c r="EW17" s="329">
        <f t="shared" si="77"/>
        <v>78.320887018564832</v>
      </c>
      <c r="EX17" s="118">
        <f t="shared" si="66"/>
        <v>5874.066526392362</v>
      </c>
      <c r="EY17" s="118">
        <f>EX17*'Base Data'!$D$13</f>
        <v>4405.5498947942715</v>
      </c>
      <c r="EZ17" s="375">
        <f>IF(INT(('Base Data'!$D$7)/EY17)=0,0,INT(('Base Data'!$D$7)/EY17))</f>
        <v>2</v>
      </c>
      <c r="FA17" s="385">
        <f t="shared" si="67"/>
        <v>8.5563401105106587E-3</v>
      </c>
      <c r="FB17" s="396">
        <v>0</v>
      </c>
      <c r="FC17" s="403">
        <f t="shared" si="68"/>
        <v>0.63744779617465908</v>
      </c>
      <c r="FD17" s="508">
        <v>0</v>
      </c>
      <c r="FE17" s="509">
        <f t="shared" si="69"/>
        <v>1.3090643790720848</v>
      </c>
      <c r="FF17" s="20">
        <f t="shared" si="14"/>
        <v>95.950000000000728</v>
      </c>
      <c r="FG17" s="17">
        <f t="shared" si="15"/>
        <v>4.5246628312742019E-3</v>
      </c>
      <c r="FH17" s="388">
        <f t="shared" si="70"/>
        <v>1.0156820922444663E-2</v>
      </c>
      <c r="FI17" s="388">
        <f t="shared" ref="FI17:FI67" si="105">AVERAGE(FG5:FG17)</f>
        <v>9.8726037045902566E-3</v>
      </c>
      <c r="FJ17" s="314" t="s">
        <v>20</v>
      </c>
      <c r="FK17" s="442">
        <f t="shared" si="16"/>
        <v>22.950000000000728</v>
      </c>
      <c r="FL17" s="18">
        <f t="shared" si="17"/>
        <v>2.5041053142680239E-3</v>
      </c>
      <c r="FM17" s="394">
        <f t="shared" si="71"/>
        <v>5.9710612576632394E-3</v>
      </c>
      <c r="FN17" s="394">
        <f t="shared" ref="FN17:FN67" si="106">AVERAGE(FL5:FL17)</f>
        <v>6.5795691951446161E-3</v>
      </c>
      <c r="FO17" s="385" t="s">
        <v>20</v>
      </c>
      <c r="FP17" s="416">
        <f t="shared" si="47"/>
        <v>1</v>
      </c>
      <c r="FQ17" s="417">
        <f t="shared" si="48"/>
        <v>2</v>
      </c>
      <c r="FR17" s="415">
        <v>0</v>
      </c>
      <c r="FS17" s="413" t="s">
        <v>20</v>
      </c>
      <c r="FT17" s="404">
        <v>0</v>
      </c>
      <c r="FU17" s="414" t="s">
        <v>20</v>
      </c>
      <c r="FV17" s="415">
        <f t="shared" si="62"/>
        <v>39.063646368305221</v>
      </c>
      <c r="FW17" s="413" t="str">
        <f t="shared" si="72"/>
        <v>T-D</v>
      </c>
      <c r="FX17" s="404">
        <f t="shared" si="63"/>
        <v>66.005897771952306</v>
      </c>
      <c r="FY17" s="414" t="str">
        <f t="shared" si="73"/>
        <v>T-R</v>
      </c>
    </row>
    <row r="18" spans="1:181" x14ac:dyDescent="0.3">
      <c r="A18" s="94">
        <v>71.25</v>
      </c>
      <c r="B18" s="24">
        <f t="shared" si="85"/>
        <v>0.39583333333333331</v>
      </c>
      <c r="C18" s="25">
        <f t="shared" ca="1" si="80"/>
        <v>296.38041131669678</v>
      </c>
      <c r="D18" s="26" t="s">
        <v>40</v>
      </c>
      <c r="E18" s="270">
        <f t="shared" ca="1" si="81"/>
        <v>25872.36724614619</v>
      </c>
      <c r="F18" s="265">
        <f t="shared" ca="1" si="82"/>
        <v>25648.274373221935</v>
      </c>
      <c r="G18" s="26" t="s">
        <v>41</v>
      </c>
      <c r="H18" s="25">
        <f t="shared" ca="1" si="83"/>
        <v>269.74895186037264</v>
      </c>
      <c r="I18" s="24">
        <f t="shared" si="84"/>
        <v>0.39583333333333331</v>
      </c>
      <c r="J18" s="95">
        <v>71.25</v>
      </c>
      <c r="L18" s="283">
        <f t="shared" si="35"/>
        <v>15</v>
      </c>
      <c r="M18" s="290">
        <f>'[4]BANKNIFTY-I'!C34</f>
        <v>42815</v>
      </c>
      <c r="N18" s="7">
        <f>'[4]BANKNIFTY-I'!D34</f>
        <v>21153.7</v>
      </c>
      <c r="O18" s="7">
        <f>'[4]BANKNIFTY-I'!E34</f>
        <v>21213</v>
      </c>
      <c r="P18" s="7">
        <f>'[4]BANKNIFTY-I'!F34</f>
        <v>21037.55</v>
      </c>
      <c r="Q18" s="7">
        <f>'[4]BANKNIFTY-I'!G34</f>
        <v>21090.75</v>
      </c>
      <c r="R18" s="11">
        <f>'[4]BANKNIFTY-I'!H34</f>
        <v>54610</v>
      </c>
      <c r="S18" s="291">
        <f>'[5]NIFTY-I'!C34</f>
        <v>42815</v>
      </c>
      <c r="T18" s="9">
        <f>'[5]NIFTY-I'!D34</f>
        <v>9165.15</v>
      </c>
      <c r="U18" s="9">
        <f>'[5]NIFTY-I'!E34</f>
        <v>9171.85</v>
      </c>
      <c r="V18" s="9">
        <f>'[5]NIFTY-I'!F34</f>
        <v>9113.65</v>
      </c>
      <c r="W18" s="9">
        <f>'[5]NIFTY-I'!G34</f>
        <v>9143</v>
      </c>
      <c r="X18" s="12">
        <f>'[5]NIFTY-I'!H34</f>
        <v>100487</v>
      </c>
      <c r="Y18" s="115"/>
      <c r="Z18" s="122">
        <f t="shared" si="36"/>
        <v>-4.3431737906961211E-3</v>
      </c>
      <c r="AA18" s="19">
        <f t="shared" si="18"/>
        <v>-1.1532230031589038E-3</v>
      </c>
      <c r="AB18" s="305">
        <v>0</v>
      </c>
      <c r="AC18" s="306">
        <v>0</v>
      </c>
      <c r="AD18" s="122">
        <f t="shared" si="0"/>
        <v>-1.1523773890512859E-2</v>
      </c>
      <c r="AE18" s="364" t="s">
        <v>20</v>
      </c>
      <c r="AF18" s="513">
        <f t="shared" si="1"/>
        <v>-1.0179603552169514E-2</v>
      </c>
      <c r="AG18" s="522" t="s">
        <v>20</v>
      </c>
      <c r="AH18" s="466">
        <f t="shared" si="37"/>
        <v>-4.3431737906961211E-3</v>
      </c>
      <c r="AI18" s="17">
        <f t="shared" si="38"/>
        <v>4.8070989672114976E-3</v>
      </c>
      <c r="AJ18" s="17">
        <f t="shared" si="39"/>
        <v>4.7805332303314527E-3</v>
      </c>
      <c r="AK18" s="314">
        <f t="shared" si="40"/>
        <v>9.1331959125492843E-2</v>
      </c>
      <c r="AL18" s="467">
        <f t="shared" si="41"/>
        <v>-1.1532230031589038E-3</v>
      </c>
      <c r="AM18" s="18">
        <f t="shared" si="49"/>
        <v>4.4278182953222866E-3</v>
      </c>
      <c r="AN18" s="18">
        <f t="shared" si="19"/>
        <v>4.302212891374415E-3</v>
      </c>
      <c r="AO18" s="385">
        <f t="shared" si="42"/>
        <v>8.2193661880880411E-2</v>
      </c>
      <c r="AP18" s="10">
        <f t="shared" si="2"/>
        <v>8.3052650678544053E-3</v>
      </c>
      <c r="AQ18" s="17">
        <f t="shared" si="43"/>
        <v>8.4038130846897131E-3</v>
      </c>
      <c r="AR18" s="17">
        <f t="shared" si="44"/>
        <v>8.3979328153717236E-3</v>
      </c>
      <c r="AS18" s="314">
        <f t="shared" si="45"/>
        <v>0.16044228115928946</v>
      </c>
      <c r="AT18" s="448">
        <f t="shared" si="3"/>
        <v>6.3657210941491117E-3</v>
      </c>
      <c r="AU18" s="18">
        <f t="shared" si="50"/>
        <v>5.0937378588004675E-3</v>
      </c>
      <c r="AV18" s="18">
        <f t="shared" si="20"/>
        <v>5.1788743713896204E-3</v>
      </c>
      <c r="AW18" s="385">
        <f t="shared" si="46"/>
        <v>9.8942255939725901E-2</v>
      </c>
      <c r="AX18" s="6">
        <f t="shared" si="4"/>
        <v>1155203557</v>
      </c>
      <c r="AY18" s="319">
        <v>0</v>
      </c>
      <c r="AZ18" s="140">
        <f t="shared" si="5"/>
        <v>920978428.04999995</v>
      </c>
      <c r="BA18" s="481">
        <v>0</v>
      </c>
      <c r="BB18" s="135">
        <f t="shared" si="98"/>
        <v>1225758866.7962325</v>
      </c>
      <c r="BC18" s="21">
        <f t="shared" si="99"/>
        <v>58457.855572998429</v>
      </c>
      <c r="BD18" s="319">
        <f t="shared" si="100"/>
        <v>20968.248916787295</v>
      </c>
      <c r="BE18" s="21">
        <f t="shared" si="6"/>
        <v>21113.766666666666</v>
      </c>
      <c r="BF18" s="21">
        <f t="shared" si="7"/>
        <v>1153022797.6666667</v>
      </c>
      <c r="BG18" s="21">
        <f t="shared" si="59"/>
        <v>1101170466.9871602</v>
      </c>
      <c r="BH18" s="21">
        <f t="shared" si="55"/>
        <v>52049.979135971822</v>
      </c>
      <c r="BI18" s="332">
        <f t="shared" si="56"/>
        <v>21156.021294658687</v>
      </c>
      <c r="BJ18" s="141">
        <f t="shared" si="101"/>
        <v>933775290.2592622</v>
      </c>
      <c r="BK18" s="118">
        <f t="shared" si="102"/>
        <v>103154.11773940346</v>
      </c>
      <c r="BL18" s="329">
        <f t="shared" ref="BL18:BL67" si="107">BJ18/BK18</f>
        <v>9052.234760208441</v>
      </c>
      <c r="BM18" s="118">
        <f t="shared" si="8"/>
        <v>9142.8333333333339</v>
      </c>
      <c r="BN18" s="118">
        <f t="shared" si="9"/>
        <v>918735893.16666675</v>
      </c>
      <c r="BO18" s="118">
        <f t="shared" si="60"/>
        <v>899081265.56191647</v>
      </c>
      <c r="BP18" s="118">
        <f t="shared" si="57"/>
        <v>98450.582739758509</v>
      </c>
      <c r="BQ18" s="325">
        <f t="shared" si="61"/>
        <v>9132.3102468425459</v>
      </c>
      <c r="BR18" s="6">
        <f t="shared" si="10"/>
        <v>1148860605.5</v>
      </c>
      <c r="BS18" s="8">
        <f t="shared" si="11"/>
        <v>1158441930</v>
      </c>
      <c r="BT18" s="331">
        <f t="shared" si="86"/>
        <v>20970.079034132541</v>
      </c>
      <c r="BU18" s="319">
        <f t="shared" si="51"/>
        <v>21148.14508238605</v>
      </c>
      <c r="BV18" s="319">
        <f t="shared" si="52"/>
        <v>21362.829547348396</v>
      </c>
      <c r="BW18" s="331">
        <v>0</v>
      </c>
      <c r="BX18" s="319">
        <f t="shared" si="87"/>
        <v>20826.570168125472</v>
      </c>
      <c r="BY18" s="332">
        <f t="shared" si="88"/>
        <v>21050.676898775691</v>
      </c>
      <c r="BZ18" s="140">
        <f t="shared" si="12"/>
        <v>915803347.54999995</v>
      </c>
      <c r="CA18" s="142">
        <f t="shared" si="13"/>
        <v>921651690.95000005</v>
      </c>
      <c r="CB18" s="339">
        <f t="shared" si="89"/>
        <v>9051.5695926246972</v>
      </c>
      <c r="CC18" s="329">
        <f t="shared" si="53"/>
        <v>9137.1204195106402</v>
      </c>
      <c r="CD18" s="329">
        <f t="shared" si="54"/>
        <v>9176.0106164817262</v>
      </c>
      <c r="CE18" s="339">
        <v>0</v>
      </c>
      <c r="CF18" s="329">
        <f t="shared" si="90"/>
        <v>9007.8240763174035</v>
      </c>
      <c r="CG18" s="325">
        <f t="shared" si="91"/>
        <v>9072.0872785783959</v>
      </c>
      <c r="CH18" s="20">
        <f t="shared" si="92"/>
        <v>1208561934.4086955</v>
      </c>
      <c r="CI18" s="21">
        <f t="shared" si="93"/>
        <v>57634.86857077833</v>
      </c>
      <c r="CJ18" s="21">
        <f t="shared" si="94"/>
        <v>20969.284122241461</v>
      </c>
      <c r="CK18" s="21">
        <v>0</v>
      </c>
      <c r="CL18" s="21">
        <v>0</v>
      </c>
      <c r="CM18" s="21">
        <v>0</v>
      </c>
      <c r="CN18" s="342">
        <v>0</v>
      </c>
      <c r="CO18" s="342">
        <v>0</v>
      </c>
      <c r="CP18" s="343">
        <v>0</v>
      </c>
      <c r="CQ18" s="141">
        <f t="shared" si="95"/>
        <v>932215035.02914</v>
      </c>
      <c r="CR18" s="118">
        <f t="shared" si="96"/>
        <v>102944.65009103323</v>
      </c>
      <c r="CS18" s="118">
        <f t="shared" si="104"/>
        <v>9055.4976310550264</v>
      </c>
      <c r="CT18" s="118"/>
      <c r="CU18" s="118"/>
      <c r="CV18" s="118">
        <v>0</v>
      </c>
      <c r="CW18" s="350">
        <v>0</v>
      </c>
      <c r="CX18" s="350">
        <v>0</v>
      </c>
      <c r="CY18" s="351">
        <v>0</v>
      </c>
      <c r="CZ18" s="20">
        <f t="shared" si="21"/>
        <v>-72.400000000001455</v>
      </c>
      <c r="DA18" s="21">
        <f t="shared" si="22"/>
        <v>0</v>
      </c>
      <c r="DB18" s="21">
        <f t="shared" si="23"/>
        <v>1153022797.6666667</v>
      </c>
      <c r="DC18" s="21">
        <f>AVERAGE(DA5:DA18)</f>
        <v>745004902.62976182</v>
      </c>
      <c r="DD18" s="21">
        <f>AVERAGE(DB5:DB18)</f>
        <v>551995849.06785715</v>
      </c>
      <c r="DE18" s="21">
        <f t="shared" ref="DE18:DE22" si="108">IF(DD18=0,100000,(DC18/DD18))</f>
        <v>1.3496567118898353</v>
      </c>
      <c r="DF18" s="342">
        <f t="shared" ref="DF18:DF22" si="109">100-(100/(1+DE18))</f>
        <v>57.440591430239309</v>
      </c>
      <c r="DG18" s="342">
        <v>0</v>
      </c>
      <c r="DH18" s="355">
        <v>0</v>
      </c>
      <c r="DI18" s="141">
        <f t="shared" si="24"/>
        <v>-10.66666666666606</v>
      </c>
      <c r="DJ18" s="118">
        <f t="shared" si="25"/>
        <v>0</v>
      </c>
      <c r="DK18" s="118">
        <f t="shared" si="26"/>
        <v>918735893.16666675</v>
      </c>
      <c r="DL18" s="118">
        <f>AVERAGE(DJ5:DJ18)</f>
        <v>612256780.50833333</v>
      </c>
      <c r="DM18" s="118">
        <f>AVERAGE(DK5:DK18)</f>
        <v>353931197.41071427</v>
      </c>
      <c r="DN18" s="118">
        <f t="shared" ref="DN18:DN22" si="110">IF(DM18=0,100000,(DL18/DM18))</f>
        <v>1.7298751423651668</v>
      </c>
      <c r="DO18" s="350">
        <f t="shared" ref="DO18:DO22" si="111">100-(100/(1+DN18))</f>
        <v>63.368288004058712</v>
      </c>
      <c r="DP18" s="350">
        <v>0</v>
      </c>
      <c r="DQ18" s="351">
        <v>0</v>
      </c>
      <c r="DR18" s="135">
        <f t="shared" si="27"/>
        <v>175.45000000000073</v>
      </c>
      <c r="DS18" s="20">
        <f t="shared" si="28"/>
        <v>9581324.5000000391</v>
      </c>
      <c r="DT18" s="21">
        <v>0</v>
      </c>
      <c r="DU18" s="21">
        <v>0</v>
      </c>
      <c r="DV18" s="319">
        <v>0</v>
      </c>
      <c r="DW18" s="21">
        <v>0</v>
      </c>
      <c r="DX18" s="21">
        <v>0</v>
      </c>
      <c r="DY18" s="319">
        <v>0</v>
      </c>
      <c r="DZ18" s="362">
        <v>0</v>
      </c>
      <c r="EA18" s="141">
        <f t="shared" si="29"/>
        <v>58.200000000000728</v>
      </c>
      <c r="EB18" s="143">
        <f t="shared" si="30"/>
        <v>5848343.400000073</v>
      </c>
      <c r="EC18" s="118">
        <v>0</v>
      </c>
      <c r="ED18" s="118">
        <v>0</v>
      </c>
      <c r="EE18" s="329">
        <v>0</v>
      </c>
      <c r="EF18" s="118">
        <v>0</v>
      </c>
      <c r="EG18" s="118">
        <v>0</v>
      </c>
      <c r="EH18" s="329">
        <v>0</v>
      </c>
      <c r="EI18" s="374">
        <v>0</v>
      </c>
      <c r="EJ18" s="135">
        <f t="shared" si="31"/>
        <v>175.45000000000073</v>
      </c>
      <c r="EK18" s="21">
        <f t="shared" si="32"/>
        <v>9581324.5000000391</v>
      </c>
      <c r="EL18" s="21">
        <f t="shared" si="78"/>
        <v>13859720.862648536</v>
      </c>
      <c r="EM18" s="21">
        <f t="shared" si="74"/>
        <v>55346.219333848909</v>
      </c>
      <c r="EN18" s="319">
        <f t="shared" si="75"/>
        <v>250.4185657026828</v>
      </c>
      <c r="EO18" s="21">
        <f t="shared" si="64"/>
        <v>5008.3713140536556</v>
      </c>
      <c r="EP18" s="21">
        <f>EO18*'Base Data'!$D$13</f>
        <v>3756.2784855402415</v>
      </c>
      <c r="EQ18" s="363">
        <f>IF(INT(('Base Data'!$D$7)/EP18)=0,0,INT(('Base Data'!$D$7)/EP18))</f>
        <v>2</v>
      </c>
      <c r="ER18" s="314">
        <f t="shared" si="65"/>
        <v>1.1873383625650239E-2</v>
      </c>
      <c r="ES18" s="143">
        <f t="shared" si="33"/>
        <v>58.200000000000728</v>
      </c>
      <c r="ET18" s="118">
        <f t="shared" si="34"/>
        <v>5848343.400000073</v>
      </c>
      <c r="EU18" s="118">
        <f t="shared" si="79"/>
        <v>7529595.8050495535</v>
      </c>
      <c r="EV18" s="118">
        <f t="shared" si="76"/>
        <v>101874.53766833947</v>
      </c>
      <c r="EW18" s="329">
        <f t="shared" si="77"/>
        <v>73.910478294024188</v>
      </c>
      <c r="EX18" s="118">
        <f t="shared" si="66"/>
        <v>5543.2858720518143</v>
      </c>
      <c r="EY18" s="118">
        <f>EX18*'Base Data'!$D$13</f>
        <v>4157.4644040388612</v>
      </c>
      <c r="EZ18" s="375">
        <f>IF(INT(('Base Data'!$D$7)/EY18)=0,0,INT(('Base Data'!$D$7)/EY18))</f>
        <v>2</v>
      </c>
      <c r="FA18" s="385">
        <f t="shared" si="67"/>
        <v>8.083832253529934E-3</v>
      </c>
      <c r="FB18" s="396">
        <v>0</v>
      </c>
      <c r="FC18" s="403">
        <f t="shared" si="68"/>
        <v>8.9333765132647583E-2</v>
      </c>
      <c r="FD18" s="508">
        <v>0</v>
      </c>
      <c r="FE18" s="509">
        <f t="shared" si="69"/>
        <v>0.94145424220530416</v>
      </c>
      <c r="FF18" s="20">
        <f t="shared" si="14"/>
        <v>175.45000000000073</v>
      </c>
      <c r="FG18" s="17">
        <f t="shared" si="15"/>
        <v>8.2940573043959551E-3</v>
      </c>
      <c r="FH18" s="388">
        <f t="shared" si="70"/>
        <v>9.9882582530311861E-3</v>
      </c>
      <c r="FI18" s="388">
        <f t="shared" si="105"/>
        <v>9.8607199389732537E-3</v>
      </c>
      <c r="FJ18" s="314" t="s">
        <v>20</v>
      </c>
      <c r="FK18" s="442">
        <f t="shared" si="16"/>
        <v>58.200000000000728</v>
      </c>
      <c r="FL18" s="18">
        <f t="shared" si="17"/>
        <v>6.3501415688778391E-3</v>
      </c>
      <c r="FM18" s="394">
        <f t="shared" si="71"/>
        <v>5.7570565000176713E-3</v>
      </c>
      <c r="FN18" s="394">
        <f t="shared" si="106"/>
        <v>6.4448302315948678E-3</v>
      </c>
      <c r="FO18" s="385" t="s">
        <v>20</v>
      </c>
      <c r="FP18" s="416">
        <f t="shared" si="47"/>
        <v>1</v>
      </c>
      <c r="FQ18" s="417">
        <f t="shared" si="48"/>
        <v>1</v>
      </c>
      <c r="FR18" s="415">
        <v>0</v>
      </c>
      <c r="FS18" s="413" t="s">
        <v>20</v>
      </c>
      <c r="FT18" s="404">
        <v>0</v>
      </c>
      <c r="FU18" s="414" t="s">
        <v>20</v>
      </c>
      <c r="FV18" s="415">
        <f t="shared" si="62"/>
        <v>28.897523069451193</v>
      </c>
      <c r="FW18" s="413" t="str">
        <f t="shared" si="72"/>
        <v>C-D</v>
      </c>
      <c r="FX18" s="404">
        <f t="shared" si="63"/>
        <v>62.791472351765343</v>
      </c>
      <c r="FY18" s="414" t="str">
        <f t="shared" si="73"/>
        <v>T-D</v>
      </c>
    </row>
    <row r="19" spans="1:181" x14ac:dyDescent="0.3">
      <c r="A19" s="94">
        <v>63.75</v>
      </c>
      <c r="B19" s="24">
        <f t="shared" si="85"/>
        <v>0.35416666666666669</v>
      </c>
      <c r="C19" s="25">
        <f t="shared" ca="1" si="80"/>
        <v>294.94750555583772</v>
      </c>
      <c r="D19" s="26" t="s">
        <v>42</v>
      </c>
      <c r="E19" s="270">
        <f t="shared" ca="1" si="81"/>
        <v>25859.51057488436</v>
      </c>
      <c r="F19" s="265">
        <f t="shared" ca="1" si="82"/>
        <v>25659.028560842478</v>
      </c>
      <c r="G19" s="26" t="s">
        <v>43</v>
      </c>
      <c r="H19" s="25">
        <f t="shared" ca="1" si="83"/>
        <v>271.11935762123176</v>
      </c>
      <c r="I19" s="24">
        <f t="shared" si="84"/>
        <v>0.35416666666666669</v>
      </c>
      <c r="J19" s="95">
        <v>63.75</v>
      </c>
      <c r="L19" s="283">
        <f t="shared" si="35"/>
        <v>16</v>
      </c>
      <c r="M19" s="290">
        <f>'[4]BANKNIFTY-I'!C35</f>
        <v>42816</v>
      </c>
      <c r="N19" s="7">
        <f>'[4]BANKNIFTY-I'!D35</f>
        <v>21017.35</v>
      </c>
      <c r="O19" s="7">
        <f>'[4]BANKNIFTY-I'!E35</f>
        <v>21017.35</v>
      </c>
      <c r="P19" s="7">
        <f>'[4]BANKNIFTY-I'!F35</f>
        <v>20827.3</v>
      </c>
      <c r="Q19" s="7">
        <f>'[4]BANKNIFTY-I'!G35</f>
        <v>20849.099999999999</v>
      </c>
      <c r="R19" s="11">
        <f>'[4]BANKNIFTY-I'!H35</f>
        <v>62985</v>
      </c>
      <c r="S19" s="291">
        <f>'[5]NIFTY-I'!C35</f>
        <v>42816</v>
      </c>
      <c r="T19" s="9">
        <f>'[5]NIFTY-I'!D35</f>
        <v>9081</v>
      </c>
      <c r="U19" s="9">
        <f>'[5]NIFTY-I'!E35</f>
        <v>9130</v>
      </c>
      <c r="V19" s="9">
        <f>'[5]NIFTY-I'!F35</f>
        <v>9045</v>
      </c>
      <c r="W19" s="9">
        <f>'[5]NIFTY-I'!G35</f>
        <v>9050.4</v>
      </c>
      <c r="X19" s="12">
        <f>'[5]NIFTY-I'!H35</f>
        <v>142176</v>
      </c>
      <c r="Y19" s="115"/>
      <c r="Z19" s="122">
        <f t="shared" si="36"/>
        <v>-1.1523773890512859E-2</v>
      </c>
      <c r="AA19" s="19">
        <f t="shared" si="18"/>
        <v>-1.0179603552169514E-2</v>
      </c>
      <c r="AB19" s="305">
        <v>0</v>
      </c>
      <c r="AC19" s="306">
        <v>0</v>
      </c>
      <c r="AD19" s="122">
        <f t="shared" si="0"/>
        <v>4.95912082460044E-3</v>
      </c>
      <c r="AE19" s="364" t="s">
        <v>20</v>
      </c>
      <c r="AF19" s="513">
        <f t="shared" si="1"/>
        <v>6.3057640771890999E-3</v>
      </c>
      <c r="AG19" s="522" t="s">
        <v>20</v>
      </c>
      <c r="AH19" s="466">
        <f t="shared" si="37"/>
        <v>-1.1523773890512859E-2</v>
      </c>
      <c r="AI19" s="17">
        <f t="shared" si="38"/>
        <v>4.7805332303314527E-3</v>
      </c>
      <c r="AJ19" s="17">
        <f t="shared" si="39"/>
        <v>5.426797395251183E-3</v>
      </c>
      <c r="AK19" s="314">
        <f t="shared" si="40"/>
        <v>0.10367881865995258</v>
      </c>
      <c r="AL19" s="467">
        <f t="shared" si="41"/>
        <v>-1.0179603552169514E-2</v>
      </c>
      <c r="AM19" s="18">
        <f t="shared" si="49"/>
        <v>4.302212891374415E-3</v>
      </c>
      <c r="AN19" s="18">
        <f t="shared" si="19"/>
        <v>4.8596248132655511E-3</v>
      </c>
      <c r="AO19" s="385">
        <f t="shared" si="42"/>
        <v>9.2843001695780913E-2</v>
      </c>
      <c r="AP19" s="10">
        <f t="shared" si="2"/>
        <v>9.0836609600606754E-3</v>
      </c>
      <c r="AQ19" s="17">
        <f t="shared" si="43"/>
        <v>8.3979328153717236E-3</v>
      </c>
      <c r="AR19" s="17">
        <f t="shared" si="44"/>
        <v>8.4406476542648809E-3</v>
      </c>
      <c r="AS19" s="314">
        <f t="shared" si="45"/>
        <v>0.16125834701049815</v>
      </c>
      <c r="AT19" s="448">
        <f t="shared" si="3"/>
        <v>9.3535757596187111E-3</v>
      </c>
      <c r="AU19" s="18">
        <f t="shared" si="50"/>
        <v>5.1788743713896204E-3</v>
      </c>
      <c r="AV19" s="18">
        <f t="shared" si="20"/>
        <v>5.5191356333046991E-3</v>
      </c>
      <c r="AW19" s="385">
        <f t="shared" si="46"/>
        <v>0.10544293822094956</v>
      </c>
      <c r="AX19" s="6">
        <f t="shared" si="4"/>
        <v>1323777789.75</v>
      </c>
      <c r="AY19" s="319">
        <v>0</v>
      </c>
      <c r="AZ19" s="140">
        <f t="shared" si="5"/>
        <v>1291100256</v>
      </c>
      <c r="BA19" s="481">
        <v>0</v>
      </c>
      <c r="BB19" s="135">
        <f t="shared" si="98"/>
        <v>1239761570.0753422</v>
      </c>
      <c r="BC19" s="21">
        <f t="shared" si="99"/>
        <v>59104.590491141513</v>
      </c>
      <c r="BD19" s="319">
        <f t="shared" si="100"/>
        <v>20975.723878184308</v>
      </c>
      <c r="BE19" s="21">
        <f t="shared" si="6"/>
        <v>20897.916666666664</v>
      </c>
      <c r="BF19" s="21">
        <f t="shared" si="7"/>
        <v>1316255281.2499998</v>
      </c>
      <c r="BG19" s="21">
        <f t="shared" si="59"/>
        <v>1172865405.0747733</v>
      </c>
      <c r="BH19" s="21">
        <f t="shared" si="55"/>
        <v>55694.986090647879</v>
      </c>
      <c r="BI19" s="332">
        <f t="shared" si="56"/>
        <v>21058.72516362325</v>
      </c>
      <c r="BJ19" s="141">
        <f t="shared" si="101"/>
        <v>984821713.93651044</v>
      </c>
      <c r="BK19" s="118">
        <f t="shared" si="102"/>
        <v>108728.67234806011</v>
      </c>
      <c r="BL19" s="329">
        <f t="shared" si="107"/>
        <v>9057.6081972556276</v>
      </c>
      <c r="BM19" s="118">
        <f t="shared" si="8"/>
        <v>9075.1333333333332</v>
      </c>
      <c r="BN19" s="118">
        <f t="shared" si="9"/>
        <v>1290266156.8</v>
      </c>
      <c r="BO19" s="118">
        <f t="shared" si="60"/>
        <v>1029476229.3079443</v>
      </c>
      <c r="BP19" s="118">
        <f t="shared" si="57"/>
        <v>113025.72182650567</v>
      </c>
      <c r="BQ19" s="325">
        <f t="shared" si="61"/>
        <v>9108.3358077393113</v>
      </c>
      <c r="BR19" s="6">
        <f t="shared" si="10"/>
        <v>1311807490.5</v>
      </c>
      <c r="BS19" s="8">
        <f t="shared" si="11"/>
        <v>1323777789.75</v>
      </c>
      <c r="BT19" s="331">
        <f t="shared" si="86"/>
        <v>20980.144021549524</v>
      </c>
      <c r="BU19" s="319">
        <f t="shared" si="51"/>
        <v>21077.553438183146</v>
      </c>
      <c r="BV19" s="319">
        <f t="shared" si="52"/>
        <v>21296.266641717619</v>
      </c>
      <c r="BW19" s="331">
        <v>0</v>
      </c>
      <c r="BX19" s="319">
        <f t="shared" si="87"/>
        <v>20860.467589346499</v>
      </c>
      <c r="BY19" s="332">
        <f t="shared" si="88"/>
        <v>21060.741374245888</v>
      </c>
      <c r="BZ19" s="140">
        <f t="shared" si="12"/>
        <v>1285981920</v>
      </c>
      <c r="CA19" s="142">
        <f t="shared" si="13"/>
        <v>1298066880</v>
      </c>
      <c r="CB19" s="339">
        <f t="shared" si="89"/>
        <v>9059.9850606266846</v>
      </c>
      <c r="CC19" s="329">
        <f t="shared" si="53"/>
        <v>9117.2244982074099</v>
      </c>
      <c r="CD19" s="329">
        <f t="shared" si="54"/>
        <v>9170.0146943100426</v>
      </c>
      <c r="CE19" s="339">
        <v>0</v>
      </c>
      <c r="CF19" s="329">
        <f t="shared" si="90"/>
        <v>9023.3181868457232</v>
      </c>
      <c r="CG19" s="325">
        <f t="shared" si="91"/>
        <v>9083.7803553450703</v>
      </c>
      <c r="CH19" s="20">
        <f t="shared" si="92"/>
        <v>1225130141.6150501</v>
      </c>
      <c r="CI19" s="21">
        <f t="shared" si="93"/>
        <v>58457.96571373551</v>
      </c>
      <c r="CJ19" s="21">
        <f t="shared" si="94"/>
        <v>20957.454243523029</v>
      </c>
      <c r="CK19" s="21">
        <v>0</v>
      </c>
      <c r="CL19" s="21">
        <v>0</v>
      </c>
      <c r="CM19" s="21">
        <v>0</v>
      </c>
      <c r="CN19" s="342">
        <v>0</v>
      </c>
      <c r="CO19" s="342">
        <v>0</v>
      </c>
      <c r="CP19" s="343">
        <v>0</v>
      </c>
      <c r="CQ19" s="141">
        <f t="shared" si="95"/>
        <v>987299822.99388766</v>
      </c>
      <c r="CR19" s="118">
        <f t="shared" si="96"/>
        <v>108980.24238472042</v>
      </c>
      <c r="CS19" s="118">
        <f t="shared" si="104"/>
        <v>9059.438677962713</v>
      </c>
      <c r="CT19" s="118"/>
      <c r="CU19" s="118"/>
      <c r="CV19" s="118">
        <v>0</v>
      </c>
      <c r="CW19" s="350">
        <v>0</v>
      </c>
      <c r="CX19" s="350">
        <v>0</v>
      </c>
      <c r="CY19" s="351">
        <v>0</v>
      </c>
      <c r="CZ19" s="20">
        <f t="shared" si="21"/>
        <v>-215.85000000000218</v>
      </c>
      <c r="DA19" s="21">
        <f t="shared" si="22"/>
        <v>0</v>
      </c>
      <c r="DB19" s="21">
        <f t="shared" si="23"/>
        <v>1316255281.2499998</v>
      </c>
      <c r="DC19" s="21">
        <f t="shared" ref="DC19:DD22" si="112">((DA19-DC18)*(2/(1+14)))+DC18</f>
        <v>645670915.61246026</v>
      </c>
      <c r="DD19" s="21">
        <f t="shared" si="112"/>
        <v>653897106.69214284</v>
      </c>
      <c r="DE19" s="21">
        <f t="shared" si="108"/>
        <v>0.98741974693649237</v>
      </c>
      <c r="DF19" s="342">
        <f t="shared" si="109"/>
        <v>49.683502866394996</v>
      </c>
      <c r="DG19" s="342">
        <v>0</v>
      </c>
      <c r="DH19" s="355">
        <v>0</v>
      </c>
      <c r="DI19" s="141">
        <f t="shared" si="24"/>
        <v>-67.700000000000728</v>
      </c>
      <c r="DJ19" s="118">
        <f t="shared" si="25"/>
        <v>0</v>
      </c>
      <c r="DK19" s="118">
        <f t="shared" si="26"/>
        <v>1290266156.8</v>
      </c>
      <c r="DL19" s="118">
        <f t="shared" ref="DL19:DM22" si="113">((DJ19-DL18)*(2/(1+14)))+DL18</f>
        <v>530622543.1072222</v>
      </c>
      <c r="DM19" s="118">
        <f t="shared" si="113"/>
        <v>478775858.66261899</v>
      </c>
      <c r="DN19" s="118">
        <f t="shared" si="110"/>
        <v>1.108290097561369</v>
      </c>
      <c r="DO19" s="350">
        <f t="shared" si="111"/>
        <v>52.568197272439562</v>
      </c>
      <c r="DP19" s="350">
        <v>0</v>
      </c>
      <c r="DQ19" s="351">
        <v>0</v>
      </c>
      <c r="DR19" s="135">
        <f t="shared" si="27"/>
        <v>263.45000000000073</v>
      </c>
      <c r="DS19" s="20">
        <f t="shared" si="28"/>
        <v>16593398.250000047</v>
      </c>
      <c r="DT19" s="21">
        <v>0</v>
      </c>
      <c r="DU19" s="21">
        <v>0</v>
      </c>
      <c r="DV19" s="319">
        <v>0</v>
      </c>
      <c r="DW19" s="21">
        <v>0</v>
      </c>
      <c r="DX19" s="21">
        <v>0</v>
      </c>
      <c r="DY19" s="319">
        <v>0</v>
      </c>
      <c r="DZ19" s="362">
        <v>0</v>
      </c>
      <c r="EA19" s="141">
        <f t="shared" si="29"/>
        <v>98</v>
      </c>
      <c r="EB19" s="143">
        <f t="shared" si="30"/>
        <v>13933248</v>
      </c>
      <c r="EC19" s="118">
        <v>0</v>
      </c>
      <c r="ED19" s="118">
        <v>0</v>
      </c>
      <c r="EE19" s="329">
        <v>0</v>
      </c>
      <c r="EF19" s="118">
        <v>0</v>
      </c>
      <c r="EG19" s="118">
        <v>0</v>
      </c>
      <c r="EH19" s="329">
        <v>0</v>
      </c>
      <c r="EI19" s="374">
        <v>0</v>
      </c>
      <c r="EJ19" s="135">
        <f t="shared" si="31"/>
        <v>263.45000000000073</v>
      </c>
      <c r="EK19" s="21">
        <f t="shared" si="32"/>
        <v>16593398.250000047</v>
      </c>
      <c r="EL19" s="21">
        <f t="shared" si="78"/>
        <v>14467204.726504426</v>
      </c>
      <c r="EM19" s="21">
        <f t="shared" si="74"/>
        <v>57043.726148549154</v>
      </c>
      <c r="EN19" s="319">
        <f t="shared" si="75"/>
        <v>253.61605391677915</v>
      </c>
      <c r="EO19" s="21">
        <f t="shared" si="64"/>
        <v>5072.3210783355826</v>
      </c>
      <c r="EP19" s="21">
        <f>EO19*'Base Data'!$D$13</f>
        <v>3804.2408087516869</v>
      </c>
      <c r="EQ19" s="363">
        <f>IF(INT(('Base Data'!$D$7)/EP19)=0,0,INT(('Base Data'!$D$7)/EP19))</f>
        <v>2</v>
      </c>
      <c r="ER19" s="314">
        <f t="shared" si="65"/>
        <v>1.2164364596878483E-2</v>
      </c>
      <c r="ES19" s="143">
        <f t="shared" si="33"/>
        <v>98</v>
      </c>
      <c r="ET19" s="118">
        <f t="shared" si="34"/>
        <v>13933248</v>
      </c>
      <c r="EU19" s="118">
        <f t="shared" si="79"/>
        <v>8952629.6261496525</v>
      </c>
      <c r="EV19" s="118">
        <f t="shared" si="76"/>
        <v>110830.41818648626</v>
      </c>
      <c r="EW19" s="329">
        <f t="shared" si="77"/>
        <v>80.777730271537152</v>
      </c>
      <c r="EX19" s="118">
        <f t="shared" si="66"/>
        <v>6058.3297703652861</v>
      </c>
      <c r="EY19" s="118">
        <f>EX19*'Base Data'!$D$13</f>
        <v>4543.7473277739646</v>
      </c>
      <c r="EZ19" s="375">
        <f>IF(INT(('Base Data'!$D$7)/EY19)=0,0,INT(('Base Data'!$D$7)/EY19))</f>
        <v>2</v>
      </c>
      <c r="FA19" s="385">
        <f t="shared" si="67"/>
        <v>8.9253215627527124E-3</v>
      </c>
      <c r="FB19" s="396">
        <v>0</v>
      </c>
      <c r="FC19" s="403">
        <f t="shared" si="68"/>
        <v>-1.0632213372757691</v>
      </c>
      <c r="FD19" s="508">
        <v>0</v>
      </c>
      <c r="FE19" s="509">
        <f t="shared" si="69"/>
        <v>-0.58862654975367923</v>
      </c>
      <c r="FF19" s="20">
        <f t="shared" si="14"/>
        <v>190.04999999999927</v>
      </c>
      <c r="FG19" s="17">
        <f t="shared" si="15"/>
        <v>9.0425291485367702E-3</v>
      </c>
      <c r="FH19" s="388">
        <f t="shared" si="70"/>
        <v>9.8171962534648258E-3</v>
      </c>
      <c r="FI19" s="388">
        <f t="shared" si="105"/>
        <v>9.1724420931228057E-3</v>
      </c>
      <c r="FJ19" s="314" t="s">
        <v>20</v>
      </c>
      <c r="FK19" s="442">
        <f t="shared" si="16"/>
        <v>85</v>
      </c>
      <c r="FL19" s="18">
        <f t="shared" si="17"/>
        <v>9.3602026208567338E-3</v>
      </c>
      <c r="FM19" s="394">
        <f t="shared" si="71"/>
        <v>6.0144123218531659E-3</v>
      </c>
      <c r="FN19" s="394">
        <f t="shared" si="106"/>
        <v>6.1388914366774846E-3</v>
      </c>
      <c r="FO19" s="385" t="s">
        <v>20</v>
      </c>
      <c r="FP19" s="416">
        <f t="shared" si="47"/>
        <v>1</v>
      </c>
      <c r="FQ19" s="417">
        <f t="shared" si="48"/>
        <v>1</v>
      </c>
      <c r="FR19" s="415">
        <v>0</v>
      </c>
      <c r="FS19" s="413" t="s">
        <v>20</v>
      </c>
      <c r="FT19" s="404">
        <v>0</v>
      </c>
      <c r="FU19" s="414" t="s">
        <v>20</v>
      </c>
      <c r="FV19" s="415">
        <f t="shared" si="62"/>
        <v>5.2604593929449583</v>
      </c>
      <c r="FW19" s="413" t="str">
        <f t="shared" si="72"/>
        <v>C-D</v>
      </c>
      <c r="FX19" s="404">
        <f t="shared" si="63"/>
        <v>30.932703659975942</v>
      </c>
      <c r="FY19" s="414" t="str">
        <f t="shared" si="73"/>
        <v>T-D</v>
      </c>
    </row>
    <row r="20" spans="1:181" x14ac:dyDescent="0.3">
      <c r="A20" s="96">
        <v>45</v>
      </c>
      <c r="B20" s="27">
        <f t="shared" si="85"/>
        <v>0.25</v>
      </c>
      <c r="C20" s="28">
        <f t="shared" ca="1" si="80"/>
        <v>291.38043212591197</v>
      </c>
      <c r="D20" s="29" t="s">
        <v>44</v>
      </c>
      <c r="E20" s="271">
        <f t="shared" ca="1" si="81"/>
        <v>25827.895108031476</v>
      </c>
      <c r="F20" s="266">
        <f t="shared" ca="1" si="82"/>
        <v>25686.4098592511</v>
      </c>
      <c r="G20" s="30" t="s">
        <v>44</v>
      </c>
      <c r="H20" s="31">
        <f t="shared" ca="1" si="83"/>
        <v>274.56056299560191</v>
      </c>
      <c r="I20" s="32">
        <f t="shared" si="84"/>
        <v>0.25</v>
      </c>
      <c r="J20" s="97">
        <v>45</v>
      </c>
      <c r="L20" s="283">
        <f t="shared" si="35"/>
        <v>17</v>
      </c>
      <c r="M20" s="290">
        <f>'[4]BANKNIFTY-I'!C36</f>
        <v>42817</v>
      </c>
      <c r="N20" s="7">
        <f>'[4]BANKNIFTY-I'!D36</f>
        <v>20870.150000000001</v>
      </c>
      <c r="O20" s="7">
        <f>'[4]BANKNIFTY-I'!E36</f>
        <v>20990</v>
      </c>
      <c r="P20" s="7">
        <f>'[4]BANKNIFTY-I'!F36</f>
        <v>20822.5</v>
      </c>
      <c r="Q20" s="7">
        <f>'[4]BANKNIFTY-I'!G36</f>
        <v>20952.75</v>
      </c>
      <c r="R20" s="11">
        <f>'[4]BANKNIFTY-I'!H36</f>
        <v>58110</v>
      </c>
      <c r="S20" s="291">
        <f>'[5]NIFTY-I'!C36</f>
        <v>42817</v>
      </c>
      <c r="T20" s="9">
        <f>'[5]NIFTY-I'!D36</f>
        <v>9068.25</v>
      </c>
      <c r="U20" s="9">
        <f>'[5]NIFTY-I'!E36</f>
        <v>9121.4</v>
      </c>
      <c r="V20" s="9">
        <f>'[5]NIFTY-I'!F36</f>
        <v>9061.0499999999993</v>
      </c>
      <c r="W20" s="9">
        <f>'[5]NIFTY-I'!G36</f>
        <v>9107.65</v>
      </c>
      <c r="X20" s="12">
        <f>'[5]NIFTY-I'!H36</f>
        <v>97203</v>
      </c>
      <c r="Y20" s="115"/>
      <c r="Z20" s="122">
        <f t="shared" si="36"/>
        <v>4.95912082460044E-3</v>
      </c>
      <c r="AA20" s="19">
        <f t="shared" si="18"/>
        <v>6.3057640771890999E-3</v>
      </c>
      <c r="AB20" s="305">
        <v>0</v>
      </c>
      <c r="AC20" s="306">
        <v>0</v>
      </c>
      <c r="AD20" s="122">
        <f t="shared" si="0"/>
        <v>8.927824697567836E-3</v>
      </c>
      <c r="AE20" s="364" t="s">
        <v>20</v>
      </c>
      <c r="AF20" s="513">
        <f t="shared" si="1"/>
        <v>1.1686634948658654E-3</v>
      </c>
      <c r="AG20" s="522" t="s">
        <v>20</v>
      </c>
      <c r="AH20" s="466">
        <f t="shared" si="37"/>
        <v>4.95912082460044E-3</v>
      </c>
      <c r="AI20" s="17">
        <f t="shared" si="38"/>
        <v>5.426797395251183E-3</v>
      </c>
      <c r="AJ20" s="17">
        <f t="shared" si="39"/>
        <v>5.3998791590310485E-3</v>
      </c>
      <c r="AK20" s="314">
        <f t="shared" si="40"/>
        <v>0.10316454647906091</v>
      </c>
      <c r="AL20" s="467">
        <f t="shared" si="41"/>
        <v>6.3057640771890999E-3</v>
      </c>
      <c r="AM20" s="18">
        <f t="shared" si="49"/>
        <v>4.8596248132655511E-3</v>
      </c>
      <c r="AN20" s="18">
        <f t="shared" si="19"/>
        <v>4.9583017013886902E-3</v>
      </c>
      <c r="AO20" s="385">
        <f t="shared" si="42"/>
        <v>9.4728220996320847E-2</v>
      </c>
      <c r="AP20" s="10">
        <f t="shared" si="2"/>
        <v>8.012001005183015E-3</v>
      </c>
      <c r="AQ20" s="17">
        <f t="shared" si="43"/>
        <v>8.4406476542648809E-3</v>
      </c>
      <c r="AR20" s="17">
        <f t="shared" si="44"/>
        <v>8.4155445730186487E-3</v>
      </c>
      <c r="AS20" s="314">
        <f t="shared" si="45"/>
        <v>0.1607787533166905</v>
      </c>
      <c r="AT20" s="448">
        <f t="shared" si="3"/>
        <v>6.6382936974763006E-3</v>
      </c>
      <c r="AU20" s="18">
        <f t="shared" si="50"/>
        <v>5.5191356333046991E-3</v>
      </c>
      <c r="AV20" s="18">
        <f t="shared" si="20"/>
        <v>5.5926043345942197E-3</v>
      </c>
      <c r="AW20" s="385">
        <f t="shared" si="46"/>
        <v>0.10684655578825435</v>
      </c>
      <c r="AX20" s="6">
        <f t="shared" si="4"/>
        <v>1212764416.5</v>
      </c>
      <c r="AY20" s="319">
        <v>0</v>
      </c>
      <c r="AZ20" s="140">
        <f t="shared" si="5"/>
        <v>881461104.75</v>
      </c>
      <c r="BA20" s="481">
        <v>0</v>
      </c>
      <c r="BB20" s="135">
        <f t="shared" si="98"/>
        <v>1235904833.8502934</v>
      </c>
      <c r="BC20" s="21">
        <f t="shared" si="99"/>
        <v>58962.506135264157</v>
      </c>
      <c r="BD20" s="319">
        <f t="shared" si="100"/>
        <v>20960.859957598146</v>
      </c>
      <c r="BE20" s="21">
        <f t="shared" si="6"/>
        <v>20921.75</v>
      </c>
      <c r="BF20" s="21">
        <f t="shared" si="7"/>
        <v>1215762892.5</v>
      </c>
      <c r="BG20" s="21">
        <f t="shared" si="59"/>
        <v>1187164567.5498488</v>
      </c>
      <c r="BH20" s="21">
        <f t="shared" si="55"/>
        <v>56499.990727098586</v>
      </c>
      <c r="BI20" s="332">
        <f t="shared" si="56"/>
        <v>21011.765706015587</v>
      </c>
      <c r="BJ20" s="141">
        <f t="shared" si="101"/>
        <v>970055912.62415183</v>
      </c>
      <c r="BK20" s="118">
        <f t="shared" si="102"/>
        <v>107082.14772690866</v>
      </c>
      <c r="BL20" s="329">
        <f t="shared" si="107"/>
        <v>9058.9881993969993</v>
      </c>
      <c r="BM20" s="118">
        <f t="shared" si="8"/>
        <v>9096.6999999999989</v>
      </c>
      <c r="BN20" s="118">
        <f t="shared" si="9"/>
        <v>884226530.0999999</v>
      </c>
      <c r="BO20" s="118">
        <f t="shared" si="60"/>
        <v>981059662.90529621</v>
      </c>
      <c r="BP20" s="118">
        <f t="shared" si="57"/>
        <v>107751.48121767044</v>
      </c>
      <c r="BQ20" s="325">
        <f t="shared" si="61"/>
        <v>9104.8369063571608</v>
      </c>
      <c r="BR20" s="6">
        <f t="shared" si="10"/>
        <v>1209995475</v>
      </c>
      <c r="BS20" s="8">
        <f t="shared" si="11"/>
        <v>1219728900</v>
      </c>
      <c r="BT20" s="331">
        <f t="shared" si="86"/>
        <v>21004.219241834515</v>
      </c>
      <c r="BU20" s="319">
        <f t="shared" si="51"/>
        <v>20984.684985422187</v>
      </c>
      <c r="BV20" s="319">
        <f t="shared" si="52"/>
        <v>21217.916648507671</v>
      </c>
      <c r="BW20" s="331">
        <v>0</v>
      </c>
      <c r="BX20" s="319">
        <f t="shared" si="87"/>
        <v>20882.855427690087</v>
      </c>
      <c r="BY20" s="332">
        <f t="shared" si="88"/>
        <v>21085.8348198776</v>
      </c>
      <c r="BZ20" s="140">
        <f t="shared" si="12"/>
        <v>880761243.14999998</v>
      </c>
      <c r="CA20" s="142">
        <f t="shared" si="13"/>
        <v>886627444.19999993</v>
      </c>
      <c r="CB20" s="339">
        <f t="shared" si="89"/>
        <v>9074.8507595993979</v>
      </c>
      <c r="CC20" s="329">
        <f t="shared" si="53"/>
        <v>9100.2114046961742</v>
      </c>
      <c r="CD20" s="329">
        <f t="shared" si="54"/>
        <v>9158.8782595059783</v>
      </c>
      <c r="CE20" s="339">
        <v>0</v>
      </c>
      <c r="CF20" s="329">
        <f t="shared" si="90"/>
        <v>9038.2226355350358</v>
      </c>
      <c r="CG20" s="325">
        <f t="shared" si="91"/>
        <v>9098.6899792027962</v>
      </c>
      <c r="CH20" s="20">
        <f t="shared" si="92"/>
        <v>1223689026.3665807</v>
      </c>
      <c r="CI20" s="21">
        <f t="shared" si="93"/>
        <v>58404.432527006968</v>
      </c>
      <c r="CJ20" s="21">
        <f t="shared" si="94"/>
        <v>20951.988974479482</v>
      </c>
      <c r="CK20" s="21">
        <v>0</v>
      </c>
      <c r="CL20" s="21">
        <v>0</v>
      </c>
      <c r="CM20" s="21">
        <v>0</v>
      </c>
      <c r="CN20" s="342">
        <v>0</v>
      </c>
      <c r="CO20" s="342">
        <v>0</v>
      </c>
      <c r="CP20" s="343">
        <v>0</v>
      </c>
      <c r="CQ20" s="141">
        <f t="shared" si="95"/>
        <v>971442393.31790495</v>
      </c>
      <c r="CR20" s="118">
        <f t="shared" si="96"/>
        <v>107168.35894091727</v>
      </c>
      <c r="CS20" s="118">
        <f t="shared" si="104"/>
        <v>9064.6381349691892</v>
      </c>
      <c r="CT20" s="118"/>
      <c r="CU20" s="118"/>
      <c r="CV20" s="118">
        <v>0</v>
      </c>
      <c r="CW20" s="350">
        <v>0</v>
      </c>
      <c r="CX20" s="350">
        <v>0</v>
      </c>
      <c r="CY20" s="351">
        <v>0</v>
      </c>
      <c r="CZ20" s="20">
        <f t="shared" si="21"/>
        <v>23.833333333335759</v>
      </c>
      <c r="DA20" s="21">
        <f t="shared" si="22"/>
        <v>1215762892.5</v>
      </c>
      <c r="DB20" s="21">
        <f t="shared" si="23"/>
        <v>0</v>
      </c>
      <c r="DC20" s="21">
        <f t="shared" si="112"/>
        <v>721683179.19746554</v>
      </c>
      <c r="DD20" s="21">
        <f t="shared" si="112"/>
        <v>566710825.79985714</v>
      </c>
      <c r="DE20" s="21">
        <f t="shared" si="108"/>
        <v>1.2734593135376937</v>
      </c>
      <c r="DF20" s="342">
        <f t="shared" si="109"/>
        <v>56.014167746687491</v>
      </c>
      <c r="DG20" s="342">
        <v>0</v>
      </c>
      <c r="DH20" s="355">
        <v>0</v>
      </c>
      <c r="DI20" s="141">
        <f t="shared" si="24"/>
        <v>21.566666666665697</v>
      </c>
      <c r="DJ20" s="118">
        <f t="shared" si="25"/>
        <v>884226530.0999999</v>
      </c>
      <c r="DK20" s="118">
        <f t="shared" si="26"/>
        <v>0</v>
      </c>
      <c r="DL20" s="118">
        <f t="shared" si="113"/>
        <v>577769741.37292588</v>
      </c>
      <c r="DM20" s="118">
        <f t="shared" si="113"/>
        <v>414939077.50760311</v>
      </c>
      <c r="DN20" s="118">
        <f t="shared" si="110"/>
        <v>1.3924206532761165</v>
      </c>
      <c r="DO20" s="350">
        <f t="shared" si="111"/>
        <v>58.201330579945171</v>
      </c>
      <c r="DP20" s="350">
        <v>0</v>
      </c>
      <c r="DQ20" s="351">
        <v>0</v>
      </c>
      <c r="DR20" s="135">
        <f t="shared" si="27"/>
        <v>167.5</v>
      </c>
      <c r="DS20" s="20">
        <f t="shared" si="28"/>
        <v>9733425</v>
      </c>
      <c r="DT20" s="21">
        <v>0</v>
      </c>
      <c r="DU20" s="21">
        <v>0</v>
      </c>
      <c r="DV20" s="319">
        <v>0</v>
      </c>
      <c r="DW20" s="21">
        <v>0</v>
      </c>
      <c r="DX20" s="21">
        <v>0</v>
      </c>
      <c r="DY20" s="319">
        <v>0</v>
      </c>
      <c r="DZ20" s="362">
        <v>0</v>
      </c>
      <c r="EA20" s="141">
        <f t="shared" si="29"/>
        <v>71</v>
      </c>
      <c r="EB20" s="143">
        <f t="shared" si="30"/>
        <v>6901413</v>
      </c>
      <c r="EC20" s="118">
        <v>0</v>
      </c>
      <c r="ED20" s="118">
        <v>0</v>
      </c>
      <c r="EE20" s="329">
        <v>0</v>
      </c>
      <c r="EF20" s="118">
        <v>0</v>
      </c>
      <c r="EG20" s="118">
        <v>0</v>
      </c>
      <c r="EH20" s="329">
        <v>0</v>
      </c>
      <c r="EI20" s="374">
        <v>0</v>
      </c>
      <c r="EJ20" s="135">
        <f t="shared" si="31"/>
        <v>167.5</v>
      </c>
      <c r="EK20" s="21">
        <f t="shared" si="32"/>
        <v>9733425</v>
      </c>
      <c r="EL20" s="21">
        <f t="shared" si="78"/>
        <v>13415253.676170109</v>
      </c>
      <c r="EM20" s="21">
        <f t="shared" si="74"/>
        <v>57280.675893316009</v>
      </c>
      <c r="EN20" s="319">
        <f t="shared" si="75"/>
        <v>234.20208415759132</v>
      </c>
      <c r="EO20" s="21">
        <f t="shared" si="64"/>
        <v>4684.041683151826</v>
      </c>
      <c r="EP20" s="21">
        <f>EO20*'Base Data'!$D$13</f>
        <v>3513.0312623638692</v>
      </c>
      <c r="EQ20" s="363">
        <f>IF(INT(('Base Data'!$D$7)/EP20)=0,0,INT(('Base Data'!$D$7)/EP20))</f>
        <v>2</v>
      </c>
      <c r="ER20" s="314">
        <f t="shared" si="65"/>
        <v>1.1177629865177188E-2</v>
      </c>
      <c r="ES20" s="143">
        <f t="shared" si="33"/>
        <v>71</v>
      </c>
      <c r="ET20" s="118">
        <f t="shared" si="34"/>
        <v>6901413</v>
      </c>
      <c r="EU20" s="118">
        <f t="shared" si="79"/>
        <v>8496803.7092275079</v>
      </c>
      <c r="EV20" s="118">
        <f t="shared" si="76"/>
        <v>107802.10303393376</v>
      </c>
      <c r="EW20" s="329">
        <f t="shared" si="77"/>
        <v>78.818533869908819</v>
      </c>
      <c r="EX20" s="118">
        <f t="shared" si="66"/>
        <v>5911.3900402431618</v>
      </c>
      <c r="EY20" s="118">
        <f>EX20*'Base Data'!$D$13</f>
        <v>4433.5425301823716</v>
      </c>
      <c r="EZ20" s="375">
        <f>IF(INT(('Base Data'!$D$7)/EY20)=0,0,INT(('Base Data'!$D$7)/EY20))</f>
        <v>2</v>
      </c>
      <c r="FA20" s="385">
        <f t="shared" si="67"/>
        <v>8.6541021964951243E-3</v>
      </c>
      <c r="FB20" s="396">
        <v>0</v>
      </c>
      <c r="FC20" s="403">
        <f t="shared" si="68"/>
        <v>-0.77767597153736867</v>
      </c>
      <c r="FD20" s="508">
        <v>0</v>
      </c>
      <c r="FE20" s="509">
        <f t="shared" si="69"/>
        <v>-7.8027333141620261E-2</v>
      </c>
      <c r="FF20" s="20">
        <f t="shared" si="14"/>
        <v>167.5</v>
      </c>
      <c r="FG20" s="17">
        <f t="shared" si="15"/>
        <v>8.0258167765924048E-3</v>
      </c>
      <c r="FH20" s="388">
        <f t="shared" si="70"/>
        <v>9.4435288490213459E-3</v>
      </c>
      <c r="FI20" s="388">
        <f t="shared" si="105"/>
        <v>9.320085716055547E-3</v>
      </c>
      <c r="FJ20" s="314" t="s">
        <v>20</v>
      </c>
      <c r="FK20" s="442">
        <f t="shared" si="16"/>
        <v>60.350000000000364</v>
      </c>
      <c r="FL20" s="18">
        <f t="shared" si="17"/>
        <v>6.6550878063573859E-3</v>
      </c>
      <c r="FM20" s="394">
        <f t="shared" si="71"/>
        <v>5.6415629216032721E-3</v>
      </c>
      <c r="FN20" s="394">
        <f t="shared" si="106"/>
        <v>6.128707182111625E-3</v>
      </c>
      <c r="FO20" s="385" t="s">
        <v>20</v>
      </c>
      <c r="FP20" s="416">
        <f t="shared" si="47"/>
        <v>1</v>
      </c>
      <c r="FQ20" s="417">
        <f t="shared" si="48"/>
        <v>1</v>
      </c>
      <c r="FR20" s="415">
        <v>0</v>
      </c>
      <c r="FS20" s="413" t="s">
        <v>20</v>
      </c>
      <c r="FT20" s="404">
        <v>0</v>
      </c>
      <c r="FU20" s="414" t="s">
        <v>20</v>
      </c>
      <c r="FV20" s="415">
        <f t="shared" si="62"/>
        <v>22.657710280373916</v>
      </c>
      <c r="FW20" s="413" t="str">
        <f t="shared" si="72"/>
        <v>C-R</v>
      </c>
      <c r="FX20" s="404">
        <f t="shared" si="63"/>
        <v>2.7703306523679632</v>
      </c>
      <c r="FY20" s="414" t="str">
        <f t="shared" si="73"/>
        <v>C-D</v>
      </c>
    </row>
    <row r="21" spans="1:181" x14ac:dyDescent="0.3">
      <c r="A21" s="98">
        <f>90-A19</f>
        <v>26.25</v>
      </c>
      <c r="B21" s="33">
        <f t="shared" si="85"/>
        <v>0.14583333333333334</v>
      </c>
      <c r="C21" s="34">
        <f t="shared" ca="1" si="80"/>
        <v>287.83506008487512</v>
      </c>
      <c r="D21" s="26" t="s">
        <v>43</v>
      </c>
      <c r="E21" s="272">
        <f t="shared" ca="1" si="81"/>
        <v>25797.025946262376</v>
      </c>
      <c r="F21" s="267">
        <f t="shared" ca="1" si="82"/>
        <v>25714.504910660165</v>
      </c>
      <c r="G21" s="26" t="s">
        <v>42</v>
      </c>
      <c r="H21" s="34">
        <f t="shared" ca="1" si="83"/>
        <v>278.02346975886098</v>
      </c>
      <c r="I21" s="33">
        <f t="shared" si="84"/>
        <v>0.14583333333333334</v>
      </c>
      <c r="J21" s="99">
        <f>90-J19</f>
        <v>26.25</v>
      </c>
      <c r="L21" s="283">
        <f t="shared" si="35"/>
        <v>18</v>
      </c>
      <c r="M21" s="290">
        <f>'[4]BANKNIFTY-I'!C37</f>
        <v>42818</v>
      </c>
      <c r="N21" s="7">
        <f>'[4]BANKNIFTY-I'!D37</f>
        <v>20989.75</v>
      </c>
      <c r="O21" s="7">
        <f>'[4]BANKNIFTY-I'!E37</f>
        <v>21206.6</v>
      </c>
      <c r="P21" s="7">
        <f>'[4]BANKNIFTY-I'!F37</f>
        <v>20962.95</v>
      </c>
      <c r="Q21" s="7">
        <f>'[4]BANKNIFTY-I'!G37</f>
        <v>21140.65</v>
      </c>
      <c r="R21" s="11">
        <f>'[4]BANKNIFTY-I'!H37</f>
        <v>68906</v>
      </c>
      <c r="S21" s="291">
        <f>'[5]NIFTY-I'!C37</f>
        <v>42818</v>
      </c>
      <c r="T21" s="9">
        <f>'[5]NIFTY-I'!D37</f>
        <v>9117.85</v>
      </c>
      <c r="U21" s="9">
        <f>'[5]NIFTY-I'!E37</f>
        <v>9146.6</v>
      </c>
      <c r="V21" s="9">
        <f>'[5]NIFTY-I'!F37</f>
        <v>9099.5</v>
      </c>
      <c r="W21" s="9">
        <f>'[5]NIFTY-I'!G37</f>
        <v>9118.2999999999993</v>
      </c>
      <c r="X21" s="12">
        <f>'[5]NIFTY-I'!H37</f>
        <v>93896</v>
      </c>
      <c r="Y21" s="115"/>
      <c r="Z21" s="122">
        <f t="shared" si="36"/>
        <v>8.927824697567836E-3</v>
      </c>
      <c r="AA21" s="19">
        <f t="shared" si="18"/>
        <v>1.1686634948658654E-3</v>
      </c>
      <c r="AB21" s="305">
        <v>0</v>
      </c>
      <c r="AC21" s="306">
        <v>0</v>
      </c>
      <c r="AD21" s="122">
        <f t="shared" si="0"/>
        <v>-1.8322740942584624E-3</v>
      </c>
      <c r="AE21" s="364" t="s">
        <v>20</v>
      </c>
      <c r="AF21" s="513">
        <f t="shared" si="1"/>
        <v>-5.5371644671091238E-3</v>
      </c>
      <c r="AG21" s="522" t="s">
        <v>20</v>
      </c>
      <c r="AH21" s="466">
        <f t="shared" si="37"/>
        <v>8.927824697567836E-3</v>
      </c>
      <c r="AI21" s="17">
        <f t="shared" si="38"/>
        <v>5.3998791590310485E-3</v>
      </c>
      <c r="AJ21" s="17">
        <f t="shared" si="39"/>
        <v>5.6737585836938564E-3</v>
      </c>
      <c r="AK21" s="314">
        <f t="shared" si="40"/>
        <v>0.10839700554030307</v>
      </c>
      <c r="AL21" s="467">
        <f t="shared" si="41"/>
        <v>1.1686634948658654E-3</v>
      </c>
      <c r="AM21" s="18">
        <f t="shared" si="49"/>
        <v>4.9583017013886902E-3</v>
      </c>
      <c r="AN21" s="18">
        <f t="shared" si="19"/>
        <v>4.8157675274174382E-3</v>
      </c>
      <c r="AO21" s="385">
        <f t="shared" si="42"/>
        <v>9.2005109426144455E-2</v>
      </c>
      <c r="AP21" s="10">
        <f t="shared" si="2"/>
        <v>1.1555860158328506E-2</v>
      </c>
      <c r="AQ21" s="17">
        <f t="shared" si="43"/>
        <v>8.4155445730186487E-3</v>
      </c>
      <c r="AR21" s="17">
        <f t="shared" si="44"/>
        <v>8.6362249433862281E-3</v>
      </c>
      <c r="AS21" s="314">
        <f t="shared" si="45"/>
        <v>0.16499484587271129</v>
      </c>
      <c r="AT21" s="448">
        <f t="shared" si="3"/>
        <v>5.1627585749506235E-3</v>
      </c>
      <c r="AU21" s="18">
        <f t="shared" si="50"/>
        <v>5.5926043345942197E-3</v>
      </c>
      <c r="AV21" s="18">
        <f t="shared" si="20"/>
        <v>5.5677494928306802E-3</v>
      </c>
      <c r="AW21" s="385">
        <f t="shared" si="46"/>
        <v>0.10637170470310442</v>
      </c>
      <c r="AX21" s="6">
        <f t="shared" si="4"/>
        <v>1446319713.5</v>
      </c>
      <c r="AY21" s="319">
        <v>0</v>
      </c>
      <c r="AZ21" s="140">
        <f t="shared" si="5"/>
        <v>856129643.60000002</v>
      </c>
      <c r="BA21" s="481">
        <v>0</v>
      </c>
      <c r="BB21" s="135">
        <f t="shared" si="98"/>
        <v>1265964102.37168</v>
      </c>
      <c r="BC21" s="21">
        <f t="shared" si="99"/>
        <v>60383.00525879785</v>
      </c>
      <c r="BD21" s="319">
        <f t="shared" si="100"/>
        <v>20965.569649040084</v>
      </c>
      <c r="BE21" s="21">
        <f t="shared" si="6"/>
        <v>21103.4</v>
      </c>
      <c r="BF21" s="21">
        <f t="shared" si="7"/>
        <v>1454150880.4000001</v>
      </c>
      <c r="BG21" s="21">
        <f t="shared" si="59"/>
        <v>1276160005.1665659</v>
      </c>
      <c r="BH21" s="21">
        <f t="shared" si="55"/>
        <v>60635.327151399055</v>
      </c>
      <c r="BI21" s="332">
        <f t="shared" si="56"/>
        <v>21046.476783742739</v>
      </c>
      <c r="BJ21" s="141">
        <f t="shared" si="101"/>
        <v>953780731.33498728</v>
      </c>
      <c r="BK21" s="118">
        <f t="shared" si="102"/>
        <v>105198.41233735028</v>
      </c>
      <c r="BL21" s="329">
        <f t="shared" si="107"/>
        <v>9066.4935919032996</v>
      </c>
      <c r="BM21" s="118">
        <f t="shared" si="8"/>
        <v>9121.4666666666653</v>
      </c>
      <c r="BN21" s="118">
        <f t="shared" si="9"/>
        <v>856469234.13333321</v>
      </c>
      <c r="BO21" s="118">
        <f t="shared" si="60"/>
        <v>939529519.98130858</v>
      </c>
      <c r="BP21" s="118">
        <f t="shared" si="57"/>
        <v>103132.98747844696</v>
      </c>
      <c r="BQ21" s="325">
        <f t="shared" si="61"/>
        <v>9109.8836846712529</v>
      </c>
      <c r="BR21" s="6">
        <f t="shared" si="10"/>
        <v>1444473032.7</v>
      </c>
      <c r="BS21" s="8">
        <f t="shared" si="11"/>
        <v>1461261979.5999999</v>
      </c>
      <c r="BT21" s="331">
        <f t="shared" si="86"/>
        <v>21031.963088407374</v>
      </c>
      <c r="BU21" s="319">
        <f t="shared" si="51"/>
        <v>20937.915805501871</v>
      </c>
      <c r="BV21" s="319">
        <f t="shared" si="52"/>
        <v>21122.74671946968</v>
      </c>
      <c r="BW21" s="331">
        <v>0</v>
      </c>
      <c r="BX21" s="319">
        <f t="shared" si="87"/>
        <v>20910.845279012363</v>
      </c>
      <c r="BY21" s="332">
        <f t="shared" si="88"/>
        <v>21118.170293959909</v>
      </c>
      <c r="BZ21" s="140">
        <f t="shared" si="12"/>
        <v>854406652</v>
      </c>
      <c r="CA21" s="142">
        <f t="shared" si="13"/>
        <v>858829153.60000002</v>
      </c>
      <c r="CB21" s="339">
        <f t="shared" si="89"/>
        <v>9087.2655514082653</v>
      </c>
      <c r="CC21" s="329">
        <f t="shared" si="53"/>
        <v>9085.8172415900463</v>
      </c>
      <c r="CD21" s="329">
        <f t="shared" si="54"/>
        <v>9144.7789756060065</v>
      </c>
      <c r="CE21" s="339">
        <v>0</v>
      </c>
      <c r="CF21" s="329">
        <f t="shared" si="90"/>
        <v>9049.8574544436033</v>
      </c>
      <c r="CG21" s="325">
        <f t="shared" si="91"/>
        <v>9109.671957385628</v>
      </c>
      <c r="CH21" s="20">
        <f t="shared" si="92"/>
        <v>1259144696.217876</v>
      </c>
      <c r="CI21" s="21">
        <f t="shared" si="93"/>
        <v>60020.058292082816</v>
      </c>
      <c r="CJ21" s="21">
        <f t="shared" si="94"/>
        <v>20978.731644850275</v>
      </c>
      <c r="CK21" s="21">
        <v>0</v>
      </c>
      <c r="CL21" s="21">
        <v>0</v>
      </c>
      <c r="CM21" s="21">
        <v>0</v>
      </c>
      <c r="CN21" s="342">
        <v>0</v>
      </c>
      <c r="CO21" s="342">
        <v>0</v>
      </c>
      <c r="CP21" s="343">
        <v>0</v>
      </c>
      <c r="CQ21" s="141">
        <f t="shared" si="95"/>
        <v>953754214.98181701</v>
      </c>
      <c r="CR21" s="118">
        <f t="shared" si="96"/>
        <v>105126.45756539154</v>
      </c>
      <c r="CS21" s="118">
        <f t="shared" si="104"/>
        <v>9072.4470040147189</v>
      </c>
      <c r="CT21" s="118"/>
      <c r="CU21" s="118"/>
      <c r="CV21" s="118">
        <v>0</v>
      </c>
      <c r="CW21" s="350">
        <v>0</v>
      </c>
      <c r="CX21" s="350">
        <v>0</v>
      </c>
      <c r="CY21" s="351">
        <v>0</v>
      </c>
      <c r="CZ21" s="20">
        <f t="shared" si="21"/>
        <v>181.65000000000146</v>
      </c>
      <c r="DA21" s="21">
        <f t="shared" si="22"/>
        <v>1454150880.4000001</v>
      </c>
      <c r="DB21" s="21">
        <f t="shared" si="23"/>
        <v>0</v>
      </c>
      <c r="DC21" s="21">
        <f t="shared" si="112"/>
        <v>819345539.35780346</v>
      </c>
      <c r="DD21" s="21">
        <f t="shared" si="112"/>
        <v>491149382.35987616</v>
      </c>
      <c r="DE21" s="21">
        <f t="shared" si="108"/>
        <v>1.6682206448494536</v>
      </c>
      <c r="DF21" s="342">
        <f t="shared" si="109"/>
        <v>62.521840091061058</v>
      </c>
      <c r="DG21" s="342">
        <v>0</v>
      </c>
      <c r="DH21" s="355">
        <v>0</v>
      </c>
      <c r="DI21" s="141">
        <f t="shared" si="24"/>
        <v>24.766666666666424</v>
      </c>
      <c r="DJ21" s="118">
        <f t="shared" si="25"/>
        <v>856469234.13333321</v>
      </c>
      <c r="DK21" s="118">
        <f t="shared" si="26"/>
        <v>0</v>
      </c>
      <c r="DL21" s="118">
        <f t="shared" si="113"/>
        <v>614929673.74098015</v>
      </c>
      <c r="DM21" s="118">
        <f t="shared" si="113"/>
        <v>359613867.17325604</v>
      </c>
      <c r="DN21" s="118">
        <f t="shared" si="110"/>
        <v>1.7099720835979808</v>
      </c>
      <c r="DO21" s="350">
        <f t="shared" si="111"/>
        <v>63.099250872270311</v>
      </c>
      <c r="DP21" s="350">
        <v>0</v>
      </c>
      <c r="DQ21" s="351">
        <v>0</v>
      </c>
      <c r="DR21" s="135">
        <f t="shared" si="27"/>
        <v>253.84999999999854</v>
      </c>
      <c r="DS21" s="20">
        <f t="shared" si="28"/>
        <v>17491788.099999901</v>
      </c>
      <c r="DT21" s="21">
        <v>0</v>
      </c>
      <c r="DU21" s="21">
        <v>0</v>
      </c>
      <c r="DV21" s="319">
        <v>0</v>
      </c>
      <c r="DW21" s="21">
        <v>0</v>
      </c>
      <c r="DX21" s="21">
        <v>0</v>
      </c>
      <c r="DY21" s="319">
        <v>0</v>
      </c>
      <c r="DZ21" s="362">
        <v>0</v>
      </c>
      <c r="EA21" s="141">
        <f t="shared" si="29"/>
        <v>47.100000000000364</v>
      </c>
      <c r="EB21" s="143">
        <f t="shared" si="30"/>
        <v>4422501.6000000341</v>
      </c>
      <c r="EC21" s="118">
        <v>0</v>
      </c>
      <c r="ED21" s="118">
        <v>0</v>
      </c>
      <c r="EE21" s="329">
        <v>0</v>
      </c>
      <c r="EF21" s="118">
        <v>0</v>
      </c>
      <c r="EG21" s="118">
        <v>0</v>
      </c>
      <c r="EH21" s="329">
        <v>0</v>
      </c>
      <c r="EI21" s="374">
        <v>0</v>
      </c>
      <c r="EJ21" s="135">
        <f t="shared" si="31"/>
        <v>253.84999999999854</v>
      </c>
      <c r="EK21" s="21">
        <f t="shared" si="32"/>
        <v>17491788.099999901</v>
      </c>
      <c r="EL21" s="21">
        <f t="shared" si="78"/>
        <v>14321150.214798952</v>
      </c>
      <c r="EM21" s="21">
        <f t="shared" si="74"/>
        <v>59864.081250356896</v>
      </c>
      <c r="EN21" s="319">
        <f t="shared" si="75"/>
        <v>239.22776255275065</v>
      </c>
      <c r="EO21" s="21">
        <f t="shared" si="64"/>
        <v>4784.5552510550133</v>
      </c>
      <c r="EP21" s="21">
        <f>EO21*'Base Data'!$D$13</f>
        <v>3588.41643829126</v>
      </c>
      <c r="EQ21" s="363">
        <f>IF(INT(('Base Data'!$D$7)/EP21)=0,0,INT(('Base Data'!$D$7)/EP21))</f>
        <v>2</v>
      </c>
      <c r="ER21" s="314">
        <f t="shared" si="65"/>
        <v>1.1316007906698736E-2</v>
      </c>
      <c r="ES21" s="143">
        <f t="shared" si="33"/>
        <v>47.100000000000364</v>
      </c>
      <c r="ET21" s="118">
        <f t="shared" si="34"/>
        <v>4422501.6000000341</v>
      </c>
      <c r="EU21" s="118">
        <f t="shared" si="79"/>
        <v>7591403.2405102914</v>
      </c>
      <c r="EV21" s="118">
        <f t="shared" si="76"/>
        <v>104711.85791528181</v>
      </c>
      <c r="EW21" s="329">
        <f t="shared" si="77"/>
        <v>72.498028319315978</v>
      </c>
      <c r="EX21" s="118">
        <f t="shared" si="66"/>
        <v>5437.3521239486981</v>
      </c>
      <c r="EY21" s="118">
        <f>EX21*'Base Data'!$D$13</f>
        <v>4078.0140929615236</v>
      </c>
      <c r="EZ21" s="375">
        <f>IF(INT(('Base Data'!$D$7)/EY21)=0,0,INT(('Base Data'!$D$7)/EY21))</f>
        <v>2</v>
      </c>
      <c r="FA21" s="385">
        <f t="shared" si="67"/>
        <v>7.9508272725525575E-3</v>
      </c>
      <c r="FB21" s="396">
        <v>0</v>
      </c>
      <c r="FC21" s="403">
        <f t="shared" si="68"/>
        <v>-3.3501894796021808E-2</v>
      </c>
      <c r="FD21" s="508">
        <v>0</v>
      </c>
      <c r="FE21" s="509">
        <f t="shared" si="69"/>
        <v>-0.17477486804919695</v>
      </c>
      <c r="FF21" s="20">
        <f t="shared" si="14"/>
        <v>243.64999999999782</v>
      </c>
      <c r="FG21" s="17">
        <f t="shared" si="15"/>
        <v>1.1608046784740067E-2</v>
      </c>
      <c r="FH21" s="388">
        <f t="shared" si="70"/>
        <v>9.5631076049553353E-3</v>
      </c>
      <c r="FI21" s="388">
        <f t="shared" si="105"/>
        <v>9.492479152454044E-3</v>
      </c>
      <c r="FJ21" s="314" t="s">
        <v>20</v>
      </c>
      <c r="FK21" s="442">
        <f t="shared" si="16"/>
        <v>47.100000000000364</v>
      </c>
      <c r="FL21" s="18">
        <f t="shared" si="17"/>
        <v>5.165691473318859E-3</v>
      </c>
      <c r="FM21" s="394">
        <f t="shared" si="71"/>
        <v>5.188313174794925E-3</v>
      </c>
      <c r="FN21" s="394">
        <f t="shared" si="106"/>
        <v>6.039218596291856E-3</v>
      </c>
      <c r="FO21" s="385" t="s">
        <v>20</v>
      </c>
      <c r="FP21" s="416">
        <f t="shared" si="47"/>
        <v>2</v>
      </c>
      <c r="FQ21" s="417">
        <f t="shared" si="48"/>
        <v>2</v>
      </c>
      <c r="FR21" s="415">
        <v>0</v>
      </c>
      <c r="FS21" s="413" t="s">
        <v>20</v>
      </c>
      <c r="FT21" s="404">
        <v>0</v>
      </c>
      <c r="FU21" s="414" t="s">
        <v>20</v>
      </c>
      <c r="FV21" s="415">
        <f t="shared" si="62"/>
        <v>9.5735981308407805</v>
      </c>
      <c r="FW21" s="413" t="str">
        <f t="shared" si="72"/>
        <v>C-D</v>
      </c>
      <c r="FX21" s="404">
        <f t="shared" si="63"/>
        <v>5.3619302949061547</v>
      </c>
      <c r="FY21" s="414" t="str">
        <f t="shared" si="73"/>
        <v>C-R</v>
      </c>
    </row>
    <row r="22" spans="1:181" x14ac:dyDescent="0.3">
      <c r="A22" s="100">
        <f>90-A18</f>
        <v>18.75</v>
      </c>
      <c r="B22" s="35">
        <f t="shared" si="85"/>
        <v>0.10416666666666667</v>
      </c>
      <c r="C22" s="36">
        <f t="shared" ca="1" si="80"/>
        <v>286.42298765734938</v>
      </c>
      <c r="D22" s="37" t="s">
        <v>41</v>
      </c>
      <c r="E22" s="270">
        <f t="shared" ca="1" si="81"/>
        <v>25784.885727880974</v>
      </c>
      <c r="F22" s="265">
        <f t="shared" ca="1" si="82"/>
        <v>25725.94430116114</v>
      </c>
      <c r="G22" s="37" t="s">
        <v>40</v>
      </c>
      <c r="H22" s="36">
        <f t="shared" ca="1" si="83"/>
        <v>279.41470885305341</v>
      </c>
      <c r="I22" s="33">
        <f t="shared" si="84"/>
        <v>0.10416666666666667</v>
      </c>
      <c r="J22" s="101">
        <f>90-J18</f>
        <v>18.75</v>
      </c>
      <c r="L22" s="283">
        <f t="shared" si="35"/>
        <v>19</v>
      </c>
      <c r="M22" s="290">
        <f>'[4]BANKNIFTY-I'!C38</f>
        <v>42821</v>
      </c>
      <c r="N22" s="7">
        <f>'[4]BANKNIFTY-I'!D38</f>
        <v>21001.5</v>
      </c>
      <c r="O22" s="7">
        <f>'[4]BANKNIFTY-I'!E38</f>
        <v>21175</v>
      </c>
      <c r="P22" s="7">
        <f>'[4]BANKNIFTY-I'!F38</f>
        <v>20992.25</v>
      </c>
      <c r="Q22" s="7">
        <f>'[4]BANKNIFTY-I'!G38</f>
        <v>21101.95</v>
      </c>
      <c r="R22" s="11">
        <f>'[4]BANKNIFTY-I'!H38</f>
        <v>61884</v>
      </c>
      <c r="S22" s="291">
        <f>'[5]NIFTY-I'!C38</f>
        <v>42821</v>
      </c>
      <c r="T22" s="9">
        <f>'[5]NIFTY-I'!D38</f>
        <v>9109</v>
      </c>
      <c r="U22" s="9">
        <f>'[5]NIFTY-I'!E38</f>
        <v>9111.0499999999993</v>
      </c>
      <c r="V22" s="9">
        <f>'[5]NIFTY-I'!F38</f>
        <v>9035.25</v>
      </c>
      <c r="W22" s="9">
        <f>'[5]NIFTY-I'!G38</f>
        <v>9067.9500000000007</v>
      </c>
      <c r="X22" s="12">
        <f>'[5]NIFTY-I'!H38</f>
        <v>171644</v>
      </c>
      <c r="Y22" s="115"/>
      <c r="Z22" s="122">
        <f t="shared" si="36"/>
        <v>-1.8322740942584624E-3</v>
      </c>
      <c r="AA22" s="19">
        <f t="shared" si="18"/>
        <v>-5.5371644671091238E-3</v>
      </c>
      <c r="AB22" s="305">
        <v>0</v>
      </c>
      <c r="AC22" s="306">
        <v>0</v>
      </c>
      <c r="AD22" s="122">
        <f t="shared" si="0"/>
        <v>6.2900196872061592E-3</v>
      </c>
      <c r="AE22" s="364" t="s">
        <v>20</v>
      </c>
      <c r="AF22" s="513">
        <f t="shared" si="1"/>
        <v>4.5825837791926716E-3</v>
      </c>
      <c r="AG22" s="522" t="s">
        <v>20</v>
      </c>
      <c r="AH22" s="466">
        <f t="shared" si="37"/>
        <v>-1.8322740942584624E-3</v>
      </c>
      <c r="AI22" s="17">
        <f t="shared" si="38"/>
        <v>5.6737585836938564E-3</v>
      </c>
      <c r="AJ22" s="17">
        <f t="shared" si="39"/>
        <v>5.5191917867987491E-3</v>
      </c>
      <c r="AK22" s="314">
        <f t="shared" si="40"/>
        <v>0.10544401103194705</v>
      </c>
      <c r="AL22" s="467">
        <f t="shared" si="41"/>
        <v>-5.5371644671091238E-3</v>
      </c>
      <c r="AM22" s="18">
        <f t="shared" si="49"/>
        <v>4.8157675274174382E-3</v>
      </c>
      <c r="AN22" s="18">
        <f t="shared" si="19"/>
        <v>4.8620706787941203E-3</v>
      </c>
      <c r="AO22" s="385">
        <f t="shared" si="42"/>
        <v>9.2889729891092773E-2</v>
      </c>
      <c r="AP22" s="10">
        <f t="shared" si="2"/>
        <v>8.6679185485742868E-3</v>
      </c>
      <c r="AQ22" s="17">
        <f t="shared" si="43"/>
        <v>8.6362249433862281E-3</v>
      </c>
      <c r="AR22" s="17">
        <f t="shared" si="44"/>
        <v>8.6381298389340937E-3</v>
      </c>
      <c r="AS22" s="314">
        <f t="shared" si="45"/>
        <v>0.16503123885105356</v>
      </c>
      <c r="AT22" s="448">
        <f t="shared" si="3"/>
        <v>8.3543687555315566E-3</v>
      </c>
      <c r="AU22" s="18">
        <f t="shared" si="50"/>
        <v>5.5677494928306802E-3</v>
      </c>
      <c r="AV22" s="18">
        <f t="shared" si="20"/>
        <v>5.773003809822529E-3</v>
      </c>
      <c r="AW22" s="385">
        <f t="shared" si="46"/>
        <v>0.1102930829231928</v>
      </c>
      <c r="AX22" s="6">
        <f t="shared" si="4"/>
        <v>1299656826</v>
      </c>
      <c r="AY22" s="319">
        <v>0</v>
      </c>
      <c r="AZ22" s="140">
        <f t="shared" si="5"/>
        <v>1563505196</v>
      </c>
      <c r="BA22" s="481">
        <v>0</v>
      </c>
      <c r="BB22" s="135">
        <f t="shared" si="98"/>
        <v>1270777348.6042972</v>
      </c>
      <c r="BC22" s="21">
        <f t="shared" si="99"/>
        <v>60597.433078969589</v>
      </c>
      <c r="BD22" s="319">
        <f t="shared" si="100"/>
        <v>20970.811535007444</v>
      </c>
      <c r="BE22" s="21">
        <f t="shared" si="6"/>
        <v>21089.733333333334</v>
      </c>
      <c r="BF22" s="21">
        <f t="shared" si="7"/>
        <v>1305117057.5999999</v>
      </c>
      <c r="BG22" s="21">
        <f t="shared" si="59"/>
        <v>1285812355.9777105</v>
      </c>
      <c r="BH22" s="21">
        <f t="shared" si="55"/>
        <v>61051.551434266039</v>
      </c>
      <c r="BI22" s="332">
        <f t="shared" si="56"/>
        <v>21061.092237142238</v>
      </c>
      <c r="BJ22" s="141">
        <f t="shared" si="101"/>
        <v>1040884226.2871319</v>
      </c>
      <c r="BK22" s="118">
        <f t="shared" si="102"/>
        <v>114690.63914630024</v>
      </c>
      <c r="BL22" s="329">
        <f t="shared" si="107"/>
        <v>9075.5813555051536</v>
      </c>
      <c r="BM22" s="118">
        <f t="shared" si="8"/>
        <v>9071.4166666666661</v>
      </c>
      <c r="BN22" s="118">
        <f t="shared" si="9"/>
        <v>1557054242.3333333</v>
      </c>
      <c r="BO22" s="118">
        <f t="shared" si="60"/>
        <v>1145371094.0986502</v>
      </c>
      <c r="BP22" s="118">
        <f t="shared" si="57"/>
        <v>125969.99165229796</v>
      </c>
      <c r="BQ22" s="325">
        <f t="shared" si="61"/>
        <v>9092.4122410049895</v>
      </c>
      <c r="BR22" s="6">
        <f t="shared" si="10"/>
        <v>1299084399</v>
      </c>
      <c r="BS22" s="8">
        <f t="shared" si="11"/>
        <v>1310393700</v>
      </c>
      <c r="BT22" s="331">
        <f t="shared" si="86"/>
        <v>21043.756545507982</v>
      </c>
      <c r="BU22" s="319">
        <f t="shared" si="51"/>
        <v>20927.652988466369</v>
      </c>
      <c r="BV22" s="319">
        <f t="shared" si="52"/>
        <v>21121.402630874894</v>
      </c>
      <c r="BW22" s="331">
        <v>0</v>
      </c>
      <c r="BX22" s="319">
        <f t="shared" si="87"/>
        <v>20929.067627742133</v>
      </c>
      <c r="BY22" s="332">
        <f t="shared" si="88"/>
        <v>21139.261104960748</v>
      </c>
      <c r="BZ22" s="140">
        <f t="shared" si="12"/>
        <v>1550846451</v>
      </c>
      <c r="CA22" s="142">
        <f t="shared" si="13"/>
        <v>1563857066.1999998</v>
      </c>
      <c r="CB22" s="339">
        <f t="shared" si="89"/>
        <v>9093.7898582461166</v>
      </c>
      <c r="CC22" s="329">
        <f t="shared" si="53"/>
        <v>9064.6601019811515</v>
      </c>
      <c r="CD22" s="329">
        <f t="shared" si="54"/>
        <v>9132.767489833268</v>
      </c>
      <c r="CE22" s="339">
        <v>0</v>
      </c>
      <c r="CF22" s="329">
        <f t="shared" si="90"/>
        <v>9051.7458960291333</v>
      </c>
      <c r="CG22" s="325">
        <f t="shared" si="91"/>
        <v>9114.6494977804505</v>
      </c>
      <c r="CH22" s="20">
        <f t="shared" si="92"/>
        <v>1266217367.1997411</v>
      </c>
      <c r="CI22" s="21">
        <f t="shared" si="93"/>
        <v>60306.818554839308</v>
      </c>
      <c r="CJ22" s="21">
        <f t="shared" si="94"/>
        <v>20996.255440805933</v>
      </c>
      <c r="CK22" s="21">
        <v>0</v>
      </c>
      <c r="CL22" s="21">
        <v>0</v>
      </c>
      <c r="CM22" s="21">
        <v>0</v>
      </c>
      <c r="CN22" s="342">
        <v>0</v>
      </c>
      <c r="CO22" s="342">
        <v>0</v>
      </c>
      <c r="CP22" s="343">
        <v>0</v>
      </c>
      <c r="CQ22" s="141">
        <f t="shared" si="95"/>
        <v>1046569603.8051271</v>
      </c>
      <c r="CR22" s="118">
        <f t="shared" si="96"/>
        <v>115359.92563225438</v>
      </c>
      <c r="CS22" s="118">
        <f t="shared" si="104"/>
        <v>9072.2111519159007</v>
      </c>
      <c r="CT22" s="118"/>
      <c r="CU22" s="118"/>
      <c r="CV22" s="118">
        <v>0</v>
      </c>
      <c r="CW22" s="350">
        <v>0</v>
      </c>
      <c r="CX22" s="350">
        <v>0</v>
      </c>
      <c r="CY22" s="351">
        <v>0</v>
      </c>
      <c r="CZ22" s="20">
        <f t="shared" si="21"/>
        <v>-13.666666666667879</v>
      </c>
      <c r="DA22" s="21">
        <f t="shared" si="22"/>
        <v>0</v>
      </c>
      <c r="DB22" s="21">
        <f t="shared" si="23"/>
        <v>1305117057.5999999</v>
      </c>
      <c r="DC22" s="21">
        <f t="shared" si="112"/>
        <v>710099467.44342971</v>
      </c>
      <c r="DD22" s="21">
        <f t="shared" si="112"/>
        <v>599678405.72522593</v>
      </c>
      <c r="DE22" s="21">
        <f t="shared" si="108"/>
        <v>1.1841337968217567</v>
      </c>
      <c r="DF22" s="342">
        <f t="shared" si="109"/>
        <v>54.215259090118451</v>
      </c>
      <c r="DG22" s="342">
        <v>0</v>
      </c>
      <c r="DH22" s="355">
        <v>0</v>
      </c>
      <c r="DI22" s="141">
        <f t="shared" si="24"/>
        <v>-50.049999999999272</v>
      </c>
      <c r="DJ22" s="118">
        <f t="shared" si="25"/>
        <v>0</v>
      </c>
      <c r="DK22" s="118">
        <f t="shared" si="26"/>
        <v>1557054242.3333333</v>
      </c>
      <c r="DL22" s="118">
        <f t="shared" si="113"/>
        <v>532939050.5755161</v>
      </c>
      <c r="DM22" s="118">
        <f t="shared" si="113"/>
        <v>519272583.86126631</v>
      </c>
      <c r="DN22" s="118">
        <f t="shared" si="110"/>
        <v>1.0263184830838308</v>
      </c>
      <c r="DO22" s="350">
        <f t="shared" si="111"/>
        <v>50.649416251777382</v>
      </c>
      <c r="DP22" s="350">
        <v>0</v>
      </c>
      <c r="DQ22" s="351">
        <v>0</v>
      </c>
      <c r="DR22" s="135">
        <f t="shared" si="27"/>
        <v>182.75</v>
      </c>
      <c r="DS22" s="20">
        <f t="shared" si="28"/>
        <v>11309301</v>
      </c>
      <c r="DT22" s="21">
        <v>0</v>
      </c>
      <c r="DU22" s="21">
        <v>0</v>
      </c>
      <c r="DV22" s="319">
        <v>0</v>
      </c>
      <c r="DW22" s="21">
        <v>0</v>
      </c>
      <c r="DX22" s="21">
        <v>0</v>
      </c>
      <c r="DY22" s="319">
        <v>0</v>
      </c>
      <c r="DZ22" s="362">
        <v>0</v>
      </c>
      <c r="EA22" s="141">
        <f t="shared" si="29"/>
        <v>83.049999999999272</v>
      </c>
      <c r="EB22" s="143">
        <f t="shared" si="30"/>
        <v>14255034.199999874</v>
      </c>
      <c r="EC22" s="118">
        <v>0</v>
      </c>
      <c r="ED22" s="118">
        <v>0</v>
      </c>
      <c r="EE22" s="329">
        <v>0</v>
      </c>
      <c r="EF22" s="118">
        <v>0</v>
      </c>
      <c r="EG22" s="118">
        <v>0</v>
      </c>
      <c r="EH22" s="329">
        <v>0</v>
      </c>
      <c r="EI22" s="374">
        <v>0</v>
      </c>
      <c r="EJ22" s="135">
        <f t="shared" si="31"/>
        <v>182.75</v>
      </c>
      <c r="EK22" s="21">
        <f t="shared" si="32"/>
        <v>11309301</v>
      </c>
      <c r="EL22" s="21">
        <f t="shared" si="78"/>
        <v>13651850.389288073</v>
      </c>
      <c r="EM22" s="21">
        <f t="shared" si="74"/>
        <v>60312.952083610922</v>
      </c>
      <c r="EN22" s="319">
        <f t="shared" si="75"/>
        <v>226.35022690255192</v>
      </c>
      <c r="EO22" s="21">
        <f t="shared" si="64"/>
        <v>4527.0045380510383</v>
      </c>
      <c r="EP22" s="21">
        <f>EO22*'Base Data'!$D$13</f>
        <v>3395.2534035382787</v>
      </c>
      <c r="EQ22" s="363">
        <f>IF(INT(('Base Data'!$D$7)/EP22)=0,0,INT(('Base Data'!$D$7)/EP22))</f>
        <v>3</v>
      </c>
      <c r="ER22" s="314">
        <f t="shared" si="65"/>
        <v>1.0726507593021115E-2</v>
      </c>
      <c r="ES22" s="143">
        <f t="shared" si="33"/>
        <v>83.049999999999272</v>
      </c>
      <c r="ET22" s="118">
        <f t="shared" si="34"/>
        <v>14255034.199999874</v>
      </c>
      <c r="EU22" s="118">
        <f t="shared" si="79"/>
        <v>9072210.1203968655</v>
      </c>
      <c r="EV22" s="118">
        <f t="shared" si="76"/>
        <v>119585.66726744141</v>
      </c>
      <c r="EW22" s="329">
        <f t="shared" si="77"/>
        <v>75.86369109023552</v>
      </c>
      <c r="EX22" s="118">
        <f t="shared" si="66"/>
        <v>5689.7768317676637</v>
      </c>
      <c r="EY22" s="118">
        <f>EX22*'Base Data'!$D$13</f>
        <v>4267.3326238257478</v>
      </c>
      <c r="EZ22" s="375">
        <f>IF(INT(('Base Data'!$D$7)/EY22)=0,0,INT(('Base Data'!$D$7)/EY22))</f>
        <v>2</v>
      </c>
      <c r="FA22" s="385">
        <f t="shared" si="67"/>
        <v>8.3661346930933144E-3</v>
      </c>
      <c r="FB22" s="396">
        <v>0</v>
      </c>
      <c r="FC22" s="403">
        <f t="shared" si="68"/>
        <v>-0.15800551129435036</v>
      </c>
      <c r="FD22" s="508">
        <v>0</v>
      </c>
      <c r="FE22" s="509">
        <f t="shared" si="69"/>
        <v>-0.84488155548738753</v>
      </c>
      <c r="FF22" s="20">
        <f t="shared" si="14"/>
        <v>182.75</v>
      </c>
      <c r="FG22" s="17">
        <f t="shared" si="15"/>
        <v>8.7017593981382289E-3</v>
      </c>
      <c r="FH22" s="388">
        <f t="shared" si="70"/>
        <v>9.6559758208350846E-3</v>
      </c>
      <c r="FI22" s="388">
        <f t="shared" si="105"/>
        <v>9.7635982147662101E-3</v>
      </c>
      <c r="FJ22" s="314" t="s">
        <v>20</v>
      </c>
      <c r="FK22" s="442">
        <f t="shared" si="16"/>
        <v>75.799999999999272</v>
      </c>
      <c r="FL22" s="18">
        <f t="shared" si="17"/>
        <v>8.3214403337357849E-3</v>
      </c>
      <c r="FM22" s="394">
        <f t="shared" si="71"/>
        <v>5.8377053882501216E-3</v>
      </c>
      <c r="FN22" s="394">
        <f t="shared" si="106"/>
        <v>6.4323887588040403E-3</v>
      </c>
      <c r="FO22" s="385" t="s">
        <v>20</v>
      </c>
      <c r="FP22" s="416">
        <f t="shared" si="47"/>
        <v>2</v>
      </c>
      <c r="FQ22" s="417">
        <f t="shared" si="48"/>
        <v>2</v>
      </c>
      <c r="FR22" s="415">
        <v>0</v>
      </c>
      <c r="FS22" s="413" t="s">
        <v>20</v>
      </c>
      <c r="FT22" s="404">
        <v>0</v>
      </c>
      <c r="FU22" s="414" t="s">
        <v>20</v>
      </c>
      <c r="FV22" s="415">
        <f t="shared" si="62"/>
        <v>24.398364485981141</v>
      </c>
      <c r="FW22" s="413" t="str">
        <f t="shared" si="72"/>
        <v>C-R</v>
      </c>
      <c r="FX22" s="404">
        <f t="shared" si="63"/>
        <v>60.923423423422683</v>
      </c>
      <c r="FY22" s="414" t="str">
        <f t="shared" si="73"/>
        <v>T-R</v>
      </c>
    </row>
    <row r="23" spans="1:181" x14ac:dyDescent="0.3">
      <c r="A23" s="96">
        <f>90-A17</f>
        <v>15</v>
      </c>
      <c r="B23" s="27">
        <f t="shared" si="85"/>
        <v>8.3333333333333329E-2</v>
      </c>
      <c r="C23" s="28">
        <f t="shared" ca="1" si="80"/>
        <v>285.71825352691968</v>
      </c>
      <c r="D23" s="29" t="s">
        <v>39</v>
      </c>
      <c r="E23" s="271">
        <f t="shared" ca="1" si="81"/>
        <v>25778.859854460577</v>
      </c>
      <c r="F23" s="266">
        <f t="shared" ca="1" si="82"/>
        <v>25731.707364126374</v>
      </c>
      <c r="G23" s="30" t="s">
        <v>38</v>
      </c>
      <c r="H23" s="31">
        <f t="shared" ca="1" si="83"/>
        <v>280.11163048348311</v>
      </c>
      <c r="I23" s="32">
        <f t="shared" si="84"/>
        <v>8.3333333333333329E-2</v>
      </c>
      <c r="J23" s="97">
        <f>90-J17</f>
        <v>15</v>
      </c>
      <c r="L23" s="283">
        <f t="shared" si="35"/>
        <v>20</v>
      </c>
      <c r="M23" s="290">
        <f>'[4]BANKNIFTY-I'!C39</f>
        <v>42822</v>
      </c>
      <c r="N23" s="7">
        <f>'[4]BANKNIFTY-I'!D39</f>
        <v>21225.25</v>
      </c>
      <c r="O23" s="7">
        <f>'[4]BANKNIFTY-I'!E39</f>
        <v>21265</v>
      </c>
      <c r="P23" s="7">
        <f>'[4]BANKNIFTY-I'!F39</f>
        <v>21150</v>
      </c>
      <c r="Q23" s="7">
        <f>'[4]BANKNIFTY-I'!G39</f>
        <v>21235.1</v>
      </c>
      <c r="R23" s="11">
        <f>'[4]BANKNIFTY-I'!H39</f>
        <v>62454</v>
      </c>
      <c r="S23" s="291">
        <f>'[5]NIFTY-I'!C39</f>
        <v>42822</v>
      </c>
      <c r="T23" s="9">
        <f>'[5]NIFTY-I'!D39</f>
        <v>9095.15</v>
      </c>
      <c r="U23" s="9">
        <f>'[5]NIFTY-I'!E39</f>
        <v>9123.7999999999993</v>
      </c>
      <c r="V23" s="9">
        <f>'[5]NIFTY-I'!F39</f>
        <v>9085.4</v>
      </c>
      <c r="W23" s="9">
        <f>'[5]NIFTY-I'!G39</f>
        <v>9109.6</v>
      </c>
      <c r="X23" s="12">
        <f>'[5]NIFTY-I'!H39</f>
        <v>136796</v>
      </c>
      <c r="Y23" s="115"/>
      <c r="Z23" s="122">
        <f t="shared" si="36"/>
        <v>6.2900196872061592E-3</v>
      </c>
      <c r="AA23" s="19">
        <f t="shared" si="18"/>
        <v>4.5825837791926716E-3</v>
      </c>
      <c r="AB23" s="305">
        <v>0</v>
      </c>
      <c r="AC23" s="306">
        <v>0</v>
      </c>
      <c r="AD23" s="122">
        <f t="shared" si="0"/>
        <v>7.8896427861749226E-3</v>
      </c>
      <c r="AE23" s="364" t="s">
        <v>20</v>
      </c>
      <c r="AF23" s="513">
        <f t="shared" si="1"/>
        <v>3.6433505397952424E-3</v>
      </c>
      <c r="AG23" s="522" t="s">
        <v>20</v>
      </c>
      <c r="AH23" s="466">
        <f t="shared" si="37"/>
        <v>6.2900196872061592E-3</v>
      </c>
      <c r="AI23" s="17">
        <f t="shared" si="38"/>
        <v>5.5191917867987491E-3</v>
      </c>
      <c r="AJ23" s="17">
        <f t="shared" si="39"/>
        <v>5.5684513251554263E-3</v>
      </c>
      <c r="AK23" s="314">
        <f t="shared" si="40"/>
        <v>0.10638511319084172</v>
      </c>
      <c r="AL23" s="467">
        <f t="shared" si="41"/>
        <v>4.5825837791926716E-3</v>
      </c>
      <c r="AM23" s="18">
        <f t="shared" si="49"/>
        <v>4.8620706787941203E-3</v>
      </c>
      <c r="AN23" s="18">
        <f t="shared" si="19"/>
        <v>4.8457560662969129E-3</v>
      </c>
      <c r="AO23" s="385">
        <f t="shared" si="42"/>
        <v>9.2578039656980554E-2</v>
      </c>
      <c r="AP23" s="10">
        <f t="shared" si="2"/>
        <v>5.4226232133098348E-3</v>
      </c>
      <c r="AQ23" s="17">
        <f t="shared" si="43"/>
        <v>8.6381298389340937E-3</v>
      </c>
      <c r="AR23" s="17">
        <f t="shared" si="44"/>
        <v>8.4796544999332455E-3</v>
      </c>
      <c r="AS23" s="314">
        <f t="shared" si="45"/>
        <v>0.16200357175061578</v>
      </c>
      <c r="AT23" s="448">
        <f t="shared" si="3"/>
        <v>4.2176544739507731E-3</v>
      </c>
      <c r="AU23" s="18">
        <f t="shared" si="50"/>
        <v>5.773003809822529E-3</v>
      </c>
      <c r="AV23" s="18">
        <f t="shared" si="20"/>
        <v>5.6916812247902755E-3</v>
      </c>
      <c r="AW23" s="385">
        <f t="shared" si="46"/>
        <v>0.10873941711766712</v>
      </c>
      <c r="AX23" s="6">
        <f t="shared" si="4"/>
        <v>1325601763.5</v>
      </c>
      <c r="AY23" s="319">
        <v>0</v>
      </c>
      <c r="AZ23" s="140">
        <f t="shared" si="5"/>
        <v>1244180139.3999999</v>
      </c>
      <c r="BA23" s="481">
        <v>0</v>
      </c>
      <c r="BB23" s="135">
        <f t="shared" si="98"/>
        <v>1278609407.8751118</v>
      </c>
      <c r="BC23" s="21">
        <f t="shared" si="99"/>
        <v>60862.656924831077</v>
      </c>
      <c r="BD23" s="319">
        <f t="shared" si="100"/>
        <v>21008.110267914672</v>
      </c>
      <c r="BE23" s="21">
        <f t="shared" si="6"/>
        <v>21216.7</v>
      </c>
      <c r="BF23" s="21">
        <f t="shared" si="7"/>
        <v>1325067781.8</v>
      </c>
      <c r="BG23" s="21">
        <f t="shared" si="59"/>
        <v>1298897497.9184737</v>
      </c>
      <c r="BH23" s="21">
        <f t="shared" si="55"/>
        <v>61519.034289510695</v>
      </c>
      <c r="BI23" s="332">
        <f t="shared" si="56"/>
        <v>21113.749799871977</v>
      </c>
      <c r="BJ23" s="141">
        <f t="shared" si="101"/>
        <v>1069926499.5889702</v>
      </c>
      <c r="BK23" s="118">
        <f t="shared" si="102"/>
        <v>117848.54783968591</v>
      </c>
      <c r="BL23" s="329">
        <f t="shared" si="107"/>
        <v>9078.8263343255949</v>
      </c>
      <c r="BM23" s="118">
        <f t="shared" si="8"/>
        <v>9106.2666666666646</v>
      </c>
      <c r="BN23" s="118">
        <f t="shared" si="9"/>
        <v>1245700854.9333332</v>
      </c>
      <c r="BO23" s="118">
        <f t="shared" si="60"/>
        <v>1178814347.7102113</v>
      </c>
      <c r="BP23" s="118">
        <f t="shared" si="57"/>
        <v>129578.66110153198</v>
      </c>
      <c r="BQ23" s="325">
        <f t="shared" si="61"/>
        <v>9097.2876065338078</v>
      </c>
      <c r="BR23" s="6">
        <f t="shared" si="10"/>
        <v>1320902100</v>
      </c>
      <c r="BS23" s="8">
        <f t="shared" si="11"/>
        <v>1328084310</v>
      </c>
      <c r="BT23" s="331">
        <f t="shared" si="86"/>
        <v>21097.133527748527</v>
      </c>
      <c r="BU23" s="319">
        <f t="shared" si="51"/>
        <v>20952.737322444875</v>
      </c>
      <c r="BV23" s="319">
        <f t="shared" si="52"/>
        <v>21134.019893649849</v>
      </c>
      <c r="BW23" s="331">
        <v>0</v>
      </c>
      <c r="BX23" s="319">
        <f t="shared" si="87"/>
        <v>20985.28572552741</v>
      </c>
      <c r="BY23" s="332">
        <f t="shared" si="88"/>
        <v>21189.030174022169</v>
      </c>
      <c r="BZ23" s="140">
        <f t="shared" si="12"/>
        <v>1242846378.3999999</v>
      </c>
      <c r="CA23" s="142">
        <f t="shared" si="13"/>
        <v>1248099344.8</v>
      </c>
      <c r="CB23" s="339">
        <f t="shared" si="89"/>
        <v>9103.4116754959105</v>
      </c>
      <c r="CC23" s="329">
        <f t="shared" si="53"/>
        <v>9061.4098853073392</v>
      </c>
      <c r="CD23" s="329">
        <f t="shared" si="54"/>
        <v>9124.7358855566727</v>
      </c>
      <c r="CE23" s="339">
        <v>0</v>
      </c>
      <c r="CF23" s="329">
        <f t="shared" si="90"/>
        <v>9066.2437857964869</v>
      </c>
      <c r="CG23" s="325">
        <f t="shared" si="91"/>
        <v>9126.1608548968925</v>
      </c>
      <c r="CH23" s="20">
        <f t="shared" si="92"/>
        <v>1275271277.1382425</v>
      </c>
      <c r="CI23" s="21">
        <f t="shared" si="93"/>
        <v>60637.154161787104</v>
      </c>
      <c r="CJ23" s="21">
        <f t="shared" si="94"/>
        <v>21031.186155861928</v>
      </c>
      <c r="CK23" s="21">
        <v>0</v>
      </c>
      <c r="CL23" s="21">
        <v>0</v>
      </c>
      <c r="CM23" s="21">
        <v>0</v>
      </c>
      <c r="CN23" s="342">
        <v>0</v>
      </c>
      <c r="CO23" s="342">
        <v>0</v>
      </c>
      <c r="CP23" s="343">
        <v>0</v>
      </c>
      <c r="CQ23" s="141">
        <f t="shared" si="95"/>
        <v>1077205180.9017742</v>
      </c>
      <c r="CR23" s="118">
        <f t="shared" si="96"/>
        <v>118657.78322729217</v>
      </c>
      <c r="CS23" s="118">
        <f t="shared" si="104"/>
        <v>9078.2513511006582</v>
      </c>
      <c r="CT23" s="118"/>
      <c r="CU23" s="118"/>
      <c r="CV23" s="118">
        <v>0</v>
      </c>
      <c r="CW23" s="350">
        <v>0</v>
      </c>
      <c r="CX23" s="350">
        <v>0</v>
      </c>
      <c r="CY23" s="351">
        <v>0</v>
      </c>
      <c r="CZ23" s="20">
        <f t="shared" si="21"/>
        <v>126.96666666666715</v>
      </c>
      <c r="DA23" s="21">
        <f t="shared" si="22"/>
        <v>1325067781.8</v>
      </c>
      <c r="DB23" s="21">
        <f t="shared" si="23"/>
        <v>0</v>
      </c>
      <c r="DC23" s="21">
        <f t="shared" ref="DC23:DC39" si="114">((DA23-DC22)*(2/(1+14)))+DC22</f>
        <v>792095242.69097245</v>
      </c>
      <c r="DD23" s="21">
        <f t="shared" ref="DD23:DD39" si="115">((DB23-DD22)*(2/(1+14)))+DD22</f>
        <v>519721284.96186244</v>
      </c>
      <c r="DE23" s="21">
        <f t="shared" ref="DE23:DE39" si="116">IF(DD23=0,100000,(DC23/DD23))</f>
        <v>1.5240769728126433</v>
      </c>
      <c r="DF23" s="342">
        <f t="shared" ref="DF23:DF39" si="117">100-(100/(1+DE23))</f>
        <v>60.381556871236199</v>
      </c>
      <c r="DG23" s="342">
        <v>0</v>
      </c>
      <c r="DH23" s="355">
        <v>0</v>
      </c>
      <c r="DI23" s="141">
        <f t="shared" si="24"/>
        <v>34.849999999998545</v>
      </c>
      <c r="DJ23" s="118">
        <f t="shared" si="25"/>
        <v>1245700854.9333332</v>
      </c>
      <c r="DK23" s="118">
        <f t="shared" si="26"/>
        <v>0</v>
      </c>
      <c r="DL23" s="118">
        <f t="shared" ref="DL23:DL39" si="118">((DJ23-DL22)*(2/(1+14)))+DL22</f>
        <v>627973957.82322502</v>
      </c>
      <c r="DM23" s="118">
        <f t="shared" ref="DM23:DM39" si="119">((DK23-DM22)*(2/(1+14)))+DM22</f>
        <v>450036239.34643078</v>
      </c>
      <c r="DN23" s="118">
        <f t="shared" ref="DN23:DN39" si="120">IF(DM23=0,100000,(DL23/DM23))</f>
        <v>1.3953853110478522</v>
      </c>
      <c r="DO23" s="350">
        <f t="shared" ref="DO23:DO39" si="121">100-(100/(1+DN23))</f>
        <v>58.253062862669317</v>
      </c>
      <c r="DP23" s="350">
        <v>0</v>
      </c>
      <c r="DQ23" s="351">
        <v>0</v>
      </c>
      <c r="DR23" s="135">
        <f t="shared" si="27"/>
        <v>163.04999999999927</v>
      </c>
      <c r="DS23" s="20">
        <f t="shared" si="28"/>
        <v>10183124.699999955</v>
      </c>
      <c r="DT23" s="21">
        <v>0</v>
      </c>
      <c r="DU23" s="21">
        <v>0</v>
      </c>
      <c r="DV23" s="319">
        <v>0</v>
      </c>
      <c r="DW23" s="21">
        <v>0</v>
      </c>
      <c r="DX23" s="21">
        <v>0</v>
      </c>
      <c r="DY23" s="319">
        <v>0</v>
      </c>
      <c r="DZ23" s="362">
        <v>0</v>
      </c>
      <c r="EA23" s="141">
        <f t="shared" si="29"/>
        <v>55.849999999998545</v>
      </c>
      <c r="EB23" s="143">
        <f t="shared" si="30"/>
        <v>7640056.5999998013</v>
      </c>
      <c r="EC23" s="118">
        <v>0</v>
      </c>
      <c r="ED23" s="118">
        <v>0</v>
      </c>
      <c r="EE23" s="329">
        <v>0</v>
      </c>
      <c r="EF23" s="118">
        <v>0</v>
      </c>
      <c r="EG23" s="118">
        <v>0</v>
      </c>
      <c r="EH23" s="329">
        <v>0</v>
      </c>
      <c r="EI23" s="374">
        <v>0</v>
      </c>
      <c r="EJ23" s="135">
        <f t="shared" si="31"/>
        <v>163.04999999999927</v>
      </c>
      <c r="EK23" s="21">
        <f t="shared" si="32"/>
        <v>10183124.699999955</v>
      </c>
      <c r="EL23" s="21">
        <f t="shared" si="78"/>
        <v>12881022.458335157</v>
      </c>
      <c r="EM23" s="21">
        <f t="shared" si="74"/>
        <v>60788.740509475159</v>
      </c>
      <c r="EN23" s="319">
        <f t="shared" si="75"/>
        <v>211.89816321868668</v>
      </c>
      <c r="EO23" s="21">
        <f t="shared" si="64"/>
        <v>4237.9632643737332</v>
      </c>
      <c r="EP23" s="21">
        <f>EO23*'Base Data'!$D$13</f>
        <v>3178.4724482802999</v>
      </c>
      <c r="EQ23" s="363">
        <f>IF(INT(('Base Data'!$D$7)/EP23)=0,0,INT(('Base Data'!$D$7)/EP23))</f>
        <v>3</v>
      </c>
      <c r="ER23" s="314">
        <f t="shared" si="65"/>
        <v>9.9786750812893132E-3</v>
      </c>
      <c r="ES23" s="143">
        <f t="shared" si="33"/>
        <v>55.849999999998545</v>
      </c>
      <c r="ET23" s="118">
        <f t="shared" si="34"/>
        <v>7640056.5999998013</v>
      </c>
      <c r="EU23" s="118">
        <f t="shared" si="79"/>
        <v>8753953.7825308517</v>
      </c>
      <c r="EV23" s="118">
        <f t="shared" si="76"/>
        <v>123410.18565245443</v>
      </c>
      <c r="EW23" s="329">
        <f t="shared" si="77"/>
        <v>70.933802880611339</v>
      </c>
      <c r="EX23" s="118">
        <f t="shared" si="66"/>
        <v>5320.0352160458506</v>
      </c>
      <c r="EY23" s="118">
        <f>EX23*'Base Data'!$D$13</f>
        <v>3990.0264120343882</v>
      </c>
      <c r="EZ23" s="375">
        <f>IF(INT(('Base Data'!$D$7)/EY23)=0,0,INT(('Base Data'!$D$7)/EY23))</f>
        <v>2</v>
      </c>
      <c r="FA23" s="385">
        <f t="shared" si="67"/>
        <v>7.7867088434850421E-3</v>
      </c>
      <c r="FB23" s="396">
        <v>0</v>
      </c>
      <c r="FC23" s="403">
        <f t="shared" si="68"/>
        <v>0.52940131694719772</v>
      </c>
      <c r="FD23" s="508">
        <v>0</v>
      </c>
      <c r="FE23" s="509">
        <f t="shared" si="69"/>
        <v>-0.24209778651752473</v>
      </c>
      <c r="FF23" s="20">
        <f t="shared" si="14"/>
        <v>115</v>
      </c>
      <c r="FG23" s="17">
        <f t="shared" si="15"/>
        <v>5.4180751699037704E-3</v>
      </c>
      <c r="FH23" s="388">
        <f t="shared" si="70"/>
        <v>9.7631215115513269E-3</v>
      </c>
      <c r="FI23" s="388">
        <f t="shared" si="105"/>
        <v>9.4386379463200568E-3</v>
      </c>
      <c r="FJ23" s="314" t="s">
        <v>20</v>
      </c>
      <c r="FK23" s="442">
        <f t="shared" si="16"/>
        <v>38.399999999999636</v>
      </c>
      <c r="FL23" s="18">
        <f t="shared" si="17"/>
        <v>4.2220304228077201E-3</v>
      </c>
      <c r="FM23" s="394">
        <f t="shared" si="71"/>
        <v>5.9674961067847972E-3</v>
      </c>
      <c r="FN23" s="394">
        <f t="shared" si="106"/>
        <v>6.1369926659398354E-3</v>
      </c>
      <c r="FO23" s="385" t="s">
        <v>20</v>
      </c>
      <c r="FP23" s="416">
        <f t="shared" si="47"/>
        <v>1</v>
      </c>
      <c r="FQ23" s="417">
        <f t="shared" si="48"/>
        <v>1</v>
      </c>
      <c r="FR23" s="415">
        <v>0</v>
      </c>
      <c r="FS23" s="413" t="s">
        <v>20</v>
      </c>
      <c r="FT23" s="404">
        <v>0</v>
      </c>
      <c r="FU23" s="414" t="s">
        <v>20</v>
      </c>
      <c r="FV23" s="415">
        <f t="shared" si="62"/>
        <v>7.0093457943755239E-2</v>
      </c>
      <c r="FW23" s="413" t="str">
        <f t="shared" si="72"/>
        <v>C-D</v>
      </c>
      <c r="FX23" s="404">
        <f t="shared" si="63"/>
        <v>34.994369369369096</v>
      </c>
      <c r="FY23" s="414" t="str">
        <f t="shared" si="73"/>
        <v>T-D</v>
      </c>
    </row>
    <row r="24" spans="1:181" x14ac:dyDescent="0.3">
      <c r="A24" s="100">
        <f>90-A16</f>
        <v>7.5</v>
      </c>
      <c r="B24" s="35">
        <f t="shared" si="85"/>
        <v>4.1666666666666664E-2</v>
      </c>
      <c r="C24" s="36">
        <f t="shared" ca="1" si="80"/>
        <v>284.31138943272725</v>
      </c>
      <c r="D24" s="37" t="s">
        <v>37</v>
      </c>
      <c r="E24" s="270">
        <f t="shared" ca="1" si="81"/>
        <v>25766.896307893028</v>
      </c>
      <c r="F24" s="265">
        <f t="shared" ca="1" si="82"/>
        <v>25743.320496753706</v>
      </c>
      <c r="G24" s="37" t="s">
        <v>36</v>
      </c>
      <c r="H24" s="36">
        <f t="shared" ca="1" si="83"/>
        <v>281.50807791100885</v>
      </c>
      <c r="I24" s="35">
        <f t="shared" si="84"/>
        <v>4.1666666666666664E-2</v>
      </c>
      <c r="J24" s="101">
        <f>90-J16</f>
        <v>7.5</v>
      </c>
      <c r="L24" s="283">
        <f t="shared" si="35"/>
        <v>21</v>
      </c>
      <c r="M24" s="290">
        <f>'[4]BANKNIFTY-I'!C40</f>
        <v>42823</v>
      </c>
      <c r="N24" s="7">
        <f>'[4]BANKNIFTY-I'!D40</f>
        <v>21277.85</v>
      </c>
      <c r="O24" s="7">
        <f>'[4]BANKNIFTY-I'!E40</f>
        <v>21422.6</v>
      </c>
      <c r="P24" s="7">
        <f>'[4]BANKNIFTY-I'!F40</f>
        <v>21256.65</v>
      </c>
      <c r="Q24" s="7">
        <f>'[4]BANKNIFTY-I'!G40</f>
        <v>21403.3</v>
      </c>
      <c r="R24" s="11">
        <f>'[4]BANKNIFTY-I'!H40</f>
        <v>63945</v>
      </c>
      <c r="S24" s="291">
        <f>'[5]NIFTY-I'!C40</f>
        <v>42823</v>
      </c>
      <c r="T24" s="9">
        <f>'[5]NIFTY-I'!D40</f>
        <v>9140.5499999999993</v>
      </c>
      <c r="U24" s="9">
        <f>'[5]NIFTY-I'!E40</f>
        <v>9151.4</v>
      </c>
      <c r="V24" s="9">
        <f>'[5]NIFTY-I'!F40</f>
        <v>9118.7999999999993</v>
      </c>
      <c r="W24" s="9">
        <f>'[5]NIFTY-I'!G40</f>
        <v>9142.85</v>
      </c>
      <c r="X24" s="12">
        <f>'[5]NIFTY-I'!H40</f>
        <v>141173</v>
      </c>
      <c r="Y24" s="115"/>
      <c r="Z24" s="122">
        <f t="shared" si="36"/>
        <v>7.8896427861749226E-3</v>
      </c>
      <c r="AA24" s="19">
        <f t="shared" si="18"/>
        <v>3.6433505397952424E-3</v>
      </c>
      <c r="AB24" s="305">
        <v>0</v>
      </c>
      <c r="AC24" s="306">
        <v>0</v>
      </c>
      <c r="AD24" s="122">
        <f t="shared" si="0"/>
        <v>9.5809756523187097E-3</v>
      </c>
      <c r="AE24" s="364" t="s">
        <v>20</v>
      </c>
      <c r="AF24" s="513">
        <f t="shared" si="1"/>
        <v>3.1777605529996924E-3</v>
      </c>
      <c r="AG24" s="522" t="s">
        <v>20</v>
      </c>
      <c r="AH24" s="466">
        <f t="shared" si="37"/>
        <v>7.8896427861749226E-3</v>
      </c>
      <c r="AI24" s="17">
        <f t="shared" si="38"/>
        <v>5.5684513251554263E-3</v>
      </c>
      <c r="AJ24" s="17">
        <f t="shared" si="39"/>
        <v>5.734281031532569E-3</v>
      </c>
      <c r="AK24" s="314">
        <f t="shared" si="40"/>
        <v>0.10955328528271935</v>
      </c>
      <c r="AL24" s="467">
        <f t="shared" si="41"/>
        <v>3.6433505397952424E-3</v>
      </c>
      <c r="AM24" s="18">
        <f t="shared" si="49"/>
        <v>4.8457560662969129E-3</v>
      </c>
      <c r="AN24" s="18">
        <f t="shared" si="19"/>
        <v>4.7821450137108664E-3</v>
      </c>
      <c r="AO24" s="385">
        <f t="shared" si="42"/>
        <v>9.1362752203719713E-2</v>
      </c>
      <c r="AP24" s="10">
        <f t="shared" si="2"/>
        <v>7.7766519484855235E-3</v>
      </c>
      <c r="AQ24" s="17">
        <f t="shared" si="43"/>
        <v>8.4796544999332455E-3</v>
      </c>
      <c r="AR24" s="17">
        <f t="shared" si="44"/>
        <v>8.439125958511158E-3</v>
      </c>
      <c r="AS24" s="314">
        <f t="shared" si="45"/>
        <v>0.16122927505394347</v>
      </c>
      <c r="AT24" s="448">
        <f t="shared" si="3"/>
        <v>3.5686565661660879E-3</v>
      </c>
      <c r="AU24" s="18">
        <f t="shared" si="50"/>
        <v>5.6916812247902755E-3</v>
      </c>
      <c r="AV24" s="18">
        <f t="shared" si="20"/>
        <v>5.5870958141047431E-3</v>
      </c>
      <c r="AW24" s="385">
        <f t="shared" si="46"/>
        <v>0.10674131565207148</v>
      </c>
      <c r="AX24" s="6">
        <f t="shared" si="4"/>
        <v>1360612118.25</v>
      </c>
      <c r="AY24" s="319">
        <v>0</v>
      </c>
      <c r="AZ24" s="140">
        <f t="shared" si="5"/>
        <v>1290398865.1499999</v>
      </c>
      <c r="BA24" s="481">
        <v>0</v>
      </c>
      <c r="BB24" s="135">
        <f t="shared" si="98"/>
        <v>1290324080.7858102</v>
      </c>
      <c r="BC24" s="21">
        <f t="shared" si="99"/>
        <v>61302.991649855212</v>
      </c>
      <c r="BD24" s="319">
        <f t="shared" si="100"/>
        <v>21048.305246761276</v>
      </c>
      <c r="BE24" s="21">
        <f t="shared" si="6"/>
        <v>21360.850000000002</v>
      </c>
      <c r="BF24" s="21">
        <f t="shared" si="7"/>
        <v>1365919553.2500002</v>
      </c>
      <c r="BG24" s="21">
        <f t="shared" si="59"/>
        <v>1321238183.0289826</v>
      </c>
      <c r="BH24" s="21">
        <f t="shared" si="55"/>
        <v>62327.689526340466</v>
      </c>
      <c r="BI24" s="332">
        <f t="shared" si="56"/>
        <v>21198.253826986653</v>
      </c>
      <c r="BJ24" s="141">
        <f t="shared" si="101"/>
        <v>1101422551.8119745</v>
      </c>
      <c r="BK24" s="118">
        <f t="shared" si="102"/>
        <v>121180.6124340165</v>
      </c>
      <c r="BL24" s="329">
        <f t="shared" si="107"/>
        <v>9089.0987402106512</v>
      </c>
      <c r="BM24" s="118">
        <f t="shared" si="8"/>
        <v>9137.6833333333325</v>
      </c>
      <c r="BN24" s="118">
        <f t="shared" si="9"/>
        <v>1289994169.2166665</v>
      </c>
      <c r="BO24" s="118">
        <f t="shared" si="60"/>
        <v>1215874288.212363</v>
      </c>
      <c r="BP24" s="118">
        <f t="shared" si="57"/>
        <v>133443.44073435466</v>
      </c>
      <c r="BQ24" s="325">
        <f t="shared" si="61"/>
        <v>9111.5328076169681</v>
      </c>
      <c r="BR24" s="6">
        <f t="shared" si="10"/>
        <v>1359256484.25</v>
      </c>
      <c r="BS24" s="8">
        <f t="shared" si="11"/>
        <v>1369868157</v>
      </c>
      <c r="BT24" s="331">
        <f t="shared" si="86"/>
        <v>21145.696794879201</v>
      </c>
      <c r="BU24" s="319">
        <f t="shared" si="51"/>
        <v>21039.430797274967</v>
      </c>
      <c r="BV24" s="319">
        <f t="shared" si="52"/>
        <v>21215.852402322875</v>
      </c>
      <c r="BW24" s="331">
        <v>0</v>
      </c>
      <c r="BX24" s="319">
        <f t="shared" si="87"/>
        <v>21034.756523121021</v>
      </c>
      <c r="BY24" s="332">
        <f t="shared" si="88"/>
        <v>21234.463193922747</v>
      </c>
      <c r="BZ24" s="140">
        <f t="shared" si="12"/>
        <v>1287328352.3999999</v>
      </c>
      <c r="CA24" s="142">
        <f t="shared" si="13"/>
        <v>1291930592.2</v>
      </c>
      <c r="CB24" s="339">
        <f t="shared" si="89"/>
        <v>9117.655610884427</v>
      </c>
      <c r="CC24" s="329">
        <f t="shared" si="53"/>
        <v>9077.6964953832612</v>
      </c>
      <c r="CD24" s="329">
        <f t="shared" si="54"/>
        <v>9129.4428713681045</v>
      </c>
      <c r="CE24" s="339">
        <v>0</v>
      </c>
      <c r="CF24" s="329">
        <f t="shared" si="90"/>
        <v>9080.2821195582219</v>
      </c>
      <c r="CG24" s="325">
        <f t="shared" si="91"/>
        <v>9137.3902676805028</v>
      </c>
      <c r="CH24" s="20">
        <f t="shared" si="92"/>
        <v>1289217165.7708206</v>
      </c>
      <c r="CI24" s="21">
        <f t="shared" si="93"/>
        <v>61146.053521512164</v>
      </c>
      <c r="CJ24" s="21">
        <f t="shared" si="94"/>
        <v>21084.225252857133</v>
      </c>
      <c r="CK24" s="21">
        <v>0</v>
      </c>
      <c r="CL24" s="21">
        <v>0</v>
      </c>
      <c r="CM24" s="21">
        <v>0</v>
      </c>
      <c r="CN24" s="342">
        <v>0</v>
      </c>
      <c r="CO24" s="342">
        <v>0</v>
      </c>
      <c r="CP24" s="343">
        <v>0</v>
      </c>
      <c r="CQ24" s="141">
        <f t="shared" si="95"/>
        <v>1109941948.3348346</v>
      </c>
      <c r="CR24" s="118">
        <f t="shared" si="96"/>
        <v>122121.66273078568</v>
      </c>
      <c r="CS24" s="118">
        <f t="shared" si="104"/>
        <v>9088.8211273512989</v>
      </c>
      <c r="CT24" s="118"/>
      <c r="CU24" s="118"/>
      <c r="CV24" s="118">
        <v>0</v>
      </c>
      <c r="CW24" s="350">
        <v>0</v>
      </c>
      <c r="CX24" s="350">
        <v>0</v>
      </c>
      <c r="CY24" s="351">
        <v>0</v>
      </c>
      <c r="CZ24" s="20">
        <f t="shared" si="21"/>
        <v>144.15000000000146</v>
      </c>
      <c r="DA24" s="21">
        <f t="shared" si="22"/>
        <v>1365919553.2500002</v>
      </c>
      <c r="DB24" s="21">
        <f t="shared" si="23"/>
        <v>0</v>
      </c>
      <c r="DC24" s="21">
        <f t="shared" si="114"/>
        <v>868605150.76550949</v>
      </c>
      <c r="DD24" s="21">
        <f t="shared" si="115"/>
        <v>450425113.63361412</v>
      </c>
      <c r="DE24" s="21">
        <f t="shared" si="116"/>
        <v>1.9284119034980194</v>
      </c>
      <c r="DF24" s="342">
        <f t="shared" si="117"/>
        <v>65.851798416558495</v>
      </c>
      <c r="DG24" s="342">
        <v>0</v>
      </c>
      <c r="DH24" s="355">
        <v>0</v>
      </c>
      <c r="DI24" s="141">
        <f t="shared" si="24"/>
        <v>31.416666666667879</v>
      </c>
      <c r="DJ24" s="118">
        <f t="shared" si="25"/>
        <v>1289994169.2166665</v>
      </c>
      <c r="DK24" s="118">
        <f t="shared" si="26"/>
        <v>0</v>
      </c>
      <c r="DL24" s="118">
        <f t="shared" si="118"/>
        <v>716243319.34235048</v>
      </c>
      <c r="DM24" s="118">
        <f t="shared" si="119"/>
        <v>390031407.43357337</v>
      </c>
      <c r="DN24" s="118">
        <f t="shared" si="120"/>
        <v>1.8363734450393834</v>
      </c>
      <c r="DO24" s="350">
        <f t="shared" si="121"/>
        <v>64.743711666426378</v>
      </c>
      <c r="DP24" s="350">
        <v>0</v>
      </c>
      <c r="DQ24" s="351">
        <v>0</v>
      </c>
      <c r="DR24" s="135">
        <f t="shared" si="27"/>
        <v>187.5</v>
      </c>
      <c r="DS24" s="20">
        <f t="shared" si="28"/>
        <v>11989687.5</v>
      </c>
      <c r="DT24" s="21">
        <v>0</v>
      </c>
      <c r="DU24" s="21">
        <v>0</v>
      </c>
      <c r="DV24" s="319">
        <v>0</v>
      </c>
      <c r="DW24" s="21">
        <v>0</v>
      </c>
      <c r="DX24" s="21">
        <v>0</v>
      </c>
      <c r="DY24" s="319">
        <v>0</v>
      </c>
      <c r="DZ24" s="362">
        <v>0</v>
      </c>
      <c r="EA24" s="141">
        <f t="shared" si="29"/>
        <v>41.799999999999272</v>
      </c>
      <c r="EB24" s="143">
        <f t="shared" si="30"/>
        <v>5901031.399999897</v>
      </c>
      <c r="EC24" s="118">
        <v>0</v>
      </c>
      <c r="ED24" s="118">
        <v>0</v>
      </c>
      <c r="EE24" s="329">
        <v>0</v>
      </c>
      <c r="EF24" s="118">
        <v>0</v>
      </c>
      <c r="EG24" s="118">
        <v>0</v>
      </c>
      <c r="EH24" s="329">
        <v>0</v>
      </c>
      <c r="EI24" s="374">
        <v>0</v>
      </c>
      <c r="EJ24" s="135">
        <f t="shared" si="31"/>
        <v>187.5</v>
      </c>
      <c r="EK24" s="21">
        <f t="shared" si="32"/>
        <v>11989687.5</v>
      </c>
      <c r="EL24" s="21">
        <f t="shared" si="78"/>
        <v>12682948.023149567</v>
      </c>
      <c r="EM24" s="21">
        <f t="shared" si="74"/>
        <v>61490.131507369566</v>
      </c>
      <c r="EN24" s="319">
        <f t="shared" si="75"/>
        <v>206.25989426660311</v>
      </c>
      <c r="EO24" s="21">
        <f t="shared" si="64"/>
        <v>4125.1978853320625</v>
      </c>
      <c r="EP24" s="21">
        <f>EO24*'Base Data'!$D$13</f>
        <v>3093.8984139990471</v>
      </c>
      <c r="EQ24" s="363">
        <f>IF(INT(('Base Data'!$D$7)/EP24)=0,0,INT(('Base Data'!$D$7)/EP24))</f>
        <v>3</v>
      </c>
      <c r="ER24" s="314">
        <f t="shared" si="65"/>
        <v>9.6368267634711988E-3</v>
      </c>
      <c r="ES24" s="143">
        <f t="shared" si="33"/>
        <v>41.799999999999272</v>
      </c>
      <c r="ET24" s="118">
        <f t="shared" si="34"/>
        <v>5901031.399999897</v>
      </c>
      <c r="EU24" s="118">
        <f t="shared" si="79"/>
        <v>8119971.030857306</v>
      </c>
      <c r="EV24" s="118">
        <f t="shared" si="76"/>
        <v>127357.47772968678</v>
      </c>
      <c r="EW24" s="329">
        <f t="shared" si="77"/>
        <v>63.757316614669072</v>
      </c>
      <c r="EX24" s="118">
        <f t="shared" si="66"/>
        <v>4781.7987461001803</v>
      </c>
      <c r="EY24" s="118">
        <f>EX24*'Base Data'!$D$13</f>
        <v>3586.3490595751355</v>
      </c>
      <c r="EZ24" s="375">
        <f>IF(INT(('Base Data'!$D$7)/EY24)=0,0,INT(('Base Data'!$D$7)/EY24))</f>
        <v>2</v>
      </c>
      <c r="FA24" s="385">
        <f t="shared" si="67"/>
        <v>6.9734619527465798E-3</v>
      </c>
      <c r="FB24" s="396">
        <v>0</v>
      </c>
      <c r="FC24" s="403">
        <f t="shared" si="68"/>
        <v>1.4114373407482208</v>
      </c>
      <c r="FD24" s="508">
        <v>0</v>
      </c>
      <c r="FE24" s="509">
        <f t="shared" si="69"/>
        <v>0.3767868213754102</v>
      </c>
      <c r="FF24" s="20">
        <f t="shared" si="14"/>
        <v>165.94999999999709</v>
      </c>
      <c r="FG24" s="17">
        <f t="shared" si="15"/>
        <v>7.7991902377353489E-3</v>
      </c>
      <c r="FH24" s="388">
        <f t="shared" si="70"/>
        <v>7.9267672064145932E-3</v>
      </c>
      <c r="FI24" s="388">
        <f t="shared" si="105"/>
        <v>9.2377275688329558E-3</v>
      </c>
      <c r="FJ24" s="314">
        <f>AVERAGE(FG4:FG24)</f>
        <v>9.1726180806273646E-3</v>
      </c>
      <c r="FK24" s="442">
        <f t="shared" si="16"/>
        <v>32.600000000000364</v>
      </c>
      <c r="FL24" s="18">
        <f t="shared" si="17"/>
        <v>3.5665249902905585E-3</v>
      </c>
      <c r="FM24" s="394">
        <f t="shared" si="71"/>
        <v>5.7681530663141137E-3</v>
      </c>
      <c r="FN24" s="394">
        <f t="shared" si="106"/>
        <v>5.8496979693335111E-3</v>
      </c>
      <c r="FO24" s="385">
        <f>AVERAGE(FL4:FL24)</f>
        <v>6.4410447237198782E-3</v>
      </c>
      <c r="FP24" s="416">
        <f t="shared" si="47"/>
        <v>2</v>
      </c>
      <c r="FQ24" s="417">
        <f t="shared" si="48"/>
        <v>2</v>
      </c>
      <c r="FR24" s="415">
        <f t="shared" ref="FR24:FR67" si="122">ABS(Q24-Q4)/(MAX(O4:O24)-MIN(P4:P24))*100</f>
        <v>60.972210490750712</v>
      </c>
      <c r="FS24" s="413" t="str">
        <f>IF(AND(FR24&lt;30,FR24&gt;FR23),"C-R",IF(AND(FR24&lt;30,FR24=FR23),"C-F",IF(AND(FR24&lt;30,FR24&lt;FR23),"C-D",IF(AND(FR24&gt;=30,FR24&gt;FR23),"T-R",IF(AND(FR24&gt;=30,FR24=FR23),"T-F",IF(AND(FR24&gt;=30,FR24&lt;FR23),"T-D","Check"))))))</f>
        <v>T-R</v>
      </c>
      <c r="FT24" s="404">
        <f t="shared" ref="FT24:FT67" si="123">ABS(W24-W4)/(MAX(U4:U24)-MIN(V4:V24))*100</f>
        <v>68.646185506394303</v>
      </c>
      <c r="FU24" s="414" t="str">
        <f>IF(AND(FT24&lt;30,FT24&gt;FT23),"C-R",IF(AND(FT24&lt;30,FT24=FT23),"C-F",IF(AND(FT24&lt;30,FT24&lt;FT23),"C-D",IF(AND(FT24&gt;=30,FT24&gt;FT23),"T-R",IF(AND(FT24&gt;=30,FT24=FT23),"T-F",IF(AND(FT24&gt;=30,FT24&lt;FT23),"T-D","Check"))))))</f>
        <v>T-R</v>
      </c>
      <c r="FV24" s="415">
        <f t="shared" si="62"/>
        <v>36.785535744042747</v>
      </c>
      <c r="FW24" s="413" t="str">
        <f t="shared" si="72"/>
        <v>T-R</v>
      </c>
      <c r="FX24" s="404">
        <f t="shared" si="63"/>
        <v>7.8330893118586236</v>
      </c>
      <c r="FY24" s="414" t="str">
        <f t="shared" si="73"/>
        <v>C-D</v>
      </c>
    </row>
    <row r="25" spans="1:181" ht="11.15" thickBot="1" x14ac:dyDescent="0.35">
      <c r="A25" s="102">
        <f>90-A15</f>
        <v>3.75</v>
      </c>
      <c r="B25" s="103">
        <f t="shared" si="85"/>
        <v>2.0833333333333332E-2</v>
      </c>
      <c r="C25" s="104">
        <f t="shared" ca="1" si="80"/>
        <v>283.60925946896424</v>
      </c>
      <c r="D25" s="105" t="s">
        <v>35</v>
      </c>
      <c r="E25" s="273">
        <f t="shared" ca="1" si="81"/>
        <v>25760.958526238937</v>
      </c>
      <c r="F25" s="268">
        <f t="shared" ca="1" si="82"/>
        <v>25749.170674922749</v>
      </c>
      <c r="G25" s="105" t="s">
        <v>34</v>
      </c>
      <c r="H25" s="104">
        <f t="shared" ca="1" si="83"/>
        <v>282.20760370810518</v>
      </c>
      <c r="I25" s="103">
        <f t="shared" si="84"/>
        <v>2.0833333333333332E-2</v>
      </c>
      <c r="J25" s="106">
        <f>90-J15</f>
        <v>3.75</v>
      </c>
      <c r="L25" s="283">
        <f t="shared" si="35"/>
        <v>22</v>
      </c>
      <c r="M25" s="290">
        <f>'[4]BANKNIFTY-I'!C41</f>
        <v>42824</v>
      </c>
      <c r="N25" s="7">
        <f>'[4]BANKNIFTY-I'!D41</f>
        <v>21370.85</v>
      </c>
      <c r="O25" s="7">
        <f>'[4]BANKNIFTY-I'!E41</f>
        <v>21654</v>
      </c>
      <c r="P25" s="7">
        <f>'[4]BANKNIFTY-I'!F41</f>
        <v>21370.2</v>
      </c>
      <c r="Q25" s="7">
        <f>'[4]BANKNIFTY-I'!G41</f>
        <v>21609.35</v>
      </c>
      <c r="R25" s="11">
        <f>'[4]BANKNIFTY-I'!H41</f>
        <v>83686</v>
      </c>
      <c r="S25" s="291">
        <f>'[5]NIFTY-I'!C41</f>
        <v>42824</v>
      </c>
      <c r="T25" s="9">
        <f>'[5]NIFTY-I'!D41</f>
        <v>9150.35</v>
      </c>
      <c r="U25" s="9">
        <f>'[5]NIFTY-I'!E41</f>
        <v>9178</v>
      </c>
      <c r="V25" s="9">
        <f>'[5]NIFTY-I'!F41</f>
        <v>9140.0499999999993</v>
      </c>
      <c r="W25" s="9">
        <f>'[5]NIFTY-I'!G41</f>
        <v>9171.9500000000007</v>
      </c>
      <c r="X25" s="12">
        <f>'[5]NIFTY-I'!H41</f>
        <v>156367</v>
      </c>
      <c r="Y25" s="115"/>
      <c r="Z25" s="122">
        <f t="shared" si="36"/>
        <v>9.5809756523187097E-3</v>
      </c>
      <c r="AA25" s="19">
        <f t="shared" si="18"/>
        <v>3.1777605529996924E-3</v>
      </c>
      <c r="AB25" s="305">
        <f>IF(OR(SUM(Z5:Z25)=0,SUM('BNF-Nifty'!AA5:AA25)=0),0,(_xlfn.COVARIANCE.P(Z5:Z25,'BNF-Nifty'!AA5:AA25)/_xlfn.VAR.P('BNF-Nifty'!AA5:AA25)))</f>
        <v>1.0570674351092839</v>
      </c>
      <c r="AC25" s="306">
        <f>IF(OR(SUM(AA5:AA25)=0,SUM('BNF-Nifty'!AA5:AA25)=0),0,(_xlfn.COVARIANCE.P(AA5:AA25,'BNF-Nifty'!AA5:AA25)/_xlfn.VAR.P('BNF-Nifty'!AA5:AA25)))</f>
        <v>1.0000000000000002</v>
      </c>
      <c r="AD25" s="122">
        <f t="shared" si="0"/>
        <v>-5.6244710022639978E-3</v>
      </c>
      <c r="AE25" s="364">
        <f t="shared" ref="AE25:AE67" si="124">CORREL(Z5:Z25,AD5:AD25)</f>
        <v>2.2220928701757178E-2</v>
      </c>
      <c r="AF25" s="513">
        <f t="shared" si="1"/>
        <v>2.8089753196006311E-3</v>
      </c>
      <c r="AG25" s="522">
        <f t="shared" ref="AG25:AG67" si="125">CORREL(AA5:AA25,AF5:AF25)</f>
        <v>-0.16416855088560045</v>
      </c>
      <c r="AH25" s="466">
        <f t="shared" si="37"/>
        <v>9.5809756523187097E-3</v>
      </c>
      <c r="AI25" s="17">
        <f t="shared" si="38"/>
        <v>5.734281031532569E-3</v>
      </c>
      <c r="AJ25" s="17">
        <f t="shared" si="39"/>
        <v>6.0346305503069537E-3</v>
      </c>
      <c r="AK25" s="314">
        <f t="shared" si="40"/>
        <v>0.1152914547818908</v>
      </c>
      <c r="AL25" s="467">
        <f t="shared" si="41"/>
        <v>3.1777605529996924E-3</v>
      </c>
      <c r="AM25" s="18">
        <f t="shared" si="49"/>
        <v>4.7821450137108664E-3</v>
      </c>
      <c r="AN25" s="18">
        <f t="shared" si="19"/>
        <v>4.7013472541562141E-3</v>
      </c>
      <c r="AO25" s="385">
        <f t="shared" si="42"/>
        <v>8.981911317486492E-2</v>
      </c>
      <c r="AP25" s="10">
        <f t="shared" si="2"/>
        <v>1.3192766687078765E-2</v>
      </c>
      <c r="AQ25" s="17">
        <f t="shared" si="43"/>
        <v>8.439125958511158E-3</v>
      </c>
      <c r="AR25" s="17">
        <f t="shared" si="44"/>
        <v>8.7970825674527787E-3</v>
      </c>
      <c r="AS25" s="314">
        <f t="shared" si="45"/>
        <v>0.16806802646542343</v>
      </c>
      <c r="AT25" s="448">
        <f t="shared" si="3"/>
        <v>4.1434600620274351E-3</v>
      </c>
      <c r="AU25" s="18">
        <f t="shared" si="50"/>
        <v>5.5870958141047431E-3</v>
      </c>
      <c r="AV25" s="18">
        <f t="shared" si="20"/>
        <v>5.5111520515192212E-3</v>
      </c>
      <c r="AW25" s="385">
        <f t="shared" si="46"/>
        <v>0.10529041210510123</v>
      </c>
      <c r="AX25" s="6">
        <f t="shared" si="4"/>
        <v>1788440953.0999999</v>
      </c>
      <c r="AY25" s="319">
        <v>0</v>
      </c>
      <c r="AZ25" s="140">
        <f t="shared" si="5"/>
        <v>1430812778.45</v>
      </c>
      <c r="BA25" s="481">
        <v>0</v>
      </c>
      <c r="BB25" s="135">
        <f t="shared" si="98"/>
        <v>1361483633.9735515</v>
      </c>
      <c r="BC25" s="21">
        <f t="shared" si="99"/>
        <v>64500.564271304465</v>
      </c>
      <c r="BD25" s="319">
        <f t="shared" si="100"/>
        <v>21108.088733097477</v>
      </c>
      <c r="BE25" s="21">
        <f t="shared" si="6"/>
        <v>21544.516666666666</v>
      </c>
      <c r="BF25" s="21">
        <f t="shared" si="7"/>
        <v>1802974421.7666667</v>
      </c>
      <c r="BG25" s="21">
        <f t="shared" si="59"/>
        <v>1481816929.2748773</v>
      </c>
      <c r="BH25" s="21">
        <f t="shared" si="55"/>
        <v>69447.126350893639</v>
      </c>
      <c r="BI25" s="332">
        <f t="shared" si="56"/>
        <v>21337.339745171608</v>
      </c>
      <c r="BJ25" s="141">
        <f t="shared" si="101"/>
        <v>1148478298.4745495</v>
      </c>
      <c r="BK25" s="118">
        <f t="shared" si="102"/>
        <v>126207.239229157</v>
      </c>
      <c r="BL25" s="329">
        <f t="shared" si="107"/>
        <v>9099.9399518535902</v>
      </c>
      <c r="BM25" s="118">
        <f t="shared" si="8"/>
        <v>9163.3333333333339</v>
      </c>
      <c r="BN25" s="118">
        <f t="shared" si="9"/>
        <v>1432842943.3333335</v>
      </c>
      <c r="BO25" s="118">
        <f t="shared" si="60"/>
        <v>1288197173.2526865</v>
      </c>
      <c r="BP25" s="118">
        <f t="shared" si="57"/>
        <v>141084.62715623644</v>
      </c>
      <c r="BQ25" s="325">
        <f t="shared" si="61"/>
        <v>9130.6700043665496</v>
      </c>
      <c r="BR25" s="6">
        <f t="shared" si="10"/>
        <v>1788386557.2</v>
      </c>
      <c r="BS25" s="8">
        <f t="shared" si="11"/>
        <v>1812136644</v>
      </c>
      <c r="BT25" s="331">
        <f t="shared" si="86"/>
        <v>21191.168223979854</v>
      </c>
      <c r="BU25" s="319">
        <f t="shared" si="51"/>
        <v>21157.61664290429</v>
      </c>
      <c r="BV25" s="319">
        <f t="shared" si="52"/>
        <v>21361.920911184454</v>
      </c>
      <c r="BW25" s="331">
        <v>0</v>
      </c>
      <c r="BX25" s="319">
        <f t="shared" si="87"/>
        <v>21098.222665634235</v>
      </c>
      <c r="BY25" s="332">
        <f t="shared" si="88"/>
        <v>21304.201460527576</v>
      </c>
      <c r="BZ25" s="140">
        <f t="shared" si="12"/>
        <v>1429202198.3499999</v>
      </c>
      <c r="CA25" s="142">
        <f t="shared" si="13"/>
        <v>1435136326</v>
      </c>
      <c r="CB25" s="339">
        <f t="shared" si="89"/>
        <v>9131.2102177040597</v>
      </c>
      <c r="CC25" s="329">
        <f t="shared" si="53"/>
        <v>9093.9395437906132</v>
      </c>
      <c r="CD25" s="329">
        <f t="shared" si="54"/>
        <v>9141.4085963799298</v>
      </c>
      <c r="CE25" s="339">
        <v>0</v>
      </c>
      <c r="CF25" s="329">
        <f t="shared" si="90"/>
        <v>9098.0410306519134</v>
      </c>
      <c r="CG25" s="325">
        <f t="shared" si="91"/>
        <v>9151.1329726978638</v>
      </c>
      <c r="CH25" s="20">
        <f t="shared" si="92"/>
        <v>1368256743.6163354</v>
      </c>
      <c r="CI25" s="21">
        <f t="shared" si="93"/>
        <v>64613.737595125676</v>
      </c>
      <c r="CJ25" s="21">
        <f t="shared" si="94"/>
        <v>21175.941750807397</v>
      </c>
      <c r="CK25" s="21">
        <v>0</v>
      </c>
      <c r="CL25" s="21">
        <v>0</v>
      </c>
      <c r="CM25" s="21">
        <v>0</v>
      </c>
      <c r="CN25" s="342">
        <v>0</v>
      </c>
      <c r="CO25" s="342">
        <v>0</v>
      </c>
      <c r="CP25" s="343">
        <v>0</v>
      </c>
      <c r="CQ25" s="141">
        <f t="shared" si="95"/>
        <v>1159619024.4884498</v>
      </c>
      <c r="CR25" s="118">
        <f t="shared" si="96"/>
        <v>127390.17615681866</v>
      </c>
      <c r="CS25" s="118">
        <f t="shared" si="104"/>
        <v>9102.8920712139243</v>
      </c>
      <c r="CT25" s="118"/>
      <c r="CU25" s="118"/>
      <c r="CV25" s="118">
        <v>0</v>
      </c>
      <c r="CW25" s="350">
        <v>0</v>
      </c>
      <c r="CX25" s="350">
        <v>0</v>
      </c>
      <c r="CY25" s="351">
        <v>0</v>
      </c>
      <c r="CZ25" s="20">
        <f t="shared" si="21"/>
        <v>183.66666666666424</v>
      </c>
      <c r="DA25" s="21">
        <f t="shared" si="22"/>
        <v>1802974421.7666667</v>
      </c>
      <c r="DB25" s="21">
        <f t="shared" si="23"/>
        <v>0</v>
      </c>
      <c r="DC25" s="21">
        <f t="shared" si="114"/>
        <v>993187720.23233044</v>
      </c>
      <c r="DD25" s="21">
        <f t="shared" si="115"/>
        <v>390368431.81579888</v>
      </c>
      <c r="DE25" s="21">
        <f t="shared" si="116"/>
        <v>2.5442316521664354</v>
      </c>
      <c r="DF25" s="342">
        <f t="shared" si="117"/>
        <v>71.785139964292597</v>
      </c>
      <c r="DG25" s="342">
        <v>0</v>
      </c>
      <c r="DH25" s="355">
        <v>0</v>
      </c>
      <c r="DI25" s="141">
        <f t="shared" si="24"/>
        <v>25.650000000001455</v>
      </c>
      <c r="DJ25" s="118">
        <f t="shared" si="25"/>
        <v>1432842943.3333335</v>
      </c>
      <c r="DK25" s="118">
        <f t="shared" si="26"/>
        <v>0</v>
      </c>
      <c r="DL25" s="118">
        <f t="shared" si="118"/>
        <v>811789935.87448156</v>
      </c>
      <c r="DM25" s="118">
        <f t="shared" si="119"/>
        <v>338027219.77576357</v>
      </c>
      <c r="DN25" s="118">
        <f t="shared" si="120"/>
        <v>2.4015519709122746</v>
      </c>
      <c r="DO25" s="350">
        <f t="shared" si="121"/>
        <v>70.601654522661718</v>
      </c>
      <c r="DP25" s="350">
        <v>0</v>
      </c>
      <c r="DQ25" s="351">
        <v>0</v>
      </c>
      <c r="DR25" s="135">
        <f t="shared" si="27"/>
        <v>283.79999999999927</v>
      </c>
      <c r="DS25" s="20">
        <f t="shared" si="28"/>
        <v>23750086.799999937</v>
      </c>
      <c r="DT25" s="21">
        <f>AVERAGE(DS5:DS25)</f>
        <v>15376723.626190487</v>
      </c>
      <c r="DU25" s="21">
        <f>AVERAGE(R5:R25)</f>
        <v>63325.523809523809</v>
      </c>
      <c r="DV25" s="319">
        <f>DT25/DU25</f>
        <v>242.82031479821589</v>
      </c>
      <c r="DW25" s="21">
        <f>DV25*$F$4</f>
        <v>4856.4062959643179</v>
      </c>
      <c r="DX25" s="21">
        <f>DW25*'Base Data'!$D$10</f>
        <v>9712.8125919286358</v>
      </c>
      <c r="DY25" s="363">
        <f>IF(INT(('Base Data'!$D$7)/DX25)=0,0,INT(('Base Data'!$D$7)/DX25))</f>
        <v>1</v>
      </c>
      <c r="DZ25" s="364">
        <f t="shared" ref="DZ25:DZ67" si="126">(DV25/Q25)</f>
        <v>1.1236817155454278E-2</v>
      </c>
      <c r="EA25" s="141">
        <f t="shared" si="29"/>
        <v>37.950000000000728</v>
      </c>
      <c r="EB25" s="143">
        <f t="shared" si="30"/>
        <v>5934127.650000114</v>
      </c>
      <c r="EC25" s="118">
        <f>AVERAGE(EB5:EB25)</f>
        <v>8829738.8333333209</v>
      </c>
      <c r="ED25" s="118">
        <f>AVERAGE(X5:X25)</f>
        <v>116032.38095238095</v>
      </c>
      <c r="EE25" s="329">
        <f>EC25/ED25</f>
        <v>76.097195979775663</v>
      </c>
      <c r="EF25" s="118">
        <f t="shared" ref="EF25:EF67" si="127">EE25*$G$4</f>
        <v>5707.289698483175</v>
      </c>
      <c r="EG25" s="118">
        <f>EF25*'Base Data'!$D$10</f>
        <v>11414.57939696635</v>
      </c>
      <c r="EH25" s="375">
        <f>IF(INT(('Base Data'!$D$7)/EG25)=0,0,INT(('Base Data'!$D$7)/EG25))</f>
        <v>0</v>
      </c>
      <c r="EI25" s="376">
        <f t="shared" ref="EI25:EI67" si="128">(EE25/W25)</f>
        <v>8.2967303550254487E-3</v>
      </c>
      <c r="EJ25" s="135">
        <f t="shared" si="31"/>
        <v>283.79999999999927</v>
      </c>
      <c r="EK25" s="21">
        <f t="shared" si="32"/>
        <v>23750086.799999937</v>
      </c>
      <c r="EL25" s="21">
        <f t="shared" si="78"/>
        <v>15142312.195782982</v>
      </c>
      <c r="EM25" s="21">
        <f t="shared" si="74"/>
        <v>66422.546727954104</v>
      </c>
      <c r="EN25" s="319">
        <f t="shared" si="75"/>
        <v>227.96946130056017</v>
      </c>
      <c r="EO25" s="21">
        <f t="shared" si="64"/>
        <v>4559.3892260112034</v>
      </c>
      <c r="EP25" s="21">
        <f>EO25*'Base Data'!$D$13</f>
        <v>3419.5419195084023</v>
      </c>
      <c r="EQ25" s="363">
        <f>IF(INT(('Base Data'!$D$7)/EP25)=0,0,INT(('Base Data'!$D$7)/EP25))</f>
        <v>3</v>
      </c>
      <c r="ER25" s="314">
        <f t="shared" si="65"/>
        <v>1.0549575128384713E-2</v>
      </c>
      <c r="ES25" s="143">
        <f t="shared" si="33"/>
        <v>37.950000000000728</v>
      </c>
      <c r="ET25" s="118">
        <f t="shared" si="34"/>
        <v>5934127.650000114</v>
      </c>
      <c r="EU25" s="118">
        <f t="shared" si="79"/>
        <v>7634228.0573334852</v>
      </c>
      <c r="EV25" s="118">
        <f t="shared" si="76"/>
        <v>133804.03823420082</v>
      </c>
      <c r="EW25" s="329">
        <f t="shared" si="77"/>
        <v>57.055288899211618</v>
      </c>
      <c r="EX25" s="118">
        <f t="shared" si="66"/>
        <v>4279.1466674408712</v>
      </c>
      <c r="EY25" s="118">
        <f>EX25*'Base Data'!$D$13</f>
        <v>3209.3600005806534</v>
      </c>
      <c r="EZ25" s="375">
        <f>IF(INT(('Base Data'!$D$7)/EY25)=0,0,INT(('Base Data'!$D$7)/EY25))</f>
        <v>3</v>
      </c>
      <c r="FA25" s="385">
        <f t="shared" si="67"/>
        <v>6.2206279906902688E-3</v>
      </c>
      <c r="FB25" s="397">
        <f t="shared" ref="FB25:FB67" si="129">(Q25-AVERAGE(BE4:BE24))/DV25</f>
        <v>2.6109809093858445</v>
      </c>
      <c r="FC25" s="403">
        <f t="shared" si="68"/>
        <v>2.1847864204787912</v>
      </c>
      <c r="FD25" s="510">
        <f t="shared" ref="FD25:FD67" si="130">(W25-AVERAGE(BM4:BM24))/EE25</f>
        <v>1.6300686141788856</v>
      </c>
      <c r="FE25" s="509">
        <f t="shared" si="69"/>
        <v>1.0310174768182689</v>
      </c>
      <c r="FF25" s="20">
        <f t="shared" si="14"/>
        <v>283.79999999999927</v>
      </c>
      <c r="FG25" s="17">
        <f t="shared" si="15"/>
        <v>1.3279771277230399E-2</v>
      </c>
      <c r="FH25" s="388">
        <f t="shared" si="70"/>
        <v>9.0211557621591183E-3</v>
      </c>
      <c r="FI25" s="388">
        <f t="shared" si="105"/>
        <v>9.4119287430706588E-3</v>
      </c>
      <c r="FJ25" s="314">
        <f t="shared" ref="FJ25:FJ67" si="131">AVERAGE(FG5:FG25)</f>
        <v>9.5482425836641068E-3</v>
      </c>
      <c r="FK25" s="442">
        <f t="shared" si="16"/>
        <v>37.950000000000728</v>
      </c>
      <c r="FL25" s="18">
        <f t="shared" si="17"/>
        <v>4.1473823405662868E-3</v>
      </c>
      <c r="FM25" s="394">
        <f t="shared" si="71"/>
        <v>5.9735626946013963E-3</v>
      </c>
      <c r="FN25" s="394">
        <f t="shared" si="106"/>
        <v>5.4273517641188762E-3</v>
      </c>
      <c r="FO25" s="385">
        <f t="shared" ref="FO25:FO67" si="132">AVERAGE(FL5:FL25)</f>
        <v>6.3487095758900554E-3</v>
      </c>
      <c r="FP25" s="416">
        <f t="shared" si="47"/>
        <v>2</v>
      </c>
      <c r="FQ25" s="417">
        <f t="shared" si="48"/>
        <v>2</v>
      </c>
      <c r="FR25" s="415">
        <f t="shared" si="122"/>
        <v>64.397330855646331</v>
      </c>
      <c r="FS25" s="413" t="str">
        <f t="shared" ref="FS25:FS67" si="133">IF(AND(FR25&lt;30,FR25&gt;FR24),"C-R",IF(AND(FR25&lt;30,FR25=FR24),"C-F",IF(AND(FR25&lt;30,FR25&lt;FR24),"C-D",IF(AND(FR25&gt;=30,FR25&gt;FR24),"T-R",IF(AND(FR25&gt;=30,FR25=FR24),"T-F",IF(AND(FR25&gt;=30,FR25&lt;FR24),"T-D","Check"))))))</f>
        <v>T-R</v>
      </c>
      <c r="FT25" s="404">
        <f t="shared" si="123"/>
        <v>57.592238718213039</v>
      </c>
      <c r="FU25" s="414" t="str">
        <f t="shared" ref="FU25:FU67" si="134">IF(AND(FT25&lt;30,FT25&gt;FT24),"C-R",IF(AND(FT25&lt;30,FT25=FT24),"C-F",IF(AND(FT25&lt;30,FT25&lt;FT24),"C-D",IF(AND(FT25&gt;=30,FT25&gt;FT24),"T-R",IF(AND(FT25&gt;=30,FT25=FT24),"T-F",IF(AND(FT25&gt;=30,FT25&lt;FT24),"T-D","Check"))))))</f>
        <v>T-D</v>
      </c>
      <c r="FV25" s="415">
        <f t="shared" si="62"/>
        <v>62.369212266987198</v>
      </c>
      <c r="FW25" s="413" t="str">
        <f t="shared" si="72"/>
        <v>T-R</v>
      </c>
      <c r="FX25" s="404">
        <f t="shared" si="63"/>
        <v>20.280210157618722</v>
      </c>
      <c r="FY25" s="414" t="str">
        <f t="shared" si="73"/>
        <v>C-R</v>
      </c>
    </row>
    <row r="26" spans="1:181" ht="11.15" thickBot="1" x14ac:dyDescent="0.35">
      <c r="D26" s="116"/>
      <c r="E26" s="116"/>
      <c r="F26" s="116"/>
      <c r="G26" s="116"/>
      <c r="H26" s="116"/>
      <c r="I26" s="116"/>
      <c r="J26" s="116"/>
      <c r="L26" s="283">
        <f t="shared" si="35"/>
        <v>23</v>
      </c>
      <c r="M26" s="290">
        <f>'[4]BANKNIFTY-I'!C42</f>
        <v>42825</v>
      </c>
      <c r="N26" s="7">
        <f>'[4]BANKNIFTY-I'!D42</f>
        <v>21512.25</v>
      </c>
      <c r="O26" s="7">
        <f>'[4]BANKNIFTY-I'!E42</f>
        <v>21603.4</v>
      </c>
      <c r="P26" s="7">
        <f>'[4]BANKNIFTY-I'!F42</f>
        <v>21465.5</v>
      </c>
      <c r="Q26" s="7">
        <f>'[4]BANKNIFTY-I'!G42</f>
        <v>21488.15</v>
      </c>
      <c r="R26" s="11">
        <f>'[4]BANKNIFTY-I'!H42</f>
        <v>47736</v>
      </c>
      <c r="S26" s="291">
        <f>'[5]NIFTY-I'!C42</f>
        <v>42825</v>
      </c>
      <c r="T26" s="9">
        <f>'[5]NIFTY-I'!D42</f>
        <v>9185.25</v>
      </c>
      <c r="U26" s="9">
        <f>'[5]NIFTY-I'!E42</f>
        <v>9208.4</v>
      </c>
      <c r="V26" s="9">
        <f>'[5]NIFTY-I'!F42</f>
        <v>9176</v>
      </c>
      <c r="W26" s="9">
        <f>'[5]NIFTY-I'!G42</f>
        <v>9197.75</v>
      </c>
      <c r="X26" s="12">
        <f>'[5]NIFTY-I'!H42</f>
        <v>96750</v>
      </c>
      <c r="Y26" s="115"/>
      <c r="Z26" s="122">
        <f t="shared" si="36"/>
        <v>-5.6244710022639978E-3</v>
      </c>
      <c r="AA26" s="19">
        <f t="shared" si="18"/>
        <v>2.8089753196006311E-3</v>
      </c>
      <c r="AB26" s="305">
        <f>IF(OR(SUM(Z6:Z26)=0,SUM('BNF-Nifty'!AA6:AA26)=0),0,(_xlfn.COVARIANCE.P(Z6:Z26,'BNF-Nifty'!AA6:AA26)/_xlfn.VAR.P('BNF-Nifty'!AA6:AA26)))</f>
        <v>1.0375666693072596</v>
      </c>
      <c r="AC26" s="306">
        <f>IF(OR(SUM(AA6:AA26)=0,SUM('BNF-Nifty'!AA6:AA26)=0),0,(_xlfn.COVARIANCE.P(AA6:AA26,'BNF-Nifty'!AA6:AA26)/_xlfn.VAR.P('BNF-Nifty'!AA6:AA26)))</f>
        <v>1</v>
      </c>
      <c r="AD26" s="122">
        <f t="shared" si="0"/>
        <v>4.1170429882493257E-3</v>
      </c>
      <c r="AE26" s="364">
        <f t="shared" si="124"/>
        <v>9.1105663973327936E-2</v>
      </c>
      <c r="AF26" s="513">
        <f t="shared" si="1"/>
        <v>7.0960700774428242E-3</v>
      </c>
      <c r="AG26" s="522">
        <f t="shared" si="125"/>
        <v>-7.4204305651347474E-2</v>
      </c>
      <c r="AH26" s="466">
        <f t="shared" si="37"/>
        <v>-5.6244710022639978E-3</v>
      </c>
      <c r="AI26" s="17">
        <f t="shared" si="38"/>
        <v>6.0346305503069537E-3</v>
      </c>
      <c r="AJ26" s="17">
        <f t="shared" si="39"/>
        <v>6.0108102922396944E-3</v>
      </c>
      <c r="AK26" s="314">
        <f t="shared" si="40"/>
        <v>0.11483636939050512</v>
      </c>
      <c r="AL26" s="467">
        <f t="shared" si="41"/>
        <v>2.8089753196006311E-3</v>
      </c>
      <c r="AM26" s="18">
        <f t="shared" si="49"/>
        <v>4.7013472541562141E-3</v>
      </c>
      <c r="AN26" s="18">
        <f t="shared" si="19"/>
        <v>4.6097642656300732E-3</v>
      </c>
      <c r="AO26" s="385">
        <f t="shared" si="42"/>
        <v>8.8069422635828537E-2</v>
      </c>
      <c r="AP26" s="10">
        <f t="shared" si="2"/>
        <v>6.4037145710660786E-3</v>
      </c>
      <c r="AQ26" s="17">
        <f t="shared" si="43"/>
        <v>8.7970825674527787E-3</v>
      </c>
      <c r="AR26" s="17">
        <f t="shared" si="44"/>
        <v>8.6721275137723684E-3</v>
      </c>
      <c r="AS26" s="314">
        <f t="shared" si="45"/>
        <v>0.16568076351683564</v>
      </c>
      <c r="AT26" s="448">
        <f t="shared" si="3"/>
        <v>3.5247311355346596E-3</v>
      </c>
      <c r="AU26" s="18">
        <f t="shared" si="50"/>
        <v>5.5111520515192212E-3</v>
      </c>
      <c r="AV26" s="18">
        <f t="shared" si="20"/>
        <v>5.4125643546783899E-3</v>
      </c>
      <c r="AW26" s="385">
        <f t="shared" si="46"/>
        <v>0.1034068968016172</v>
      </c>
      <c r="AX26" s="6">
        <f t="shared" si="4"/>
        <v>1026908766</v>
      </c>
      <c r="AY26" s="319">
        <v>0</v>
      </c>
      <c r="AZ26" s="140">
        <f t="shared" si="5"/>
        <v>888672937.5</v>
      </c>
      <c r="BA26" s="481">
        <v>0</v>
      </c>
      <c r="BB26" s="135">
        <f t="shared" si="98"/>
        <v>1313687224.2630441</v>
      </c>
      <c r="BC26" s="21">
        <f t="shared" si="99"/>
        <v>62105.626518260971</v>
      </c>
      <c r="BD26" s="319">
        <f t="shared" si="100"/>
        <v>21152.467142035504</v>
      </c>
      <c r="BE26" s="21">
        <f t="shared" si="6"/>
        <v>21519.016666666666</v>
      </c>
      <c r="BF26" s="21">
        <f t="shared" si="7"/>
        <v>1027231779.6</v>
      </c>
      <c r="BG26" s="21">
        <f t="shared" si="59"/>
        <v>1330288546.0499182</v>
      </c>
      <c r="BH26" s="21">
        <f t="shared" si="55"/>
        <v>62210.08423392909</v>
      </c>
      <c r="BI26" s="332">
        <f t="shared" si="56"/>
        <v>21383.8087897072</v>
      </c>
      <c r="BJ26" s="141">
        <f t="shared" si="101"/>
        <v>1111363246.9067566</v>
      </c>
      <c r="BK26" s="118">
        <f t="shared" si="102"/>
        <v>121999.06219642029</v>
      </c>
      <c r="BL26" s="329">
        <f t="shared" si="107"/>
        <v>9109.6048354654195</v>
      </c>
      <c r="BM26" s="118">
        <f t="shared" si="8"/>
        <v>9194.0500000000011</v>
      </c>
      <c r="BN26" s="118">
        <f t="shared" si="9"/>
        <v>889524337.50000012</v>
      </c>
      <c r="BO26" s="118">
        <f t="shared" si="60"/>
        <v>1155306228.001791</v>
      </c>
      <c r="BP26" s="118">
        <f t="shared" si="57"/>
        <v>126306.41810415762</v>
      </c>
      <c r="BQ26" s="325">
        <f t="shared" si="61"/>
        <v>9146.8529101116346</v>
      </c>
      <c r="BR26" s="6">
        <f t="shared" si="10"/>
        <v>1024677108</v>
      </c>
      <c r="BS26" s="8">
        <f t="shared" si="11"/>
        <v>1031259902.4000001</v>
      </c>
      <c r="BT26" s="331">
        <f t="shared" si="86"/>
        <v>21205.593686511769</v>
      </c>
      <c r="BU26" s="319">
        <f t="shared" si="51"/>
        <v>21245.544012292583</v>
      </c>
      <c r="BV26" s="319">
        <f t="shared" si="52"/>
        <v>21431.453100201747</v>
      </c>
      <c r="BW26" s="331">
        <v>0</v>
      </c>
      <c r="BX26" s="319">
        <f t="shared" si="87"/>
        <v>21120.984629795399</v>
      </c>
      <c r="BY26" s="332">
        <f t="shared" si="88"/>
        <v>21320.622696429084</v>
      </c>
      <c r="BZ26" s="140">
        <f t="shared" si="12"/>
        <v>887778000</v>
      </c>
      <c r="CA26" s="142">
        <f t="shared" si="13"/>
        <v>890912700</v>
      </c>
      <c r="CB26" s="339">
        <f t="shared" si="89"/>
        <v>9132.953053532452</v>
      </c>
      <c r="CC26" s="329">
        <f t="shared" si="53"/>
        <v>9104.4944433139317</v>
      </c>
      <c r="CD26" s="329">
        <f t="shared" si="54"/>
        <v>9149.9381401107112</v>
      </c>
      <c r="CE26" s="339">
        <v>0</v>
      </c>
      <c r="CF26" s="329">
        <f t="shared" si="90"/>
        <v>9105.6936941052518</v>
      </c>
      <c r="CG26" s="325">
        <f t="shared" si="91"/>
        <v>9153.9667275104075</v>
      </c>
      <c r="CH26" s="20">
        <f t="shared" si="92"/>
        <v>1315791364.5368991</v>
      </c>
      <c r="CI26" s="21">
        <f t="shared" si="93"/>
        <v>62017.162580490956</v>
      </c>
      <c r="CJ26" s="21">
        <f t="shared" si="94"/>
        <v>21216.568281871285</v>
      </c>
      <c r="CK26" s="21">
        <v>0</v>
      </c>
      <c r="CL26" s="21">
        <v>0</v>
      </c>
      <c r="CM26" s="21">
        <v>0</v>
      </c>
      <c r="CN26" s="342">
        <v>0</v>
      </c>
      <c r="CO26" s="342">
        <v>0</v>
      </c>
      <c r="CP26" s="343">
        <v>0</v>
      </c>
      <c r="CQ26" s="141">
        <f t="shared" si="95"/>
        <v>1118065995.7209959</v>
      </c>
      <c r="CR26" s="118">
        <f t="shared" si="96"/>
        <v>122676.30290192348</v>
      </c>
      <c r="CS26" s="118">
        <f t="shared" si="104"/>
        <v>9113.9524853048479</v>
      </c>
      <c r="CT26" s="118"/>
      <c r="CU26" s="118"/>
      <c r="CV26" s="118">
        <v>0</v>
      </c>
      <c r="CW26" s="350">
        <v>0</v>
      </c>
      <c r="CX26" s="350">
        <v>0</v>
      </c>
      <c r="CY26" s="351">
        <v>0</v>
      </c>
      <c r="CZ26" s="20">
        <f t="shared" si="21"/>
        <v>-25.5</v>
      </c>
      <c r="DA26" s="21">
        <f t="shared" si="22"/>
        <v>0</v>
      </c>
      <c r="DB26" s="21">
        <f t="shared" si="23"/>
        <v>1027231779.6</v>
      </c>
      <c r="DC26" s="21">
        <f t="shared" si="114"/>
        <v>860762690.8680197</v>
      </c>
      <c r="DD26" s="21">
        <f t="shared" si="115"/>
        <v>475283544.85369235</v>
      </c>
      <c r="DE26" s="21">
        <f t="shared" si="116"/>
        <v>1.811050898328471</v>
      </c>
      <c r="DF26" s="342">
        <f t="shared" si="117"/>
        <v>64.426115493154967</v>
      </c>
      <c r="DG26" s="342">
        <v>0</v>
      </c>
      <c r="DH26" s="355">
        <v>0</v>
      </c>
      <c r="DI26" s="141">
        <f t="shared" si="24"/>
        <v>30.716666666667152</v>
      </c>
      <c r="DJ26" s="118">
        <f t="shared" si="25"/>
        <v>889524337.50000012</v>
      </c>
      <c r="DK26" s="118">
        <f t="shared" si="26"/>
        <v>0</v>
      </c>
      <c r="DL26" s="118">
        <f t="shared" si="118"/>
        <v>822154522.75788403</v>
      </c>
      <c r="DM26" s="118">
        <f t="shared" si="119"/>
        <v>292956923.80566174</v>
      </c>
      <c r="DN26" s="118">
        <f t="shared" si="120"/>
        <v>2.8064007229379397</v>
      </c>
      <c r="DO26" s="350">
        <f t="shared" si="121"/>
        <v>73.728462324687712</v>
      </c>
      <c r="DP26" s="350">
        <v>0</v>
      </c>
      <c r="DQ26" s="351">
        <v>0</v>
      </c>
      <c r="DR26" s="135">
        <f t="shared" si="27"/>
        <v>143.84999999999854</v>
      </c>
      <c r="DS26" s="20">
        <f t="shared" si="28"/>
        <v>6866823.5999999307</v>
      </c>
      <c r="DT26" s="21">
        <f>((DS26-DT25)*(2/(1+21)))+DT25</f>
        <v>14603096.351082254</v>
      </c>
      <c r="DU26" s="21">
        <f t="shared" ref="DU26:DU67" si="135">((R26-DU25)*(2/(1+21)))+DU25</f>
        <v>61908.294372294375</v>
      </c>
      <c r="DV26" s="319">
        <f t="shared" ref="DV26:DV67" si="136">DT26/DU26</f>
        <v>235.88271166484489</v>
      </c>
      <c r="DW26" s="21">
        <f t="shared" ref="DW26:DW67" si="137">DV26*$F$4</f>
        <v>4717.6542332968975</v>
      </c>
      <c r="DX26" s="21">
        <f>DW26*'Base Data'!$D$10</f>
        <v>9435.3084665937949</v>
      </c>
      <c r="DY26" s="363">
        <f>IF(INT(('Base Data'!$D$7)/DX26)=0,0,INT(('Base Data'!$D$7)/DX26))</f>
        <v>1</v>
      </c>
      <c r="DZ26" s="364">
        <f t="shared" si="126"/>
        <v>1.0977339215560432E-2</v>
      </c>
      <c r="EA26" s="141">
        <f t="shared" si="29"/>
        <v>36.449999999998909</v>
      </c>
      <c r="EB26" s="143">
        <f t="shared" si="30"/>
        <v>3526537.4999998943</v>
      </c>
      <c r="EC26" s="118">
        <f>((EB26-EC25)*(2/(1+21)))+EC25</f>
        <v>8347629.6212121006</v>
      </c>
      <c r="ED26" s="118">
        <f t="shared" ref="ED26:ED67" si="138">((X26-ED25)*(2/(1+21)))+ED25</f>
        <v>114279.43722943723</v>
      </c>
      <c r="EE26" s="329">
        <f t="shared" ref="EE26:EE67" si="139">EC26/ED26</f>
        <v>73.045771169249647</v>
      </c>
      <c r="EF26" s="118">
        <f t="shared" si="127"/>
        <v>5478.4328376937237</v>
      </c>
      <c r="EG26" s="118">
        <f>EF26*'Base Data'!$D$10</f>
        <v>10956.865675387447</v>
      </c>
      <c r="EH26" s="375">
        <f>IF(INT(('Base Data'!$D$7)/EG26)=0,0,INT(('Base Data'!$D$7)/EG26))</f>
        <v>0</v>
      </c>
      <c r="EI26" s="376">
        <f t="shared" si="128"/>
        <v>7.9416999993748086E-3</v>
      </c>
      <c r="EJ26" s="135">
        <f t="shared" si="31"/>
        <v>143.84999999999854</v>
      </c>
      <c r="EK26" s="21">
        <f t="shared" si="32"/>
        <v>6866823.5999999307</v>
      </c>
      <c r="EL26" s="21">
        <f t="shared" si="78"/>
        <v>13303314.730053416</v>
      </c>
      <c r="EM26" s="21">
        <f t="shared" si="74"/>
        <v>62269.98078840875</v>
      </c>
      <c r="EN26" s="319">
        <f t="shared" si="75"/>
        <v>213.63929395221143</v>
      </c>
      <c r="EO26" s="21">
        <f t="shared" si="64"/>
        <v>4272.7858790442287</v>
      </c>
      <c r="EP26" s="21">
        <f>EO26*'Base Data'!$D$13</f>
        <v>3204.5894092831713</v>
      </c>
      <c r="EQ26" s="363">
        <f>IF(INT(('Base Data'!$D$7)/EP26)=0,0,INT(('Base Data'!$D$7)/EP26))</f>
        <v>3</v>
      </c>
      <c r="ER26" s="314">
        <f t="shared" si="65"/>
        <v>9.9421911124136526E-3</v>
      </c>
      <c r="ES26" s="143">
        <f t="shared" si="33"/>
        <v>36.449999999998909</v>
      </c>
      <c r="ET26" s="118">
        <f t="shared" si="34"/>
        <v>3526537.4999998943</v>
      </c>
      <c r="EU26" s="118">
        <f t="shared" si="79"/>
        <v>6721407.9334815759</v>
      </c>
      <c r="EV26" s="118">
        <f t="shared" si="76"/>
        <v>125569.80751548953</v>
      </c>
      <c r="EW26" s="329">
        <f t="shared" si="77"/>
        <v>53.527261580395937</v>
      </c>
      <c r="EX26" s="118">
        <f t="shared" si="66"/>
        <v>4014.5446185296951</v>
      </c>
      <c r="EY26" s="118">
        <f>EX26*'Base Data'!$D$13</f>
        <v>3010.9084638972713</v>
      </c>
      <c r="EZ26" s="375">
        <f>IF(INT(('Base Data'!$D$7)/EY26)=0,0,INT(('Base Data'!$D$7)/EY26))</f>
        <v>3</v>
      </c>
      <c r="FA26" s="385">
        <f t="shared" si="67"/>
        <v>5.8196038792526364E-3</v>
      </c>
      <c r="FB26" s="397">
        <f t="shared" si="129"/>
        <v>2.0009910985755019</v>
      </c>
      <c r="FC26" s="403">
        <f t="shared" si="68"/>
        <v>1.5543527933939687</v>
      </c>
      <c r="FD26" s="510">
        <f t="shared" si="130"/>
        <v>1.8866405119031049</v>
      </c>
      <c r="FE26" s="509">
        <f t="shared" si="69"/>
        <v>1.5580067216417661</v>
      </c>
      <c r="FF26" s="20">
        <f t="shared" si="14"/>
        <v>137.90000000000146</v>
      </c>
      <c r="FG26" s="17">
        <f t="shared" si="15"/>
        <v>6.4103011075085804E-3</v>
      </c>
      <c r="FH26" s="388">
        <f t="shared" si="70"/>
        <v>8.7856862375481955E-3</v>
      </c>
      <c r="FI26" s="388">
        <f t="shared" si="105"/>
        <v>9.0856890792430003E-3</v>
      </c>
      <c r="FJ26" s="314">
        <f t="shared" si="131"/>
        <v>9.4511832908113266E-3</v>
      </c>
      <c r="FK26" s="442">
        <f t="shared" si="16"/>
        <v>32.399999999999636</v>
      </c>
      <c r="FL26" s="18">
        <f t="shared" si="17"/>
        <v>3.5273944639503158E-3</v>
      </c>
      <c r="FM26" s="394">
        <f t="shared" si="71"/>
        <v>5.6207193064854565E-3</v>
      </c>
      <c r="FN26" s="394">
        <f t="shared" si="106"/>
        <v>5.0224059961315442E-3</v>
      </c>
      <c r="FO26" s="385">
        <f t="shared" si="132"/>
        <v>6.130883212505568E-3</v>
      </c>
      <c r="FP26" s="416">
        <f t="shared" si="47"/>
        <v>2</v>
      </c>
      <c r="FQ26" s="417">
        <f t="shared" si="48"/>
        <v>2</v>
      </c>
      <c r="FR26" s="415">
        <f t="shared" si="122"/>
        <v>72.379423937832627</v>
      </c>
      <c r="FS26" s="413" t="str">
        <f t="shared" si="133"/>
        <v>T-R</v>
      </c>
      <c r="FT26" s="404">
        <f t="shared" si="123"/>
        <v>82.478318388945922</v>
      </c>
      <c r="FU26" s="414" t="str">
        <f t="shared" si="134"/>
        <v>T-R</v>
      </c>
      <c r="FV26" s="415">
        <f t="shared" si="62"/>
        <v>76.855081178593252</v>
      </c>
      <c r="FW26" s="413" t="str">
        <f t="shared" si="72"/>
        <v>T-R</v>
      </c>
      <c r="FX26" s="404">
        <f t="shared" si="63"/>
        <v>85.099624602945809</v>
      </c>
      <c r="FY26" s="414" t="str">
        <f t="shared" si="73"/>
        <v>T-R</v>
      </c>
    </row>
    <row r="27" spans="1:181" ht="11.15" thickBot="1" x14ac:dyDescent="0.35">
      <c r="A27" s="151" t="s">
        <v>7</v>
      </c>
      <c r="B27" s="152" t="s">
        <v>45</v>
      </c>
      <c r="C27" s="152" t="s">
        <v>46</v>
      </c>
      <c r="D27" s="152" t="s">
        <v>47</v>
      </c>
      <c r="E27" s="152" t="s">
        <v>48</v>
      </c>
      <c r="F27" s="152" t="s">
        <v>49</v>
      </c>
      <c r="G27" s="152" t="s">
        <v>50</v>
      </c>
      <c r="H27" s="152" t="s">
        <v>51</v>
      </c>
      <c r="I27" s="152" t="s">
        <v>52</v>
      </c>
      <c r="J27" s="153" t="s">
        <v>53</v>
      </c>
      <c r="L27" s="283">
        <f t="shared" si="35"/>
        <v>24</v>
      </c>
      <c r="M27" s="290">
        <f>'[4]BANKNIFTY-I'!C43</f>
        <v>42828</v>
      </c>
      <c r="N27" s="7">
        <f>'[4]BANKNIFTY-I'!D43</f>
        <v>21519.9</v>
      </c>
      <c r="O27" s="7">
        <f>'[4]BANKNIFTY-I'!E43</f>
        <v>21588.7</v>
      </c>
      <c r="P27" s="7">
        <f>'[4]BANKNIFTY-I'!F43</f>
        <v>21451</v>
      </c>
      <c r="Q27" s="7">
        <f>'[4]BANKNIFTY-I'!G43</f>
        <v>21576.799999999999</v>
      </c>
      <c r="R27" s="11">
        <f>'[4]BANKNIFTY-I'!H43</f>
        <v>42090</v>
      </c>
      <c r="S27" s="291">
        <f>'[5]NIFTY-I'!C43</f>
        <v>42828</v>
      </c>
      <c r="T27" s="9">
        <f>'[5]NIFTY-I'!D43</f>
        <v>9221.65</v>
      </c>
      <c r="U27" s="9">
        <f>'[5]NIFTY-I'!E43</f>
        <v>9274</v>
      </c>
      <c r="V27" s="9">
        <f>'[5]NIFTY-I'!F43</f>
        <v>9203.5</v>
      </c>
      <c r="W27" s="9">
        <f>'[5]NIFTY-I'!G43</f>
        <v>9263.25</v>
      </c>
      <c r="X27" s="12">
        <f>'[5]NIFTY-I'!H43</f>
        <v>104916</v>
      </c>
      <c r="Y27" s="115"/>
      <c r="Z27" s="122">
        <f t="shared" si="36"/>
        <v>4.1170429882493257E-3</v>
      </c>
      <c r="AA27" s="19">
        <f t="shared" si="18"/>
        <v>7.0960700774428242E-3</v>
      </c>
      <c r="AB27" s="305">
        <f>IF(OR(SUM(Z7:Z27)=0,SUM('BNF-Nifty'!AA7:AA27)=0),0,(_xlfn.COVARIANCE.P(Z7:Z27,'BNF-Nifty'!AA7:AA27)/_xlfn.VAR.P('BNF-Nifty'!AA7:AA27)))</f>
        <v>0.94922740265498351</v>
      </c>
      <c r="AC27" s="306">
        <f>IF(OR(SUM(AA7:AA27)=0,SUM('BNF-Nifty'!AA7:AA27)=0),0,(_xlfn.COVARIANCE.P(AA7:AA27,'BNF-Nifty'!AA7:AA27)/_xlfn.VAR.P('BNF-Nifty'!AA7:AA27)))</f>
        <v>1.0000000000000002</v>
      </c>
      <c r="AD27" s="122">
        <f t="shared" si="0"/>
        <v>4.9375510617869454E-3</v>
      </c>
      <c r="AE27" s="364">
        <f t="shared" si="124"/>
        <v>3.3788337256750768E-2</v>
      </c>
      <c r="AF27" s="513">
        <f t="shared" si="1"/>
        <v>2.5121577864703633E-3</v>
      </c>
      <c r="AG27" s="522">
        <f t="shared" si="125"/>
        <v>-8.7399751041026971E-2</v>
      </c>
      <c r="AH27" s="466">
        <f t="shared" si="37"/>
        <v>4.1170429882493257E-3</v>
      </c>
      <c r="AI27" s="17">
        <f t="shared" si="38"/>
        <v>6.0108102922396944E-3</v>
      </c>
      <c r="AJ27" s="17">
        <f t="shared" si="39"/>
        <v>5.914309133378347E-3</v>
      </c>
      <c r="AK27" s="314">
        <f t="shared" si="40"/>
        <v>0.11299271733914679</v>
      </c>
      <c r="AL27" s="467">
        <f t="shared" si="41"/>
        <v>7.0960700774428242E-3</v>
      </c>
      <c r="AM27" s="18">
        <f t="shared" si="49"/>
        <v>4.6097642656300732E-3</v>
      </c>
      <c r="AN27" s="18">
        <f t="shared" si="19"/>
        <v>4.7954336219197041E-3</v>
      </c>
      <c r="AO27" s="385">
        <f t="shared" si="42"/>
        <v>9.1616630707076568E-2</v>
      </c>
      <c r="AP27" s="10">
        <f t="shared" si="2"/>
        <v>6.398765318268735E-3</v>
      </c>
      <c r="AQ27" s="17">
        <f t="shared" si="43"/>
        <v>8.6721275137723684E-3</v>
      </c>
      <c r="AR27" s="17">
        <f t="shared" si="44"/>
        <v>8.552783157201916E-3</v>
      </c>
      <c r="AS27" s="314">
        <f t="shared" si="45"/>
        <v>0.16340069278602407</v>
      </c>
      <c r="AT27" s="448">
        <f t="shared" si="3"/>
        <v>7.6309394786294648E-3</v>
      </c>
      <c r="AU27" s="18">
        <f t="shared" si="50"/>
        <v>5.4125643546783899E-3</v>
      </c>
      <c r="AV27" s="18">
        <f t="shared" si="20"/>
        <v>5.5706351486624339E-3</v>
      </c>
      <c r="AW27" s="385">
        <f t="shared" si="46"/>
        <v>0.10642683508036103</v>
      </c>
      <c r="AX27" s="6">
        <f t="shared" si="4"/>
        <v>905772591.00000012</v>
      </c>
      <c r="AY27" s="319">
        <v>0</v>
      </c>
      <c r="AZ27" s="140">
        <f t="shared" si="5"/>
        <v>967498631.39999998</v>
      </c>
      <c r="BA27" s="481">
        <v>0</v>
      </c>
      <c r="BB27" s="135">
        <f t="shared" si="98"/>
        <v>1255413705.2254665</v>
      </c>
      <c r="BC27" s="21">
        <f t="shared" si="99"/>
        <v>59246.251301366545</v>
      </c>
      <c r="BD27" s="319">
        <f t="shared" si="100"/>
        <v>21189.757624319256</v>
      </c>
      <c r="BE27" s="21">
        <f t="shared" si="6"/>
        <v>21538.833333333332</v>
      </c>
      <c r="BF27" s="21">
        <f t="shared" si="7"/>
        <v>906569495</v>
      </c>
      <c r="BG27" s="21">
        <f t="shared" si="59"/>
        <v>1189048862.3666122</v>
      </c>
      <c r="BH27" s="21">
        <f t="shared" si="55"/>
        <v>55503.389489286063</v>
      </c>
      <c r="BI27" s="332">
        <f t="shared" si="56"/>
        <v>21422.995483836836</v>
      </c>
      <c r="BJ27" s="141">
        <f t="shared" si="101"/>
        <v>1090811158.9772201</v>
      </c>
      <c r="BK27" s="118">
        <f t="shared" si="102"/>
        <v>119558.62473978882</v>
      </c>
      <c r="BL27" s="329">
        <f t="shared" si="107"/>
        <v>9123.6509398740236</v>
      </c>
      <c r="BM27" s="118">
        <f t="shared" si="8"/>
        <v>9246.9166666666661</v>
      </c>
      <c r="BN27" s="118">
        <f t="shared" si="9"/>
        <v>970149508.99999988</v>
      </c>
      <c r="BO27" s="118">
        <f t="shared" si="60"/>
        <v>1093587321.6678605</v>
      </c>
      <c r="BP27" s="118">
        <f t="shared" si="57"/>
        <v>119176.27873610509</v>
      </c>
      <c r="BQ27" s="325">
        <f t="shared" si="61"/>
        <v>9176.2163852205631</v>
      </c>
      <c r="BR27" s="6">
        <f t="shared" si="10"/>
        <v>902872590</v>
      </c>
      <c r="BS27" s="8">
        <f t="shared" si="11"/>
        <v>908668383</v>
      </c>
      <c r="BT27" s="331">
        <f t="shared" si="86"/>
        <v>21227.199374475007</v>
      </c>
      <c r="BU27" s="319">
        <f t="shared" si="51"/>
        <v>21326.643035600559</v>
      </c>
      <c r="BV27" s="319">
        <f t="shared" si="52"/>
        <v>21506.438231341966</v>
      </c>
      <c r="BW27" s="331">
        <v>0</v>
      </c>
      <c r="BX27" s="319">
        <f t="shared" si="87"/>
        <v>21139.829637804833</v>
      </c>
      <c r="BY27" s="332">
        <f t="shared" si="88"/>
        <v>21338.336190917453</v>
      </c>
      <c r="BZ27" s="140">
        <f t="shared" si="12"/>
        <v>965594406</v>
      </c>
      <c r="CA27" s="142">
        <f t="shared" si="13"/>
        <v>972990984</v>
      </c>
      <c r="CB27" s="339">
        <f t="shared" si="89"/>
        <v>9139.8615450678117</v>
      </c>
      <c r="CC27" s="329">
        <f t="shared" si="53"/>
        <v>9139.5142391847821</v>
      </c>
      <c r="CD27" s="329">
        <f t="shared" si="54"/>
        <v>9180.8987188719548</v>
      </c>
      <c r="CE27" s="339">
        <v>0</v>
      </c>
      <c r="CF27" s="329">
        <f t="shared" si="90"/>
        <v>9112.6231490398641</v>
      </c>
      <c r="CG27" s="325">
        <f t="shared" si="91"/>
        <v>9163.3784020396542</v>
      </c>
      <c r="CH27" s="20">
        <f t="shared" si="92"/>
        <v>1252834153.8389146</v>
      </c>
      <c r="CI27" s="21">
        <f t="shared" si="93"/>
        <v>58951.445260415421</v>
      </c>
      <c r="CJ27" s="21">
        <f t="shared" si="94"/>
        <v>21251.966738127874</v>
      </c>
      <c r="CK27" s="21">
        <v>0</v>
      </c>
      <c r="CL27" s="21">
        <v>0</v>
      </c>
      <c r="CM27" s="21">
        <v>0</v>
      </c>
      <c r="CN27" s="342">
        <v>0</v>
      </c>
      <c r="CO27" s="342">
        <v>0</v>
      </c>
      <c r="CP27" s="343">
        <v>0</v>
      </c>
      <c r="CQ27" s="141">
        <f t="shared" si="95"/>
        <v>1095309613.148535</v>
      </c>
      <c r="CR27" s="118">
        <f t="shared" si="96"/>
        <v>119943.94860931986</v>
      </c>
      <c r="CS27" s="118">
        <f t="shared" si="104"/>
        <v>9131.8455482582594</v>
      </c>
      <c r="CT27" s="118"/>
      <c r="CU27" s="118"/>
      <c r="CV27" s="118">
        <v>0</v>
      </c>
      <c r="CW27" s="350">
        <v>0</v>
      </c>
      <c r="CX27" s="350">
        <v>0</v>
      </c>
      <c r="CY27" s="351">
        <v>0</v>
      </c>
      <c r="CZ27" s="20">
        <f t="shared" si="21"/>
        <v>19.816666666665697</v>
      </c>
      <c r="DA27" s="21">
        <f t="shared" si="22"/>
        <v>906569495</v>
      </c>
      <c r="DB27" s="21">
        <f t="shared" si="23"/>
        <v>0</v>
      </c>
      <c r="DC27" s="21">
        <f t="shared" si="114"/>
        <v>866870264.75228369</v>
      </c>
      <c r="DD27" s="21">
        <f t="shared" si="115"/>
        <v>411912405.53986669</v>
      </c>
      <c r="DE27" s="21">
        <f t="shared" si="116"/>
        <v>2.1045014743271291</v>
      </c>
      <c r="DF27" s="342">
        <f t="shared" si="117"/>
        <v>67.788709128677723</v>
      </c>
      <c r="DG27" s="342">
        <v>0</v>
      </c>
      <c r="DH27" s="355">
        <v>0</v>
      </c>
      <c r="DI27" s="141">
        <f t="shared" si="24"/>
        <v>52.866666666664969</v>
      </c>
      <c r="DJ27" s="118">
        <f t="shared" si="25"/>
        <v>970149508.99999988</v>
      </c>
      <c r="DK27" s="118">
        <f t="shared" si="26"/>
        <v>0</v>
      </c>
      <c r="DL27" s="118">
        <f t="shared" si="118"/>
        <v>841887187.59016609</v>
      </c>
      <c r="DM27" s="118">
        <f t="shared" si="119"/>
        <v>253896000.6315735</v>
      </c>
      <c r="DN27" s="118">
        <f t="shared" si="120"/>
        <v>3.3158741590885552</v>
      </c>
      <c r="DO27" s="350">
        <f t="shared" si="121"/>
        <v>76.829722945138315</v>
      </c>
      <c r="DP27" s="350">
        <v>0</v>
      </c>
      <c r="DQ27" s="351">
        <v>0</v>
      </c>
      <c r="DR27" s="135">
        <f t="shared" si="27"/>
        <v>137.70000000000073</v>
      </c>
      <c r="DS27" s="20">
        <f t="shared" si="28"/>
        <v>5795793.0000000307</v>
      </c>
      <c r="DT27" s="21">
        <f t="shared" ref="DT27:DT67" si="140">((DS27-DT26)*(2/(1+21)))+DT26</f>
        <v>13802432.41007478</v>
      </c>
      <c r="DU27" s="21">
        <f t="shared" si="135"/>
        <v>60106.631247540339</v>
      </c>
      <c r="DV27" s="319">
        <f t="shared" si="136"/>
        <v>229.63244027487562</v>
      </c>
      <c r="DW27" s="21">
        <f t="shared" si="137"/>
        <v>4592.6488054975125</v>
      </c>
      <c r="DX27" s="21">
        <f>DW27*'Base Data'!$D$10</f>
        <v>9185.297610995025</v>
      </c>
      <c r="DY27" s="363">
        <f>IF(INT(('Base Data'!$D$7)/DX27)=0,0,INT(('Base Data'!$D$7)/DX27))</f>
        <v>1</v>
      </c>
      <c r="DZ27" s="364">
        <f t="shared" si="126"/>
        <v>1.0642562394556914E-2</v>
      </c>
      <c r="EA27" s="141">
        <f t="shared" si="29"/>
        <v>76.25</v>
      </c>
      <c r="EB27" s="143">
        <f t="shared" si="30"/>
        <v>7999845</v>
      </c>
      <c r="EC27" s="118">
        <f t="shared" ref="EC27:EC67" si="141">((EB27-EC26)*(2/(1+21)))+EC26</f>
        <v>8316012.8374655461</v>
      </c>
      <c r="ED27" s="118">
        <f t="shared" si="138"/>
        <v>113428.21566312475</v>
      </c>
      <c r="EE27" s="329">
        <f t="shared" si="139"/>
        <v>73.315204588632724</v>
      </c>
      <c r="EF27" s="118">
        <f t="shared" si="127"/>
        <v>5498.640344147454</v>
      </c>
      <c r="EG27" s="118">
        <f>EF27*'Base Data'!$D$10</f>
        <v>10997.280688294908</v>
      </c>
      <c r="EH27" s="375">
        <f>IF(INT(('Base Data'!$D$7)/EG27)=0,0,INT(('Base Data'!$D$7)/EG27))</f>
        <v>0</v>
      </c>
      <c r="EI27" s="376">
        <f t="shared" si="128"/>
        <v>7.9146308896588906E-3</v>
      </c>
      <c r="EJ27" s="135">
        <f t="shared" si="31"/>
        <v>137.70000000000073</v>
      </c>
      <c r="EK27" s="21">
        <f t="shared" si="32"/>
        <v>5795793.0000000307</v>
      </c>
      <c r="EL27" s="21">
        <f t="shared" si="78"/>
        <v>11634976.567819331</v>
      </c>
      <c r="EM27" s="21">
        <f t="shared" si="74"/>
        <v>57785.540613206802</v>
      </c>
      <c r="EN27" s="319">
        <f t="shared" si="75"/>
        <v>201.347542038227</v>
      </c>
      <c r="EO27" s="21">
        <f t="shared" si="64"/>
        <v>4026.9508407645399</v>
      </c>
      <c r="EP27" s="21">
        <f>EO27*'Base Data'!$D$13</f>
        <v>3020.2131305734047</v>
      </c>
      <c r="EQ27" s="363">
        <f>IF(INT(('Base Data'!$D$7)/EP27)=0,0,INT(('Base Data'!$D$7)/EP27))</f>
        <v>3</v>
      </c>
      <c r="ER27" s="314">
        <f t="shared" si="65"/>
        <v>9.3316683677944368E-3</v>
      </c>
      <c r="ES27" s="143">
        <f t="shared" si="33"/>
        <v>76.25</v>
      </c>
      <c r="ET27" s="118">
        <f t="shared" si="34"/>
        <v>7999845</v>
      </c>
      <c r="EU27" s="118">
        <f t="shared" si="79"/>
        <v>7005505.0593745587</v>
      </c>
      <c r="EV27" s="118">
        <f t="shared" si="76"/>
        <v>120980.07251204741</v>
      </c>
      <c r="EW27" s="329">
        <f t="shared" si="77"/>
        <v>57.906272610945393</v>
      </c>
      <c r="EX27" s="118">
        <f t="shared" si="66"/>
        <v>4342.9704458209044</v>
      </c>
      <c r="EY27" s="118">
        <f>EX27*'Base Data'!$D$13</f>
        <v>3257.2278343656781</v>
      </c>
      <c r="EZ27" s="375">
        <f>IF(INT(('Base Data'!$D$7)/EY27)=0,0,INT(('Base Data'!$D$7)/EY27))</f>
        <v>3</v>
      </c>
      <c r="FA27" s="385">
        <f t="shared" si="67"/>
        <v>6.2511831820306471E-3</v>
      </c>
      <c r="FB27" s="397">
        <f t="shared" si="129"/>
        <v>2.2974085158787569</v>
      </c>
      <c r="FC27" s="403">
        <f t="shared" si="68"/>
        <v>1.8379394135493043</v>
      </c>
      <c r="FD27" s="510">
        <f t="shared" si="130"/>
        <v>2.6236356023509599</v>
      </c>
      <c r="FE27" s="509">
        <f t="shared" si="69"/>
        <v>2.460765364011142</v>
      </c>
      <c r="FF27" s="20">
        <f t="shared" si="14"/>
        <v>137.70000000000073</v>
      </c>
      <c r="FG27" s="17">
        <f t="shared" si="15"/>
        <v>6.3987286186274438E-3</v>
      </c>
      <c r="FH27" s="388">
        <f t="shared" si="70"/>
        <v>8.4552111713095315E-3</v>
      </c>
      <c r="FI27" s="388">
        <f t="shared" si="105"/>
        <v>8.9656825367450937E-3</v>
      </c>
      <c r="FJ27" s="314">
        <f t="shared" si="131"/>
        <v>8.8992112657653687E-3</v>
      </c>
      <c r="FK27" s="442">
        <f t="shared" si="16"/>
        <v>70.5</v>
      </c>
      <c r="FL27" s="18">
        <f t="shared" si="17"/>
        <v>7.6450526749551329E-3</v>
      </c>
      <c r="FM27" s="394">
        <f t="shared" si="71"/>
        <v>5.4063255632477557E-3</v>
      </c>
      <c r="FN27" s="394">
        <f t="shared" si="106"/>
        <v>5.3700021537362308E-3</v>
      </c>
      <c r="FO27" s="385">
        <f t="shared" si="132"/>
        <v>5.8598187229899693E-3</v>
      </c>
      <c r="FP27" s="416">
        <f t="shared" si="47"/>
        <v>1</v>
      </c>
      <c r="FQ27" s="417">
        <f t="shared" si="48"/>
        <v>2</v>
      </c>
      <c r="FR27" s="415">
        <f t="shared" si="122"/>
        <v>84.204747022552297</v>
      </c>
      <c r="FS27" s="413" t="str">
        <f t="shared" si="133"/>
        <v>T-R</v>
      </c>
      <c r="FT27" s="404">
        <f t="shared" si="123"/>
        <v>84.83678046349398</v>
      </c>
      <c r="FU27" s="414" t="str">
        <f t="shared" si="134"/>
        <v>T-R</v>
      </c>
      <c r="FV27" s="415">
        <f t="shared" si="62"/>
        <v>75.051112447384156</v>
      </c>
      <c r="FW27" s="413" t="str">
        <f t="shared" si="72"/>
        <v>T-D</v>
      </c>
      <c r="FX27" s="404">
        <f t="shared" si="63"/>
        <v>65.1727748691101</v>
      </c>
      <c r="FY27" s="414" t="str">
        <f t="shared" si="73"/>
        <v>T-D</v>
      </c>
    </row>
    <row r="28" spans="1:181" x14ac:dyDescent="0.3">
      <c r="A28" s="112" t="s">
        <v>54</v>
      </c>
      <c r="B28" s="427">
        <f ca="1">IF($H$11=0,IF($AK$69&gt;=50%,F20,F23),IF($AK$69&gt;=50%,F20/1000,F23/1000))</f>
        <v>25731.707364126374</v>
      </c>
      <c r="C28" s="428">
        <f ca="1">IF($H$11=0,IF($AK$69&gt;=50%,E20,E23),IF($AK$69&gt;=50%,E20/1000,E23/1000))</f>
        <v>25778.859854460577</v>
      </c>
      <c r="D28" s="428">
        <f ca="1">IF($H$11=0,IF($AK$69&gt;=50%,E19,E21),IF($AK$69&gt;=50%,E19/1000,E21/1000))</f>
        <v>25797.025946262376</v>
      </c>
      <c r="E28" s="428">
        <f ca="1">IF($H$11=0,IF($AK$69&gt;=50%,E18,E20),IF($AK$69&gt;=50%,E18/1000,E20/1000))</f>
        <v>25827.895108031476</v>
      </c>
      <c r="F28" s="428">
        <f ca="1">IF($H$11=0,IF($AK$69&gt;=50%,E17,E19),IF($AK$69&gt;=50%,E17/1000,E19/1000))</f>
        <v>25859.51057488436</v>
      </c>
      <c r="G28" s="428">
        <f ca="1">IF($H$11=0,IF($AK$69&gt;=50%,E16,E18),IF($AK$69&gt;=50%,E16/1000,E18/1000))</f>
        <v>25872.36724614619</v>
      </c>
      <c r="H28" s="428">
        <f ca="1">IF($H$11=0,IF($AK$69&gt;=50%,E15,E17),IF($AK$69&gt;=50%,E15/1000,E17/1000))</f>
        <v>25878.840902616859</v>
      </c>
      <c r="I28" s="428">
        <f ca="1">IF($H$11=0,IF($AK$69&gt;=50%,0,E16),IF($AK$69&gt;=50%,0,E16/1000))</f>
        <v>25891.879128505047</v>
      </c>
      <c r="J28" s="429">
        <f ca="1">IF($H$11=0,IF($AK$69&gt;=50%,0,E15),IF($AK$69&gt;=50%,0,E15/1000))</f>
        <v>25898.443806429517</v>
      </c>
      <c r="L28" s="283">
        <f t="shared" si="35"/>
        <v>25</v>
      </c>
      <c r="M28" s="290">
        <f>'[4]BANKNIFTY-I'!C44</f>
        <v>42830</v>
      </c>
      <c r="N28" s="7">
        <f>'[4]BANKNIFTY-I'!D44</f>
        <v>21596.15</v>
      </c>
      <c r="O28" s="7">
        <f>'[4]BANKNIFTY-I'!E44</f>
        <v>21729.65</v>
      </c>
      <c r="P28" s="7">
        <f>'[4]BANKNIFTY-I'!F44</f>
        <v>21535.1</v>
      </c>
      <c r="Q28" s="7">
        <f>'[4]BANKNIFTY-I'!G44</f>
        <v>21683.599999999999</v>
      </c>
      <c r="R28" s="11">
        <f>'[4]BANKNIFTY-I'!H44</f>
        <v>54494</v>
      </c>
      <c r="S28" s="291">
        <f>'[5]NIFTY-I'!C44</f>
        <v>42830</v>
      </c>
      <c r="T28" s="9">
        <f>'[5]NIFTY-I'!D44</f>
        <v>9280</v>
      </c>
      <c r="U28" s="9">
        <f>'[5]NIFTY-I'!E44</f>
        <v>9294.85</v>
      </c>
      <c r="V28" s="9">
        <f>'[5]NIFTY-I'!F44</f>
        <v>9247.85</v>
      </c>
      <c r="W28" s="9">
        <f>'[5]NIFTY-I'!G44</f>
        <v>9286.5499999999993</v>
      </c>
      <c r="X28" s="12">
        <f>'[5]NIFTY-I'!H44</f>
        <v>91210</v>
      </c>
      <c r="Y28" s="115"/>
      <c r="Z28" s="122">
        <f t="shared" si="36"/>
        <v>4.9375510617869454E-3</v>
      </c>
      <c r="AA28" s="19">
        <f t="shared" si="18"/>
        <v>2.5121577864703633E-3</v>
      </c>
      <c r="AB28" s="305">
        <f>IF(OR(SUM(Z8:Z28)=0,SUM('BNF-Nifty'!AA8:AA28)=0),0,(_xlfn.COVARIANCE.P(Z8:Z28,'BNF-Nifty'!AA8:AA28)/_xlfn.VAR.P('BNF-Nifty'!AA8:AA28)))</f>
        <v>0.94367855626674557</v>
      </c>
      <c r="AC28" s="306">
        <f>IF(OR(SUM(AA8:AA28)=0,SUM('BNF-Nifty'!AA8:AA28)=0),0,(_xlfn.COVARIANCE.P(AA8:AA28,'BNF-Nifty'!AA8:AA28)/_xlfn.VAR.P('BNF-Nifty'!AA8:AA28)))</f>
        <v>1</v>
      </c>
      <c r="AD28" s="122">
        <f t="shared" si="0"/>
        <v>-1.8833788203124165E-3</v>
      </c>
      <c r="AE28" s="364">
        <f t="shared" si="124"/>
        <v>5.2421198610386757E-2</v>
      </c>
      <c r="AF28" s="513">
        <f t="shared" si="1"/>
        <v>-1.5410482175576032E-3</v>
      </c>
      <c r="AG28" s="522">
        <f t="shared" si="125"/>
        <v>-8.2083031494589703E-2</v>
      </c>
      <c r="AH28" s="466">
        <f t="shared" si="37"/>
        <v>4.9375510617869454E-3</v>
      </c>
      <c r="AI28" s="17">
        <f t="shared" si="38"/>
        <v>5.914309133378347E-3</v>
      </c>
      <c r="AJ28" s="17">
        <f t="shared" si="39"/>
        <v>5.8602964091347791E-3</v>
      </c>
      <c r="AK28" s="314">
        <f t="shared" si="40"/>
        <v>0.11196080569138944</v>
      </c>
      <c r="AL28" s="467">
        <f t="shared" si="41"/>
        <v>2.5121577864703633E-3</v>
      </c>
      <c r="AM28" s="18">
        <f t="shared" si="49"/>
        <v>4.7954336219197041E-3</v>
      </c>
      <c r="AN28" s="18">
        <f t="shared" si="19"/>
        <v>4.6898900636956377E-3</v>
      </c>
      <c r="AO28" s="385">
        <f t="shared" si="42"/>
        <v>8.9600223858459976E-2</v>
      </c>
      <c r="AP28" s="10">
        <f t="shared" si="2"/>
        <v>8.99352527505317E-3</v>
      </c>
      <c r="AQ28" s="17">
        <f t="shared" si="43"/>
        <v>8.552783157201916E-3</v>
      </c>
      <c r="AR28" s="17">
        <f t="shared" si="44"/>
        <v>8.5798661739243335E-3</v>
      </c>
      <c r="AS28" s="314">
        <f t="shared" si="45"/>
        <v>0.16391811309399154</v>
      </c>
      <c r="AT28" s="448">
        <f t="shared" si="3"/>
        <v>5.0693912594506419E-3</v>
      </c>
      <c r="AU28" s="18">
        <f t="shared" si="50"/>
        <v>5.5706351486624339E-3</v>
      </c>
      <c r="AV28" s="18">
        <f t="shared" si="20"/>
        <v>5.5418391411539737E-3</v>
      </c>
      <c r="AW28" s="385">
        <f t="shared" si="46"/>
        <v>0.10587668812937798</v>
      </c>
      <c r="AX28" s="6">
        <f t="shared" si="4"/>
        <v>1176860598.1000001</v>
      </c>
      <c r="AY28" s="319">
        <v>0</v>
      </c>
      <c r="AZ28" s="140">
        <f t="shared" si="5"/>
        <v>846428800</v>
      </c>
      <c r="BA28" s="481">
        <v>0</v>
      </c>
      <c r="BB28" s="135">
        <f t="shared" si="98"/>
        <v>1244191832.7789712</v>
      </c>
      <c r="BC28" s="21">
        <f t="shared" si="99"/>
        <v>58567.358258314183</v>
      </c>
      <c r="BD28" s="319">
        <f t="shared" si="100"/>
        <v>21243.775880950659</v>
      </c>
      <c r="BE28" s="21">
        <f t="shared" si="6"/>
        <v>21649.45</v>
      </c>
      <c r="BF28" s="21">
        <f t="shared" si="7"/>
        <v>1179765128.3</v>
      </c>
      <c r="BG28" s="21">
        <f t="shared" si="59"/>
        <v>1185954284.344408</v>
      </c>
      <c r="BH28" s="21">
        <f t="shared" si="55"/>
        <v>55166.926326190711</v>
      </c>
      <c r="BI28" s="332">
        <f t="shared" si="56"/>
        <v>21497.559558277793</v>
      </c>
      <c r="BJ28" s="141">
        <f t="shared" si="101"/>
        <v>1055899393.4090458</v>
      </c>
      <c r="BK28" s="118">
        <f t="shared" si="102"/>
        <v>115508.82120553327</v>
      </c>
      <c r="BL28" s="329">
        <f t="shared" si="107"/>
        <v>9141.2879327216669</v>
      </c>
      <c r="BM28" s="118">
        <f t="shared" si="8"/>
        <v>9276.4166666666661</v>
      </c>
      <c r="BN28" s="118">
        <f t="shared" si="9"/>
        <v>846101964.16666663</v>
      </c>
      <c r="BO28" s="118">
        <f t="shared" si="60"/>
        <v>1011092202.5007958</v>
      </c>
      <c r="BP28" s="118">
        <f t="shared" si="57"/>
        <v>109854.18582407005</v>
      </c>
      <c r="BQ28" s="325">
        <f t="shared" si="61"/>
        <v>9203.9478961688892</v>
      </c>
      <c r="BR28" s="6">
        <f t="shared" si="10"/>
        <v>1173533739.3999999</v>
      </c>
      <c r="BS28" s="8">
        <f t="shared" si="11"/>
        <v>1184135547.1000001</v>
      </c>
      <c r="BT28" s="331">
        <f t="shared" si="86"/>
        <v>21250.215077831017</v>
      </c>
      <c r="BU28" s="319">
        <f t="shared" si="51"/>
        <v>21403.339871588039</v>
      </c>
      <c r="BV28" s="319">
        <f t="shared" si="52"/>
        <v>21599.750072786188</v>
      </c>
      <c r="BW28" s="331">
        <v>0</v>
      </c>
      <c r="BX28" s="319">
        <f t="shared" si="87"/>
        <v>21160.373200562644</v>
      </c>
      <c r="BY28" s="332">
        <f t="shared" si="88"/>
        <v>21366.167009947781</v>
      </c>
      <c r="BZ28" s="140">
        <f t="shared" si="12"/>
        <v>843496398.5</v>
      </c>
      <c r="CA28" s="142">
        <f t="shared" si="13"/>
        <v>847783268.5</v>
      </c>
      <c r="CB28" s="339">
        <f t="shared" si="89"/>
        <v>9147.229696875429</v>
      </c>
      <c r="CC28" s="329">
        <f t="shared" si="53"/>
        <v>9168.7883716735323</v>
      </c>
      <c r="CD28" s="329">
        <f t="shared" si="54"/>
        <v>9211.7318478835259</v>
      </c>
      <c r="CE28" s="339">
        <v>0</v>
      </c>
      <c r="CF28" s="329">
        <f t="shared" si="90"/>
        <v>9118.1685724765102</v>
      </c>
      <c r="CG28" s="325">
        <f t="shared" si="91"/>
        <v>9170.1121155909586</v>
      </c>
      <c r="CH28" s="20">
        <f t="shared" si="92"/>
        <v>1241592765.2944663</v>
      </c>
      <c r="CI28" s="21">
        <f t="shared" si="93"/>
        <v>58265.684451120738</v>
      </c>
      <c r="CJ28" s="21">
        <f t="shared" si="94"/>
        <v>21309.159533447895</v>
      </c>
      <c r="CK28" s="21">
        <v>0</v>
      </c>
      <c r="CL28" s="21">
        <v>0</v>
      </c>
      <c r="CM28" s="21">
        <v>0</v>
      </c>
      <c r="CN28" s="342">
        <v>0</v>
      </c>
      <c r="CO28" s="342">
        <v>0</v>
      </c>
      <c r="CP28" s="343">
        <v>0</v>
      </c>
      <c r="CQ28" s="141">
        <f t="shared" si="95"/>
        <v>1056969974.8436322</v>
      </c>
      <c r="CR28" s="118">
        <f t="shared" si="96"/>
        <v>115523.34113096296</v>
      </c>
      <c r="CS28" s="118">
        <f t="shared" si="104"/>
        <v>9149.4062108660692</v>
      </c>
      <c r="CT28" s="118"/>
      <c r="CU28" s="118"/>
      <c r="CV28" s="118">
        <v>0</v>
      </c>
      <c r="CW28" s="350">
        <v>0</v>
      </c>
      <c r="CX28" s="350">
        <v>0</v>
      </c>
      <c r="CY28" s="351">
        <v>0</v>
      </c>
      <c r="CZ28" s="20">
        <f t="shared" si="21"/>
        <v>110.61666666666861</v>
      </c>
      <c r="DA28" s="21">
        <f t="shared" si="22"/>
        <v>1179765128.3</v>
      </c>
      <c r="DB28" s="21">
        <f t="shared" si="23"/>
        <v>0</v>
      </c>
      <c r="DC28" s="21">
        <f t="shared" si="114"/>
        <v>908589579.89197922</v>
      </c>
      <c r="DD28" s="21">
        <f t="shared" si="115"/>
        <v>356990751.46788448</v>
      </c>
      <c r="DE28" s="21">
        <f t="shared" si="116"/>
        <v>2.5451347861422611</v>
      </c>
      <c r="DF28" s="342">
        <f t="shared" si="117"/>
        <v>71.792327786550018</v>
      </c>
      <c r="DG28" s="342">
        <v>0</v>
      </c>
      <c r="DH28" s="355">
        <v>0</v>
      </c>
      <c r="DI28" s="141">
        <f t="shared" si="24"/>
        <v>29.5</v>
      </c>
      <c r="DJ28" s="118">
        <f t="shared" si="25"/>
        <v>846101964.16666663</v>
      </c>
      <c r="DK28" s="118">
        <f t="shared" si="26"/>
        <v>0</v>
      </c>
      <c r="DL28" s="118">
        <f t="shared" si="118"/>
        <v>842449157.80036616</v>
      </c>
      <c r="DM28" s="118">
        <f t="shared" si="119"/>
        <v>220043200.5473637</v>
      </c>
      <c r="DN28" s="118">
        <f t="shared" si="120"/>
        <v>3.8285625536474202</v>
      </c>
      <c r="DO28" s="350">
        <f t="shared" si="121"/>
        <v>79.289902763201951</v>
      </c>
      <c r="DP28" s="350">
        <v>0</v>
      </c>
      <c r="DQ28" s="351">
        <v>0</v>
      </c>
      <c r="DR28" s="135">
        <f t="shared" si="27"/>
        <v>194.55000000000291</v>
      </c>
      <c r="DS28" s="20">
        <f t="shared" si="28"/>
        <v>10601807.700000159</v>
      </c>
      <c r="DT28" s="21">
        <f t="shared" si="140"/>
        <v>13511466.527340723</v>
      </c>
      <c r="DU28" s="21">
        <f t="shared" si="135"/>
        <v>59596.39204321849</v>
      </c>
      <c r="DV28" s="319">
        <f t="shared" si="136"/>
        <v>226.71618304581915</v>
      </c>
      <c r="DW28" s="21">
        <f t="shared" si="137"/>
        <v>4534.3236609163832</v>
      </c>
      <c r="DX28" s="21">
        <f>DW28*'Base Data'!$D$10</f>
        <v>9068.6473218327665</v>
      </c>
      <c r="DY28" s="363">
        <f>IF(INT(('Base Data'!$D$7)/DX28)=0,0,INT(('Base Data'!$D$7)/DX28))</f>
        <v>1</v>
      </c>
      <c r="DZ28" s="364">
        <f t="shared" si="126"/>
        <v>1.0455652338440995E-2</v>
      </c>
      <c r="EA28" s="141">
        <f t="shared" si="29"/>
        <v>47</v>
      </c>
      <c r="EB28" s="143">
        <f t="shared" si="30"/>
        <v>4286870</v>
      </c>
      <c r="EC28" s="118">
        <f t="shared" si="141"/>
        <v>7949727.1249686787</v>
      </c>
      <c r="ED28" s="118">
        <f t="shared" si="138"/>
        <v>111408.37787556795</v>
      </c>
      <c r="EE28" s="329">
        <f t="shared" si="139"/>
        <v>71.356636516579854</v>
      </c>
      <c r="EF28" s="118">
        <f t="shared" si="127"/>
        <v>5351.7477387434892</v>
      </c>
      <c r="EG28" s="118">
        <f>EF28*'Base Data'!$D$10</f>
        <v>10703.495477486978</v>
      </c>
      <c r="EH28" s="375">
        <f>IF(INT(('Base Data'!$D$7)/EG28)=0,0,INT(('Base Data'!$D$7)/EG28))</f>
        <v>0</v>
      </c>
      <c r="EI28" s="376">
        <f t="shared" si="128"/>
        <v>7.6838693073940116E-3</v>
      </c>
      <c r="EJ28" s="135">
        <f t="shared" si="31"/>
        <v>194.55000000000291</v>
      </c>
      <c r="EK28" s="21">
        <f t="shared" si="32"/>
        <v>10601807.700000159</v>
      </c>
      <c r="EL28" s="21">
        <f t="shared" si="78"/>
        <v>11405383.486081738</v>
      </c>
      <c r="EM28" s="21">
        <f t="shared" si="74"/>
        <v>57054.087143605291</v>
      </c>
      <c r="EN28" s="319">
        <f t="shared" si="75"/>
        <v>199.90475804782147</v>
      </c>
      <c r="EO28" s="21">
        <f t="shared" si="64"/>
        <v>3998.0951609564295</v>
      </c>
      <c r="EP28" s="21">
        <f>EO28*'Base Data'!$D$13</f>
        <v>2998.5713707173222</v>
      </c>
      <c r="EQ28" s="363">
        <f>IF(INT(('Base Data'!$D$7)/EP28)=0,0,INT(('Base Data'!$D$7)/EP28))</f>
        <v>3</v>
      </c>
      <c r="ER28" s="314">
        <f t="shared" si="65"/>
        <v>9.2191683137404067E-3</v>
      </c>
      <c r="ES28" s="143">
        <f t="shared" si="33"/>
        <v>47</v>
      </c>
      <c r="ET28" s="118">
        <f t="shared" si="34"/>
        <v>4286870</v>
      </c>
      <c r="EU28" s="118">
        <f t="shared" si="79"/>
        <v>6401363.9350691009</v>
      </c>
      <c r="EV28" s="118">
        <f t="shared" si="76"/>
        <v>114364.50084270354</v>
      </c>
      <c r="EW28" s="329">
        <f t="shared" si="77"/>
        <v>55.973347392767536</v>
      </c>
      <c r="EX28" s="118">
        <f t="shared" si="66"/>
        <v>4198.0010544575653</v>
      </c>
      <c r="EY28" s="118">
        <f>EX28*'Base Data'!$D$13</f>
        <v>3148.5007908431739</v>
      </c>
      <c r="EZ28" s="375">
        <f>IF(INT(('Base Data'!$D$7)/EY28)=0,0,INT(('Base Data'!$D$7)/EY28))</f>
        <v>3</v>
      </c>
      <c r="FA28" s="385">
        <f t="shared" si="67"/>
        <v>6.0273564879064385E-3</v>
      </c>
      <c r="FB28" s="397">
        <f t="shared" si="129"/>
        <v>2.6267896110678457</v>
      </c>
      <c r="FC28" s="403">
        <f t="shared" si="68"/>
        <v>1.9846951311938523</v>
      </c>
      <c r="FD28" s="510">
        <f t="shared" si="130"/>
        <v>2.8204181892569329</v>
      </c>
      <c r="FE28" s="509">
        <f t="shared" si="69"/>
        <v>2.5783848930925521</v>
      </c>
      <c r="FF28" s="20">
        <f t="shared" si="14"/>
        <v>194.55000000000291</v>
      </c>
      <c r="FG28" s="17">
        <f t="shared" si="15"/>
        <v>9.0085501350936573E-3</v>
      </c>
      <c r="FH28" s="388">
        <f t="shared" si="70"/>
        <v>8.5780528411221867E-3</v>
      </c>
      <c r="FI28" s="388">
        <f t="shared" si="105"/>
        <v>9.3078087283543116E-3</v>
      </c>
      <c r="FJ28" s="314">
        <f t="shared" si="131"/>
        <v>9.0374065256047433E-3</v>
      </c>
      <c r="FK28" s="442">
        <f t="shared" si="16"/>
        <v>47</v>
      </c>
      <c r="FL28" s="18">
        <f t="shared" si="17"/>
        <v>5.0646551724137928E-3</v>
      </c>
      <c r="FM28" s="394">
        <f t="shared" si="71"/>
        <v>5.2075214840048064E-3</v>
      </c>
      <c r="FN28" s="394">
        <f t="shared" si="106"/>
        <v>5.5146906535734203E-3</v>
      </c>
      <c r="FO28" s="385">
        <f t="shared" si="132"/>
        <v>5.7777792971185514E-3</v>
      </c>
      <c r="FP28" s="416">
        <f t="shared" si="47"/>
        <v>2</v>
      </c>
      <c r="FQ28" s="417">
        <f t="shared" si="48"/>
        <v>2</v>
      </c>
      <c r="FR28" s="415">
        <f t="shared" si="122"/>
        <v>83.172002978406084</v>
      </c>
      <c r="FS28" s="413" t="str">
        <f t="shared" si="133"/>
        <v>T-D</v>
      </c>
      <c r="FT28" s="404">
        <f t="shared" si="123"/>
        <v>79.390495867768351</v>
      </c>
      <c r="FU28" s="414" t="str">
        <f t="shared" si="134"/>
        <v>T-D</v>
      </c>
      <c r="FV28" s="415">
        <f t="shared" si="62"/>
        <v>70.816486239728263</v>
      </c>
      <c r="FW28" s="413" t="str">
        <f t="shared" si="72"/>
        <v>T-D</v>
      </c>
      <c r="FX28" s="404">
        <f t="shared" si="63"/>
        <v>64.811248073959845</v>
      </c>
      <c r="FY28" s="414" t="str">
        <f t="shared" si="73"/>
        <v>T-D</v>
      </c>
    </row>
    <row r="29" spans="1:181" ht="11.15" thickBot="1" x14ac:dyDescent="0.35">
      <c r="A29" s="113" t="s">
        <v>55</v>
      </c>
      <c r="B29" s="430">
        <f ca="1">IF($H$11=0,IF($AK$69&gt;=50%,E20,E23),IF($AK$69&gt;=50%,E20/1000,E23/1000))</f>
        <v>25778.859854460577</v>
      </c>
      <c r="C29" s="431">
        <f ca="1">IF($H$11=0,IF($AK$69&gt;=50%,F20,F23),IF($AK$69&gt;=50%,F20/1000,F23/1000))</f>
        <v>25731.707364126374</v>
      </c>
      <c r="D29" s="431">
        <f ca="1">IF($H$11=0,IF($AK$69&gt;=50%,F19,F21),IF($AK$69&gt;=50%,F19/1000,F21/1000))</f>
        <v>25714.504910660165</v>
      </c>
      <c r="E29" s="431">
        <f ca="1">IF($H$11=0,IF($AK$69&gt;=50%,F18,F20),IF($AK$69&gt;=50%,F18/1000,F20/1000))</f>
        <v>25686.4098592511</v>
      </c>
      <c r="F29" s="431">
        <f ca="1">IF($H$11=0,IF($AK$69&gt;=50%,F17,F19),IF($AK$69&gt;=50%,F17/1000,F19/1000))</f>
        <v>25659.028560842478</v>
      </c>
      <c r="G29" s="431">
        <f ca="1">IF($H$11=0,IF($AK$69&gt;=50%,F16,F18),IF($AK$69&gt;=50%,F16/1000,F18/1000))</f>
        <v>25648.274373221935</v>
      </c>
      <c r="H29" s="431">
        <f ca="1">IF($H$11=0,IF($AK$69&gt;=50%,F15,F17),IF($AK$69&gt;=50%,F15/1000,F17/1000))</f>
        <v>25642.939562056967</v>
      </c>
      <c r="I29" s="431">
        <f ca="1">IF($H$11=0,IF($AK$69&gt;=50%,0,F16),IF($AK$69&gt;=50%,0,F16/1000))</f>
        <v>25632.35423375028</v>
      </c>
      <c r="J29" s="432">
        <f ca="1">IF($H$11=0,IF($AK$69&gt;=50%,0,F15),IF($AK$69&gt;=50%,0,F15/1000))</f>
        <v>25627.103608101617</v>
      </c>
      <c r="L29" s="283">
        <f t="shared" si="35"/>
        <v>26</v>
      </c>
      <c r="M29" s="290">
        <f>'[4]BANKNIFTY-I'!C45</f>
        <v>42831</v>
      </c>
      <c r="N29" s="7">
        <f>'[4]BANKNIFTY-I'!D45</f>
        <v>21594</v>
      </c>
      <c r="O29" s="7">
        <f>'[4]BANKNIFTY-I'!E45</f>
        <v>21723.25</v>
      </c>
      <c r="P29" s="7">
        <f>'[4]BANKNIFTY-I'!F45</f>
        <v>21501</v>
      </c>
      <c r="Q29" s="7">
        <f>'[4]BANKNIFTY-I'!G45</f>
        <v>21642.799999999999</v>
      </c>
      <c r="R29" s="11">
        <f>'[4]BANKNIFTY-I'!H45</f>
        <v>77061</v>
      </c>
      <c r="S29" s="291">
        <f>'[5]NIFTY-I'!C45</f>
        <v>42831</v>
      </c>
      <c r="T29" s="9">
        <f>'[5]NIFTY-I'!D45</f>
        <v>9254.7999999999993</v>
      </c>
      <c r="U29" s="9">
        <f>'[5]NIFTY-I'!E45</f>
        <v>9283</v>
      </c>
      <c r="V29" s="9">
        <f>'[5]NIFTY-I'!F45</f>
        <v>9231</v>
      </c>
      <c r="W29" s="9">
        <f>'[5]NIFTY-I'!G45</f>
        <v>9272.25</v>
      </c>
      <c r="X29" s="12">
        <f>'[5]NIFTY-I'!H45</f>
        <v>103953</v>
      </c>
      <c r="Y29" s="115"/>
      <c r="Z29" s="122">
        <f t="shared" si="36"/>
        <v>-1.8833788203124165E-3</v>
      </c>
      <c r="AA29" s="19">
        <f t="shared" si="18"/>
        <v>-1.5410482175576032E-3</v>
      </c>
      <c r="AB29" s="305">
        <f>IF(OR(SUM(Z9:Z29)=0,SUM('BNF-Nifty'!AA9:AA29)=0),0,(_xlfn.COVARIANCE.P(Z9:Z29,'BNF-Nifty'!AA9:AA29)/_xlfn.VAR.P('BNF-Nifty'!AA9:AA29)))</f>
        <v>0.94272499413478117</v>
      </c>
      <c r="AC29" s="306">
        <f>IF(OR(SUM(AA9:AA29)=0,SUM('BNF-Nifty'!AA9:AA29)=0),0,(_xlfn.COVARIANCE.P(AA9:AA29,'BNF-Nifty'!AA9:AA29)/_xlfn.VAR.P('BNF-Nifty'!AA9:AA29)))</f>
        <v>1.0000000000000002</v>
      </c>
      <c r="AD29" s="122">
        <f t="shared" si="0"/>
        <v>-9.3142246009390757E-3</v>
      </c>
      <c r="AE29" s="364">
        <f t="shared" si="124"/>
        <v>0.12117296928929933</v>
      </c>
      <c r="AF29" s="513">
        <f t="shared" si="1"/>
        <v>-6.5787931299257953E-3</v>
      </c>
      <c r="AG29" s="522">
        <f t="shared" si="125"/>
        <v>-1.9451199586335562E-2</v>
      </c>
      <c r="AH29" s="466">
        <f t="shared" si="37"/>
        <v>-1.8833788203124165E-3</v>
      </c>
      <c r="AI29" s="17">
        <f t="shared" si="38"/>
        <v>5.8602964091347791E-3</v>
      </c>
      <c r="AJ29" s="17">
        <f t="shared" si="39"/>
        <v>5.7004663414137432E-3</v>
      </c>
      <c r="AK29" s="314">
        <f t="shared" si="40"/>
        <v>0.1089072565350937</v>
      </c>
      <c r="AL29" s="467">
        <f t="shared" si="41"/>
        <v>-1.5410482175576032E-3</v>
      </c>
      <c r="AM29" s="18">
        <f t="shared" si="49"/>
        <v>4.6898900636956377E-3</v>
      </c>
      <c r="AN29" s="18">
        <f t="shared" si="19"/>
        <v>4.5626587049118908E-3</v>
      </c>
      <c r="AO29" s="385">
        <f t="shared" si="42"/>
        <v>8.7169472161935865E-2</v>
      </c>
      <c r="AP29" s="10">
        <f t="shared" si="2"/>
        <v>1.0283669868014905E-2</v>
      </c>
      <c r="AQ29" s="17">
        <f t="shared" si="43"/>
        <v>8.5798661739243335E-3</v>
      </c>
      <c r="AR29" s="17">
        <f t="shared" si="44"/>
        <v>8.6915182394080599E-3</v>
      </c>
      <c r="AS29" s="314">
        <f t="shared" si="45"/>
        <v>0.16605122280994045</v>
      </c>
      <c r="AT29" s="448">
        <f t="shared" si="3"/>
        <v>5.6173854097809721E-3</v>
      </c>
      <c r="AU29" s="18">
        <f t="shared" si="50"/>
        <v>5.5418391411539737E-3</v>
      </c>
      <c r="AV29" s="18">
        <f t="shared" si="20"/>
        <v>5.5464009351075452E-3</v>
      </c>
      <c r="AW29" s="385">
        <f t="shared" si="46"/>
        <v>0.10596384108048874</v>
      </c>
      <c r="AX29" s="6">
        <f t="shared" si="4"/>
        <v>1664055234</v>
      </c>
      <c r="AY29" s="319">
        <v>0</v>
      </c>
      <c r="AZ29" s="140">
        <f t="shared" si="5"/>
        <v>962064224.39999998</v>
      </c>
      <c r="BA29" s="481">
        <v>0</v>
      </c>
      <c r="BB29" s="135">
        <f t="shared" si="98"/>
        <v>1304172318.6676896</v>
      </c>
      <c r="BC29" s="21">
        <f t="shared" si="99"/>
        <v>61209.307078555015</v>
      </c>
      <c r="BD29" s="319">
        <f t="shared" si="100"/>
        <v>21306.76494987823</v>
      </c>
      <c r="BE29" s="21">
        <f t="shared" si="6"/>
        <v>21622.350000000002</v>
      </c>
      <c r="BF29" s="21">
        <f t="shared" si="7"/>
        <v>1666239913.3500001</v>
      </c>
      <c r="BG29" s="21">
        <f t="shared" si="59"/>
        <v>1346049494.0129387</v>
      </c>
      <c r="BH29" s="21">
        <f t="shared" si="55"/>
        <v>62464.950884127138</v>
      </c>
      <c r="BI29" s="332">
        <f t="shared" si="56"/>
        <v>21548.876209153972</v>
      </c>
      <c r="BJ29" s="141">
        <f t="shared" si="101"/>
        <v>1042494369.2648964</v>
      </c>
      <c r="BK29" s="118">
        <f t="shared" si="102"/>
        <v>113857.9896047428</v>
      </c>
      <c r="BL29" s="329">
        <f t="shared" si="107"/>
        <v>9156.0932428537344</v>
      </c>
      <c r="BM29" s="118">
        <f t="shared" si="8"/>
        <v>9262.0833333333339</v>
      </c>
      <c r="BN29" s="118">
        <f t="shared" si="9"/>
        <v>962821348.75000012</v>
      </c>
      <c r="BO29" s="118">
        <f t="shared" si="60"/>
        <v>995001917.91719723</v>
      </c>
      <c r="BP29" s="118">
        <f t="shared" si="57"/>
        <v>107887.12388271336</v>
      </c>
      <c r="BQ29" s="325">
        <f t="shared" si="61"/>
        <v>9222.6197354087162</v>
      </c>
      <c r="BR29" s="6">
        <f t="shared" si="10"/>
        <v>1656888561</v>
      </c>
      <c r="BS29" s="8">
        <f t="shared" si="11"/>
        <v>1674015368.25</v>
      </c>
      <c r="BT29" s="331">
        <f t="shared" si="86"/>
        <v>21253.747379717333</v>
      </c>
      <c r="BU29" s="319">
        <f t="shared" si="51"/>
        <v>21458.756783264002</v>
      </c>
      <c r="BV29" s="319">
        <f t="shared" si="52"/>
        <v>21668.07896216241</v>
      </c>
      <c r="BW29" s="331">
        <v>0</v>
      </c>
      <c r="BX29" s="319">
        <f t="shared" si="87"/>
        <v>21192.251923354088</v>
      </c>
      <c r="BY29" s="332">
        <f t="shared" si="88"/>
        <v>21379.386423558586</v>
      </c>
      <c r="BZ29" s="140">
        <f t="shared" si="12"/>
        <v>959590143</v>
      </c>
      <c r="CA29" s="142">
        <f t="shared" si="13"/>
        <v>964995699</v>
      </c>
      <c r="CB29" s="339">
        <f t="shared" si="89"/>
        <v>9149.8047037710294</v>
      </c>
      <c r="CC29" s="329">
        <f t="shared" si="53"/>
        <v>9193.2355726541773</v>
      </c>
      <c r="CD29" s="329">
        <f t="shared" si="54"/>
        <v>9240.5204981597853</v>
      </c>
      <c r="CE29" s="339">
        <v>0</v>
      </c>
      <c r="CF29" s="329">
        <f t="shared" si="90"/>
        <v>9122.4666741829005</v>
      </c>
      <c r="CG29" s="325">
        <f t="shared" si="91"/>
        <v>9174.7375012002794</v>
      </c>
      <c r="CH29" s="20">
        <f t="shared" si="92"/>
        <v>1306923095.7645483</v>
      </c>
      <c r="CI29" s="21">
        <f t="shared" si="93"/>
        <v>61157.271458640622</v>
      </c>
      <c r="CJ29" s="21">
        <f t="shared" si="94"/>
        <v>21369.872536716961</v>
      </c>
      <c r="CK29" s="21">
        <f>AVERAGE(BF4:BF29)</f>
        <v>1294790872.8493588</v>
      </c>
      <c r="CL29" s="21">
        <f>AVERAGE(R4:R29)</f>
        <v>61412.576923076922</v>
      </c>
      <c r="CM29" s="21">
        <f>CK29/CL29</f>
        <v>21083.480578761009</v>
      </c>
      <c r="CN29" s="342">
        <f>(CJ29-CM29)</f>
        <v>286.39195795595151</v>
      </c>
      <c r="CO29" s="342">
        <v>0</v>
      </c>
      <c r="CP29" s="343">
        <v>0</v>
      </c>
      <c r="CQ29" s="141">
        <f t="shared" si="95"/>
        <v>1042485570.8292273</v>
      </c>
      <c r="CR29" s="118">
        <f t="shared" si="96"/>
        <v>113743.28864927635</v>
      </c>
      <c r="CS29" s="118">
        <f t="shared" si="104"/>
        <v>9165.2490727931818</v>
      </c>
      <c r="CT29" s="118">
        <f>AVERAGE(BN4:BN29)</f>
        <v>1020805949.9378204</v>
      </c>
      <c r="CU29" s="118">
        <f>AVERAGE(X4:X29)</f>
        <v>112387.46153846153</v>
      </c>
      <c r="CV29" s="118">
        <f>CT29/CU29</f>
        <v>9082.9166880726953</v>
      </c>
      <c r="CW29" s="350">
        <f>(CS29-CV29)</f>
        <v>82.332384720486516</v>
      </c>
      <c r="CX29" s="350">
        <v>0</v>
      </c>
      <c r="CY29" s="351">
        <v>0</v>
      </c>
      <c r="CZ29" s="20">
        <f t="shared" si="21"/>
        <v>-27.099999999998545</v>
      </c>
      <c r="DA29" s="21">
        <f t="shared" si="22"/>
        <v>0</v>
      </c>
      <c r="DB29" s="21">
        <f t="shared" si="23"/>
        <v>1666239913.3500001</v>
      </c>
      <c r="DC29" s="21">
        <f t="shared" si="114"/>
        <v>787444302.57304859</v>
      </c>
      <c r="DD29" s="21">
        <f t="shared" si="115"/>
        <v>531557306.38549989</v>
      </c>
      <c r="DE29" s="21">
        <f t="shared" si="116"/>
        <v>1.481391174787037</v>
      </c>
      <c r="DF29" s="342">
        <f t="shared" si="117"/>
        <v>59.7000259305821</v>
      </c>
      <c r="DG29" s="342">
        <v>0</v>
      </c>
      <c r="DH29" s="355">
        <v>0</v>
      </c>
      <c r="DI29" s="141">
        <f t="shared" si="24"/>
        <v>-14.333333333332121</v>
      </c>
      <c r="DJ29" s="118">
        <f t="shared" si="25"/>
        <v>0</v>
      </c>
      <c r="DK29" s="118">
        <f t="shared" si="26"/>
        <v>962821348.75000012</v>
      </c>
      <c r="DL29" s="118">
        <f t="shared" si="118"/>
        <v>730122603.42698407</v>
      </c>
      <c r="DM29" s="118">
        <f t="shared" si="119"/>
        <v>319080286.97438192</v>
      </c>
      <c r="DN29" s="118">
        <f t="shared" si="120"/>
        <v>2.2882096865031452</v>
      </c>
      <c r="DO29" s="350">
        <f t="shared" si="121"/>
        <v>69.588314148437036</v>
      </c>
      <c r="DP29" s="350">
        <v>0</v>
      </c>
      <c r="DQ29" s="351">
        <v>0</v>
      </c>
      <c r="DR29" s="135">
        <f t="shared" si="27"/>
        <v>222.25</v>
      </c>
      <c r="DS29" s="20">
        <f t="shared" si="28"/>
        <v>17126807.25</v>
      </c>
      <c r="DT29" s="21">
        <f t="shared" si="140"/>
        <v>13840133.865764294</v>
      </c>
      <c r="DU29" s="21">
        <f t="shared" si="135"/>
        <v>61184.083675653172</v>
      </c>
      <c r="DV29" s="319">
        <f t="shared" si="136"/>
        <v>226.20480743216007</v>
      </c>
      <c r="DW29" s="21">
        <f t="shared" si="137"/>
        <v>4524.0961486432016</v>
      </c>
      <c r="DX29" s="21">
        <f>DW29*'Base Data'!$D$10</f>
        <v>9048.1922972864031</v>
      </c>
      <c r="DY29" s="363">
        <f>IF(INT(('Base Data'!$D$7)/DX29)=0,0,INT(('Base Data'!$D$7)/DX29))</f>
        <v>1</v>
      </c>
      <c r="DZ29" s="364">
        <f t="shared" si="126"/>
        <v>1.0451734869432794E-2</v>
      </c>
      <c r="EA29" s="141">
        <f t="shared" si="29"/>
        <v>55.549999999999272</v>
      </c>
      <c r="EB29" s="143">
        <f t="shared" si="30"/>
        <v>5774589.149999924</v>
      </c>
      <c r="EC29" s="118">
        <f t="shared" si="141"/>
        <v>7751987.3090624278</v>
      </c>
      <c r="ED29" s="118">
        <f t="shared" si="138"/>
        <v>110730.61625051632</v>
      </c>
      <c r="EE29" s="329">
        <f t="shared" si="139"/>
        <v>70.00762365057534</v>
      </c>
      <c r="EF29" s="118">
        <f t="shared" si="127"/>
        <v>5250.5717737931509</v>
      </c>
      <c r="EG29" s="118">
        <f>EF29*'Base Data'!$D$10</f>
        <v>10501.143547586302</v>
      </c>
      <c r="EH29" s="375">
        <f>IF(INT(('Base Data'!$D$7)/EG29)=0,0,INT(('Base Data'!$D$7)/EG29))</f>
        <v>0</v>
      </c>
      <c r="EI29" s="376">
        <f t="shared" si="128"/>
        <v>7.5502303810375407E-3</v>
      </c>
      <c r="EJ29" s="135">
        <f t="shared" si="31"/>
        <v>222.25</v>
      </c>
      <c r="EK29" s="21">
        <f t="shared" si="32"/>
        <v>17126807.25</v>
      </c>
      <c r="EL29" s="21">
        <f t="shared" si="78"/>
        <v>12676810.989174685</v>
      </c>
      <c r="EM29" s="21">
        <f t="shared" si="74"/>
        <v>61500.067778359669</v>
      </c>
      <c r="EN29" s="319">
        <f t="shared" si="75"/>
        <v>206.12678078438373</v>
      </c>
      <c r="EO29" s="21">
        <f t="shared" si="64"/>
        <v>4122.5356156876742</v>
      </c>
      <c r="EP29" s="21">
        <f>EO29*'Base Data'!$D$13</f>
        <v>3091.9017117657559</v>
      </c>
      <c r="EQ29" s="363">
        <f>IF(INT(('Base Data'!$D$7)/EP29)=0,0,INT(('Base Data'!$D$7)/EP29))</f>
        <v>3</v>
      </c>
      <c r="ER29" s="314">
        <f t="shared" si="65"/>
        <v>9.5240348191723678E-3</v>
      </c>
      <c r="ES29" s="143">
        <f t="shared" si="33"/>
        <v>55.549999999999272</v>
      </c>
      <c r="ET29" s="118">
        <f t="shared" si="34"/>
        <v>5774589.149999924</v>
      </c>
      <c r="EU29" s="118">
        <f t="shared" si="79"/>
        <v>6262080.649498173</v>
      </c>
      <c r="EV29" s="118">
        <f t="shared" si="76"/>
        <v>112050.83398876942</v>
      </c>
      <c r="EW29" s="329">
        <f t="shared" si="77"/>
        <v>55.886069086516628</v>
      </c>
      <c r="EX29" s="118">
        <f t="shared" si="66"/>
        <v>4191.4551814887473</v>
      </c>
      <c r="EY29" s="118">
        <f>EX29*'Base Data'!$D$13</f>
        <v>3143.5913861165604</v>
      </c>
      <c r="EZ29" s="375">
        <f>IF(INT(('Base Data'!$D$7)/EY29)=0,0,INT(('Base Data'!$D$7)/EY29))</f>
        <v>3</v>
      </c>
      <c r="FA29" s="385">
        <f t="shared" si="67"/>
        <v>6.0272392446835046E-3</v>
      </c>
      <c r="FB29" s="397">
        <f t="shared" si="129"/>
        <v>2.2240239999576361</v>
      </c>
      <c r="FC29" s="403">
        <f t="shared" si="68"/>
        <v>1.2855559039520732</v>
      </c>
      <c r="FD29" s="510">
        <f t="shared" si="130"/>
        <v>2.4209268147604455</v>
      </c>
      <c r="FE29" s="509">
        <f t="shared" si="69"/>
        <v>1.9245628071191221</v>
      </c>
      <c r="FF29" s="20">
        <f t="shared" si="14"/>
        <v>222.25</v>
      </c>
      <c r="FG29" s="17">
        <f t="shared" si="15"/>
        <v>1.0292210799296101E-2</v>
      </c>
      <c r="FH29" s="388">
        <f t="shared" si="70"/>
        <v>8.4135733429416912E-3</v>
      </c>
      <c r="FI29" s="388">
        <f t="shared" si="105"/>
        <v>8.3695153530056101E-3</v>
      </c>
      <c r="FJ29" s="314">
        <f t="shared" si="131"/>
        <v>9.0814674154969573E-3</v>
      </c>
      <c r="FK29" s="442">
        <f t="shared" si="16"/>
        <v>52</v>
      </c>
      <c r="FL29" s="18">
        <f t="shared" si="17"/>
        <v>5.6187059687945722E-3</v>
      </c>
      <c r="FM29" s="394">
        <f t="shared" si="71"/>
        <v>5.2641482959392711E-3</v>
      </c>
      <c r="FN29" s="394">
        <f t="shared" si="106"/>
        <v>5.5498780885533099E-3</v>
      </c>
      <c r="FO29" s="385">
        <f t="shared" si="132"/>
        <v>5.7439537199670612E-3</v>
      </c>
      <c r="FP29" s="416">
        <f t="shared" si="47"/>
        <v>2</v>
      </c>
      <c r="FQ29" s="417">
        <f t="shared" si="48"/>
        <v>2</v>
      </c>
      <c r="FR29" s="415">
        <f t="shared" si="122"/>
        <v>81.008278218211871</v>
      </c>
      <c r="FS29" s="413" t="str">
        <f t="shared" si="133"/>
        <v>T-D</v>
      </c>
      <c r="FT29" s="404">
        <f t="shared" si="123"/>
        <v>77.001549586776619</v>
      </c>
      <c r="FU29" s="414" t="str">
        <f t="shared" si="134"/>
        <v>T-D</v>
      </c>
      <c r="FV29" s="415">
        <f t="shared" si="62"/>
        <v>73.345538378084825</v>
      </c>
      <c r="FW29" s="413" t="str">
        <f t="shared" si="72"/>
        <v>T-R</v>
      </c>
      <c r="FX29" s="404">
        <f t="shared" si="63"/>
        <v>78.697996918335505</v>
      </c>
      <c r="FY29" s="414" t="str">
        <f t="shared" si="73"/>
        <v>T-R</v>
      </c>
    </row>
    <row r="30" spans="1:181" x14ac:dyDescent="0.3">
      <c r="D30" s="116"/>
      <c r="E30" s="116"/>
      <c r="F30" s="116"/>
      <c r="G30" s="116"/>
      <c r="H30" s="116"/>
      <c r="I30" s="116"/>
      <c r="J30" s="116"/>
      <c r="L30" s="283">
        <f t="shared" si="35"/>
        <v>27</v>
      </c>
      <c r="M30" s="290">
        <f>'[4]BANKNIFTY-I'!C46</f>
        <v>42832</v>
      </c>
      <c r="N30" s="7">
        <f>'[4]BANKNIFTY-I'!D46</f>
        <v>21555.35</v>
      </c>
      <c r="O30" s="7">
        <f>'[4]BANKNIFTY-I'!E46</f>
        <v>21620</v>
      </c>
      <c r="P30" s="7">
        <f>'[4]BANKNIFTY-I'!F46</f>
        <v>21411</v>
      </c>
      <c r="Q30" s="7">
        <f>'[4]BANKNIFTY-I'!G46</f>
        <v>21442.15</v>
      </c>
      <c r="R30" s="11">
        <f>'[4]BANKNIFTY-I'!H46</f>
        <v>60287</v>
      </c>
      <c r="S30" s="291">
        <f>'[5]NIFTY-I'!C46</f>
        <v>42832</v>
      </c>
      <c r="T30" s="9">
        <f>'[5]NIFTY-I'!D46</f>
        <v>9234.7999999999993</v>
      </c>
      <c r="U30" s="9">
        <f>'[5]NIFTY-I'!E46</f>
        <v>9269.75</v>
      </c>
      <c r="V30" s="9">
        <f>'[5]NIFTY-I'!F46</f>
        <v>9200.4</v>
      </c>
      <c r="W30" s="9">
        <f>'[5]NIFTY-I'!G46</f>
        <v>9211.4500000000007</v>
      </c>
      <c r="X30" s="12">
        <f>'[5]NIFTY-I'!H46</f>
        <v>105144</v>
      </c>
      <c r="Y30" s="115"/>
      <c r="Z30" s="122">
        <f t="shared" si="36"/>
        <v>-9.3142246009390757E-3</v>
      </c>
      <c r="AA30" s="19">
        <f t="shared" si="18"/>
        <v>-6.5787931299257953E-3</v>
      </c>
      <c r="AB30" s="305">
        <f>IF(OR(SUM(Z10:Z30)=0,SUM('BNF-Nifty'!AA10:AA30)=0),0,(_xlfn.COVARIANCE.P(Z10:Z30,'BNF-Nifty'!AA10:AA30)/_xlfn.VAR.P('BNF-Nifty'!AA10:AA30)))</f>
        <v>0.98719542306897157</v>
      </c>
      <c r="AC30" s="306">
        <f>IF(OR(SUM(AA10:AA30)=0,SUM('BNF-Nifty'!AA10:AA30)=0),0,(_xlfn.COVARIANCE.P(AA10:AA30,'BNF-Nifty'!AA10:AA30)/_xlfn.VAR.P('BNF-Nifty'!AA10:AA30)))</f>
        <v>1.0000000000000004</v>
      </c>
      <c r="AD30" s="122">
        <f t="shared" si="0"/>
        <v>5.4277940749090153E-3</v>
      </c>
      <c r="AE30" s="364">
        <f t="shared" si="124"/>
        <v>6.646900400038068E-2</v>
      </c>
      <c r="AF30" s="513">
        <f t="shared" si="1"/>
        <v>-2.2800312788775099E-4</v>
      </c>
      <c r="AG30" s="522">
        <f t="shared" si="125"/>
        <v>-1.0785017987929345E-2</v>
      </c>
      <c r="AH30" s="466">
        <f t="shared" si="37"/>
        <v>-9.3142246009390757E-3</v>
      </c>
      <c r="AI30" s="17">
        <f t="shared" si="38"/>
        <v>5.7004663414137432E-3</v>
      </c>
      <c r="AJ30" s="17">
        <f t="shared" si="39"/>
        <v>5.9792043211467395E-3</v>
      </c>
      <c r="AK30" s="314">
        <f t="shared" si="40"/>
        <v>0.11423253816061885</v>
      </c>
      <c r="AL30" s="467">
        <f t="shared" si="41"/>
        <v>-6.5787931299257953E-3</v>
      </c>
      <c r="AM30" s="18">
        <f t="shared" si="49"/>
        <v>4.5626587049118908E-3</v>
      </c>
      <c r="AN30" s="18">
        <f t="shared" si="19"/>
        <v>4.7080372059744059E-3</v>
      </c>
      <c r="AO30" s="385">
        <f t="shared" si="42"/>
        <v>8.9946924524890462E-2</v>
      </c>
      <c r="AP30" s="10">
        <f t="shared" si="2"/>
        <v>9.7140035540222817E-3</v>
      </c>
      <c r="AQ30" s="17">
        <f t="shared" si="43"/>
        <v>8.6915182394080599E-3</v>
      </c>
      <c r="AR30" s="17">
        <f t="shared" si="44"/>
        <v>8.756235027136872E-3</v>
      </c>
      <c r="AS30" s="314">
        <f t="shared" si="45"/>
        <v>0.16728763530344198</v>
      </c>
      <c r="AT30" s="448">
        <f t="shared" si="3"/>
        <v>7.5094491271003386E-3</v>
      </c>
      <c r="AU30" s="18">
        <f t="shared" si="50"/>
        <v>5.5464009351075452E-3</v>
      </c>
      <c r="AV30" s="18">
        <f t="shared" si="20"/>
        <v>5.6833369691172298E-3</v>
      </c>
      <c r="AW30" s="385">
        <f t="shared" si="46"/>
        <v>0.10858000033687205</v>
      </c>
      <c r="AX30" s="6">
        <f t="shared" si="4"/>
        <v>1299507385.4499998</v>
      </c>
      <c r="AY30" s="319">
        <v>0</v>
      </c>
      <c r="AZ30" s="140">
        <f t="shared" si="5"/>
        <v>970983811.19999993</v>
      </c>
      <c r="BA30" s="481">
        <v>0</v>
      </c>
      <c r="BB30" s="135">
        <f t="shared" si="98"/>
        <v>1303505899.636591</v>
      </c>
      <c r="BC30" s="21">
        <f t="shared" si="99"/>
        <v>61077.548924475726</v>
      </c>
      <c r="BD30" s="319">
        <f t="shared" si="100"/>
        <v>21341.81745322518</v>
      </c>
      <c r="BE30" s="21">
        <f t="shared" si="6"/>
        <v>21491.05</v>
      </c>
      <c r="BF30" s="21">
        <f t="shared" si="7"/>
        <v>1295630931.3499999</v>
      </c>
      <c r="BG30" s="21">
        <f t="shared" si="59"/>
        <v>1329243306.4586258</v>
      </c>
      <c r="BH30" s="21">
        <f t="shared" si="55"/>
        <v>61738.967256084761</v>
      </c>
      <c r="BI30" s="332">
        <f t="shared" si="56"/>
        <v>21530.054121979512</v>
      </c>
      <c r="BJ30" s="141">
        <f t="shared" si="101"/>
        <v>1032278575.2556255</v>
      </c>
      <c r="BK30" s="118">
        <f t="shared" si="102"/>
        <v>112613.1339469224</v>
      </c>
      <c r="BL30" s="329">
        <f t="shared" si="107"/>
        <v>9166.5913120059886</v>
      </c>
      <c r="BM30" s="118">
        <f t="shared" si="8"/>
        <v>9227.2000000000007</v>
      </c>
      <c r="BN30" s="118">
        <f t="shared" si="9"/>
        <v>970184716.80000007</v>
      </c>
      <c r="BO30" s="118">
        <f t="shared" si="60"/>
        <v>986729517.54479814</v>
      </c>
      <c r="BP30" s="118">
        <f t="shared" si="57"/>
        <v>106972.74925514225</v>
      </c>
      <c r="BQ30" s="325">
        <f t="shared" si="61"/>
        <v>9224.1203896829393</v>
      </c>
      <c r="BR30" s="6">
        <f t="shared" si="10"/>
        <v>1290804957</v>
      </c>
      <c r="BS30" s="8">
        <f t="shared" si="11"/>
        <v>1303404940</v>
      </c>
      <c r="BT30" s="331">
        <f t="shared" si="86"/>
        <v>21278.451949957911</v>
      </c>
      <c r="BU30" s="319">
        <f t="shared" si="51"/>
        <v>21474.846114574604</v>
      </c>
      <c r="BV30" s="319">
        <f t="shared" si="52"/>
        <v>21661.971330609089</v>
      </c>
      <c r="BW30" s="331">
        <v>0</v>
      </c>
      <c r="BX30" s="319">
        <f t="shared" si="87"/>
        <v>21210.88070317746</v>
      </c>
      <c r="BY30" s="332">
        <f t="shared" si="88"/>
        <v>21403.345265005362</v>
      </c>
      <c r="BZ30" s="140">
        <f t="shared" si="12"/>
        <v>967366857.5999999</v>
      </c>
      <c r="CA30" s="142">
        <f t="shared" si="13"/>
        <v>974658594</v>
      </c>
      <c r="CB30" s="339">
        <f t="shared" si="89"/>
        <v>9154.8793492312143</v>
      </c>
      <c r="CC30" s="329">
        <f t="shared" si="53"/>
        <v>9211.3038053839555</v>
      </c>
      <c r="CD30" s="329">
        <f t="shared" si="54"/>
        <v>9266.1183878415777</v>
      </c>
      <c r="CE30" s="339">
        <v>0</v>
      </c>
      <c r="CF30" s="329">
        <f t="shared" si="90"/>
        <v>9126.8505190323758</v>
      </c>
      <c r="CG30" s="325">
        <f t="shared" si="91"/>
        <v>9181.6838672841604</v>
      </c>
      <c r="CH30" s="20">
        <f t="shared" si="92"/>
        <v>1305185839.7007716</v>
      </c>
      <c r="CI30" s="21">
        <f t="shared" si="93"/>
        <v>61023.383541926683</v>
      </c>
      <c r="CJ30" s="21">
        <f t="shared" si="94"/>
        <v>21388.290257685097</v>
      </c>
      <c r="CK30" s="21">
        <f t="shared" ref="CK30:CK67" si="142">((BF30-CK29)*(2/(1+26)))+CK29</f>
        <v>1294853099.4049618</v>
      </c>
      <c r="CL30" s="21">
        <f t="shared" ref="CL30:CL67" si="143">((R30-CL29)*(2/(1+26)))+CL29</f>
        <v>61329.200854700852</v>
      </c>
      <c r="CM30" s="21">
        <f>CK30/CL30</f>
        <v>21113.157865413665</v>
      </c>
      <c r="CN30" s="342">
        <f t="shared" ref="CN30:CN67" si="144">(CJ30-CM30)</f>
        <v>275.13239227143276</v>
      </c>
      <c r="CO30" s="342">
        <v>0</v>
      </c>
      <c r="CP30" s="343">
        <v>0</v>
      </c>
      <c r="CQ30" s="141">
        <f t="shared" si="95"/>
        <v>1031362362.5170385</v>
      </c>
      <c r="CR30" s="118">
        <f t="shared" si="96"/>
        <v>112420.32116477229</v>
      </c>
      <c r="CS30" s="118">
        <f t="shared" si="104"/>
        <v>9174.1631035317059</v>
      </c>
      <c r="CT30" s="118">
        <f t="shared" ref="CT30:CT67" si="145">((BN30-CT29)*(2/(1+26)))+CT29</f>
        <v>1017056228.9646486</v>
      </c>
      <c r="CU30" s="118">
        <f t="shared" ref="CU30:CU67" si="146">((X30-CU29)*(2/(1+26)))+CU29</f>
        <v>111850.90883190882</v>
      </c>
      <c r="CV30" s="118">
        <f>CT30/CU30</f>
        <v>9092.963477776435</v>
      </c>
      <c r="CW30" s="350">
        <f t="shared" ref="CW30" si="147">(CS30-CV30)</f>
        <v>81.199625755270972</v>
      </c>
      <c r="CX30" s="350">
        <v>0</v>
      </c>
      <c r="CY30" s="351">
        <v>0</v>
      </c>
      <c r="CZ30" s="20">
        <f t="shared" si="21"/>
        <v>-131.30000000000291</v>
      </c>
      <c r="DA30" s="21">
        <f t="shared" si="22"/>
        <v>0</v>
      </c>
      <c r="DB30" s="21">
        <f t="shared" si="23"/>
        <v>1295630931.3499999</v>
      </c>
      <c r="DC30" s="21">
        <f t="shared" si="114"/>
        <v>682451728.89664209</v>
      </c>
      <c r="DD30" s="21">
        <f t="shared" si="115"/>
        <v>633433789.71409988</v>
      </c>
      <c r="DE30" s="21">
        <f t="shared" si="116"/>
        <v>1.0773844717135574</v>
      </c>
      <c r="DF30" s="342">
        <f t="shared" si="117"/>
        <v>51.862545734004783</v>
      </c>
      <c r="DG30" s="342">
        <v>0</v>
      </c>
      <c r="DH30" s="355">
        <v>0</v>
      </c>
      <c r="DI30" s="141">
        <f t="shared" si="24"/>
        <v>-34.883333333333212</v>
      </c>
      <c r="DJ30" s="118">
        <f t="shared" si="25"/>
        <v>0</v>
      </c>
      <c r="DK30" s="118">
        <f t="shared" si="26"/>
        <v>970184716.80000007</v>
      </c>
      <c r="DL30" s="118">
        <f t="shared" si="118"/>
        <v>632772922.97005284</v>
      </c>
      <c r="DM30" s="118">
        <f t="shared" si="119"/>
        <v>405894210.95113099</v>
      </c>
      <c r="DN30" s="118">
        <f t="shared" si="120"/>
        <v>1.5589602066195463</v>
      </c>
      <c r="DO30" s="350">
        <f t="shared" si="121"/>
        <v>60.921627565243526</v>
      </c>
      <c r="DP30" s="350">
        <v>0</v>
      </c>
      <c r="DQ30" s="351">
        <v>0</v>
      </c>
      <c r="DR30" s="135">
        <f t="shared" si="27"/>
        <v>231.79999999999927</v>
      </c>
      <c r="DS30" s="20">
        <f t="shared" si="28"/>
        <v>13974526.599999957</v>
      </c>
      <c r="DT30" s="21">
        <f t="shared" si="140"/>
        <v>13852351.387058444</v>
      </c>
      <c r="DU30" s="21">
        <f t="shared" si="135"/>
        <v>61102.530614230156</v>
      </c>
      <c r="DV30" s="319">
        <f t="shared" si="136"/>
        <v>226.70667233923652</v>
      </c>
      <c r="DW30" s="21">
        <f t="shared" si="137"/>
        <v>4534.13344678473</v>
      </c>
      <c r="DX30" s="21">
        <f>DW30*'Base Data'!$D$10</f>
        <v>9068.2668935694601</v>
      </c>
      <c r="DY30" s="363">
        <f>IF(INT(('Base Data'!$D$7)/DX30)=0,0,INT(('Base Data'!$D$7)/DX30))</f>
        <v>1</v>
      </c>
      <c r="DZ30" s="364">
        <f t="shared" si="126"/>
        <v>1.0572944986358015E-2</v>
      </c>
      <c r="EA30" s="141">
        <f t="shared" si="29"/>
        <v>71.850000000000364</v>
      </c>
      <c r="EB30" s="143">
        <f t="shared" si="30"/>
        <v>7554596.4000000386</v>
      </c>
      <c r="EC30" s="118">
        <f t="shared" si="141"/>
        <v>7734042.6809658473</v>
      </c>
      <c r="ED30" s="118">
        <f t="shared" si="138"/>
        <v>110222.74204592394</v>
      </c>
      <c r="EE30" s="329">
        <f t="shared" si="139"/>
        <v>70.167395016751485</v>
      </c>
      <c r="EF30" s="118">
        <f t="shared" si="127"/>
        <v>5262.5546262563612</v>
      </c>
      <c r="EG30" s="118">
        <f>EF30*'Base Data'!$D$10</f>
        <v>10525.109252512722</v>
      </c>
      <c r="EH30" s="375">
        <f>IF(INT(('Base Data'!$D$7)/EG30)=0,0,INT(('Base Data'!$D$7)/EG30))</f>
        <v>0</v>
      </c>
      <c r="EI30" s="376">
        <f t="shared" si="128"/>
        <v>7.6174103986616087E-3</v>
      </c>
      <c r="EJ30" s="135">
        <f t="shared" si="31"/>
        <v>231.79999999999927</v>
      </c>
      <c r="EK30" s="21">
        <f t="shared" si="32"/>
        <v>13974526.599999957</v>
      </c>
      <c r="EL30" s="21">
        <f t="shared" si="78"/>
        <v>12965192.236024745</v>
      </c>
      <c r="EM30" s="21">
        <f t="shared" si="74"/>
        <v>61230.497160946412</v>
      </c>
      <c r="EN30" s="319">
        <f t="shared" si="75"/>
        <v>211.74403013493918</v>
      </c>
      <c r="EO30" s="21">
        <f t="shared" si="64"/>
        <v>4234.8806026987841</v>
      </c>
      <c r="EP30" s="21">
        <f>EO30*'Base Data'!$D$13</f>
        <v>3176.160452024088</v>
      </c>
      <c r="EQ30" s="363">
        <f>IF(INT(('Base Data'!$D$7)/EP30)=0,0,INT(('Base Data'!$D$7)/EP30))</f>
        <v>3</v>
      </c>
      <c r="ER30" s="314">
        <f t="shared" si="65"/>
        <v>9.8751305319167704E-3</v>
      </c>
      <c r="ES30" s="143">
        <f t="shared" si="33"/>
        <v>71.850000000000364</v>
      </c>
      <c r="ET30" s="118">
        <f t="shared" si="34"/>
        <v>7554596.4000000386</v>
      </c>
      <c r="EU30" s="118">
        <f t="shared" si="79"/>
        <v>6549306.3718319209</v>
      </c>
      <c r="EV30" s="118">
        <f t="shared" si="76"/>
        <v>110515.9819912651</v>
      </c>
      <c r="EW30" s="329">
        <f t="shared" si="77"/>
        <v>59.261169776779987</v>
      </c>
      <c r="EX30" s="118">
        <f t="shared" si="66"/>
        <v>4444.5877332584987</v>
      </c>
      <c r="EY30" s="118">
        <f>EX30*'Base Data'!$D$13</f>
        <v>3333.440799943874</v>
      </c>
      <c r="EZ30" s="375">
        <f>IF(INT(('Base Data'!$D$7)/EY30)=0,0,INT(('Base Data'!$D$7)/EY30))</f>
        <v>3</v>
      </c>
      <c r="FA30" s="385">
        <f t="shared" si="67"/>
        <v>6.4334246808895428E-3</v>
      </c>
      <c r="FB30" s="397">
        <f t="shared" si="129"/>
        <v>1.1436426898960721</v>
      </c>
      <c r="FC30" s="403">
        <f t="shared" si="68"/>
        <v>-2.5089255156872554E-3</v>
      </c>
      <c r="FD30" s="510">
        <f t="shared" si="130"/>
        <v>1.3467567475727775</v>
      </c>
      <c r="FE30" s="509">
        <f t="shared" si="69"/>
        <v>0.49238256309448919</v>
      </c>
      <c r="FF30" s="20">
        <f t="shared" si="14"/>
        <v>209</v>
      </c>
      <c r="FG30" s="17">
        <f t="shared" si="15"/>
        <v>9.6959687502174638E-3</v>
      </c>
      <c r="FH30" s="388">
        <f t="shared" si="70"/>
        <v>8.5378495119515958E-3</v>
      </c>
      <c r="FI30" s="388">
        <f t="shared" si="105"/>
        <v>8.7673081160012465E-3</v>
      </c>
      <c r="FJ30" s="314">
        <f t="shared" si="131"/>
        <v>9.2966463279796924E-3</v>
      </c>
      <c r="FK30" s="442">
        <f t="shared" si="16"/>
        <v>69.350000000000364</v>
      </c>
      <c r="FL30" s="18">
        <f t="shared" si="17"/>
        <v>7.5096374583099113E-3</v>
      </c>
      <c r="FM30" s="394">
        <f t="shared" si="71"/>
        <v>5.1626729365110363E-3</v>
      </c>
      <c r="FN30" s="394">
        <f t="shared" si="106"/>
        <v>5.9349190227103773E-3</v>
      </c>
      <c r="FO30" s="385">
        <f t="shared" si="132"/>
        <v>5.9486874931686104E-3</v>
      </c>
      <c r="FP30" s="416">
        <f t="shared" si="47"/>
        <v>1</v>
      </c>
      <c r="FQ30" s="417">
        <f t="shared" si="48"/>
        <v>1</v>
      </c>
      <c r="FR30" s="415">
        <f t="shared" si="122"/>
        <v>60.054312119486767</v>
      </c>
      <c r="FS30" s="413" t="str">
        <f t="shared" si="133"/>
        <v>T-D</v>
      </c>
      <c r="FT30" s="404">
        <f t="shared" si="123"/>
        <v>66.980888429752042</v>
      </c>
      <c r="FU30" s="414" t="str">
        <f t="shared" si="134"/>
        <v>T-D</v>
      </c>
      <c r="FV30" s="415">
        <f t="shared" si="62"/>
        <v>35.719830932459658</v>
      </c>
      <c r="FW30" s="413" t="str">
        <f t="shared" si="72"/>
        <v>T-D</v>
      </c>
      <c r="FX30" s="404">
        <f t="shared" si="63"/>
        <v>48.627357364526148</v>
      </c>
      <c r="FY30" s="414" t="str">
        <f t="shared" si="73"/>
        <v>T-D</v>
      </c>
    </row>
    <row r="31" spans="1:181" ht="11.15" thickBot="1" x14ac:dyDescent="0.35">
      <c r="A31" s="5"/>
      <c r="L31" s="283">
        <f t="shared" si="35"/>
        <v>28</v>
      </c>
      <c r="M31" s="290">
        <f>'[4]BANKNIFTY-I'!C47</f>
        <v>42835</v>
      </c>
      <c r="N31" s="7">
        <f>'[4]BANKNIFTY-I'!D47</f>
        <v>21355.5</v>
      </c>
      <c r="O31" s="7">
        <f>'[4]BANKNIFTY-I'!E47</f>
        <v>21585.95</v>
      </c>
      <c r="P31" s="7">
        <f>'[4]BANKNIFTY-I'!F47</f>
        <v>21355.5</v>
      </c>
      <c r="Q31" s="7">
        <f>'[4]BANKNIFTY-I'!G47</f>
        <v>21558.85</v>
      </c>
      <c r="R31" s="11">
        <f>'[4]BANKNIFTY-I'!H47</f>
        <v>52254</v>
      </c>
      <c r="S31" s="291">
        <f>'[5]NIFTY-I'!C47</f>
        <v>42835</v>
      </c>
      <c r="T31" s="9">
        <f>'[5]NIFTY-I'!D47</f>
        <v>9225.6</v>
      </c>
      <c r="U31" s="9">
        <f>'[5]NIFTY-I'!E47</f>
        <v>9248.2999999999993</v>
      </c>
      <c r="V31" s="9">
        <f>'[5]NIFTY-I'!F47</f>
        <v>9194</v>
      </c>
      <c r="W31" s="9">
        <f>'[5]NIFTY-I'!G47</f>
        <v>9209.35</v>
      </c>
      <c r="X31" s="12">
        <f>'[5]NIFTY-I'!H47</f>
        <v>89731</v>
      </c>
      <c r="Y31" s="115"/>
      <c r="Z31" s="122">
        <f t="shared" si="36"/>
        <v>5.4277940749090153E-3</v>
      </c>
      <c r="AA31" s="19">
        <f t="shared" si="18"/>
        <v>-2.2800312788775099E-4</v>
      </c>
      <c r="AB31" s="305">
        <f>IF(OR(SUM(Z11:Z31)=0,SUM('BNF-Nifty'!AA11:AA31)=0),0,(_xlfn.COVARIANCE.P(Z11:Z31,'BNF-Nifty'!AA11:AA31)/_xlfn.VAR.P('BNF-Nifty'!AA11:AA31)))</f>
        <v>0.99784324117565737</v>
      </c>
      <c r="AC31" s="306">
        <f>IF(OR(SUM(AA11:AA31)=0,SUM('BNF-Nifty'!AA11:AA31)=0),0,(_xlfn.COVARIANCE.P(AA11:AA31,'BNF-Nifty'!AA11:AA31)/_xlfn.VAR.P('BNF-Nifty'!AA11:AA31)))</f>
        <v>0.99999999999999956</v>
      </c>
      <c r="AD31" s="122">
        <f t="shared" si="0"/>
        <v>9.2203786374828907E-3</v>
      </c>
      <c r="AE31" s="364">
        <f t="shared" si="124"/>
        <v>9.2960766546555398E-2</v>
      </c>
      <c r="AF31" s="513">
        <f t="shared" si="1"/>
        <v>5.9652224652442182E-3</v>
      </c>
      <c r="AG31" s="522">
        <f t="shared" si="125"/>
        <v>-2.9215726549056371E-2</v>
      </c>
      <c r="AH31" s="466">
        <f t="shared" si="37"/>
        <v>5.4277940749090153E-3</v>
      </c>
      <c r="AI31" s="17">
        <f t="shared" si="38"/>
        <v>5.9792043211467395E-3</v>
      </c>
      <c r="AJ31" s="17">
        <f t="shared" si="39"/>
        <v>5.9475615311113594E-3</v>
      </c>
      <c r="AK31" s="314">
        <f t="shared" si="40"/>
        <v>0.11362800350582522</v>
      </c>
      <c r="AL31" s="467">
        <f t="shared" si="41"/>
        <v>-2.2800312788775099E-4</v>
      </c>
      <c r="AM31" s="18">
        <f t="shared" si="49"/>
        <v>4.7080372059744059E-3</v>
      </c>
      <c r="AN31" s="18">
        <f t="shared" si="19"/>
        <v>4.564953077354523E-3</v>
      </c>
      <c r="AO31" s="385">
        <f t="shared" si="42"/>
        <v>8.721330608590476E-2</v>
      </c>
      <c r="AP31" s="10">
        <f t="shared" si="2"/>
        <v>1.073332234456798E-2</v>
      </c>
      <c r="AQ31" s="17">
        <f t="shared" si="43"/>
        <v>8.756235027136872E-3</v>
      </c>
      <c r="AR31" s="17">
        <f t="shared" si="44"/>
        <v>8.8872720928626497E-3</v>
      </c>
      <c r="AS31" s="314">
        <f t="shared" si="45"/>
        <v>0.16979109492900377</v>
      </c>
      <c r="AT31" s="448">
        <f t="shared" si="3"/>
        <v>5.8886534662047326E-3</v>
      </c>
      <c r="AU31" s="18">
        <f t="shared" si="50"/>
        <v>5.6833369691172298E-3</v>
      </c>
      <c r="AV31" s="18">
        <f t="shared" si="20"/>
        <v>5.6958646698254027E-3</v>
      </c>
      <c r="AW31" s="385">
        <f t="shared" si="46"/>
        <v>0.1088193417228404</v>
      </c>
      <c r="AX31" s="6">
        <f t="shared" si="4"/>
        <v>1115910297</v>
      </c>
      <c r="AY31" s="319">
        <v>0</v>
      </c>
      <c r="AZ31" s="140">
        <f t="shared" si="5"/>
        <v>827822313.60000002</v>
      </c>
      <c r="BA31" s="481">
        <v>0</v>
      </c>
      <c r="BB31" s="135">
        <f t="shared" si="98"/>
        <v>1276706527.8313637</v>
      </c>
      <c r="BC31" s="21">
        <f t="shared" si="99"/>
        <v>59817.041935264911</v>
      </c>
      <c r="BD31" s="319">
        <f t="shared" si="100"/>
        <v>21343.524964224052</v>
      </c>
      <c r="BE31" s="21">
        <f t="shared" si="6"/>
        <v>21500.1</v>
      </c>
      <c r="BF31" s="21">
        <f t="shared" si="7"/>
        <v>1123466225.3999999</v>
      </c>
      <c r="BG31" s="21">
        <f t="shared" si="59"/>
        <v>1260650946.1057506</v>
      </c>
      <c r="BH31" s="21">
        <f t="shared" si="55"/>
        <v>58577.31150405651</v>
      </c>
      <c r="BI31" s="332">
        <f t="shared" si="56"/>
        <v>21521.147245182972</v>
      </c>
      <c r="BJ31" s="141">
        <f t="shared" si="101"/>
        <v>1003070537.8762504</v>
      </c>
      <c r="BK31" s="118">
        <f t="shared" si="102"/>
        <v>109344.25766879063</v>
      </c>
      <c r="BL31" s="329">
        <f t="shared" si="107"/>
        <v>9173.5090553598402</v>
      </c>
      <c r="BM31" s="118">
        <f t="shared" si="8"/>
        <v>9217.2166666666672</v>
      </c>
      <c r="BN31" s="118">
        <f t="shared" si="9"/>
        <v>827070068.7166667</v>
      </c>
      <c r="BO31" s="118">
        <f t="shared" si="60"/>
        <v>933509701.26875436</v>
      </c>
      <c r="BP31" s="118">
        <f t="shared" si="57"/>
        <v>101225.49950342816</v>
      </c>
      <c r="BQ31" s="325">
        <f t="shared" si="61"/>
        <v>9222.0804624149041</v>
      </c>
      <c r="BR31" s="6">
        <f t="shared" si="10"/>
        <v>1115910297</v>
      </c>
      <c r="BS31" s="8">
        <f t="shared" si="11"/>
        <v>1127952231.3</v>
      </c>
      <c r="BT31" s="331">
        <f t="shared" si="86"/>
        <v>21292.070346416349</v>
      </c>
      <c r="BU31" s="319">
        <f t="shared" si="51"/>
        <v>21454.613937788708</v>
      </c>
      <c r="BV31" s="319">
        <f t="shared" si="52"/>
        <v>21657.860516062981</v>
      </c>
      <c r="BW31" s="331">
        <v>0</v>
      </c>
      <c r="BX31" s="319">
        <f t="shared" si="87"/>
        <v>21232.268688528089</v>
      </c>
      <c r="BY31" s="332">
        <f t="shared" si="88"/>
        <v>21428.39462188337</v>
      </c>
      <c r="BZ31" s="140">
        <f t="shared" si="12"/>
        <v>824986814</v>
      </c>
      <c r="CA31" s="142">
        <f t="shared" si="13"/>
        <v>829859207.29999995</v>
      </c>
      <c r="CB31" s="339">
        <f t="shared" si="89"/>
        <v>9158.3502245651252</v>
      </c>
      <c r="CC31" s="329">
        <f t="shared" si="53"/>
        <v>9215.0677014429621</v>
      </c>
      <c r="CD31" s="329">
        <f t="shared" si="54"/>
        <v>9274.1704336160528</v>
      </c>
      <c r="CE31" s="339">
        <v>0</v>
      </c>
      <c r="CF31" s="329">
        <f t="shared" si="90"/>
        <v>9131.6526532715761</v>
      </c>
      <c r="CG31" s="325">
        <f t="shared" si="91"/>
        <v>9186.2337657638109</v>
      </c>
      <c r="CH31" s="20">
        <f t="shared" si="92"/>
        <v>1277228975.9621913</v>
      </c>
      <c r="CI31" s="21">
        <f t="shared" si="93"/>
        <v>59674.2476123995</v>
      </c>
      <c r="CJ31" s="21">
        <f t="shared" si="94"/>
        <v>21403.352820770218</v>
      </c>
      <c r="CK31" s="21">
        <f t="shared" si="142"/>
        <v>1282157775.4045942</v>
      </c>
      <c r="CL31" s="21">
        <f t="shared" si="143"/>
        <v>60656.963754352641</v>
      </c>
      <c r="CM31" s="21">
        <f t="shared" ref="CM31:CM67" si="148">CK31/CL31</f>
        <v>21137.849573167743</v>
      </c>
      <c r="CN31" s="342">
        <f t="shared" si="144"/>
        <v>265.50324760247531</v>
      </c>
      <c r="CO31" s="342">
        <v>0</v>
      </c>
      <c r="CP31" s="343">
        <v>0</v>
      </c>
      <c r="CQ31" s="141">
        <f t="shared" si="95"/>
        <v>999932778.85544276</v>
      </c>
      <c r="CR31" s="118">
        <f t="shared" si="96"/>
        <v>108929.65637019194</v>
      </c>
      <c r="CS31" s="118">
        <f t="shared" si="104"/>
        <v>9179.6193265975398</v>
      </c>
      <c r="CT31" s="118">
        <f t="shared" si="145"/>
        <v>1002983180.0573907</v>
      </c>
      <c r="CU31" s="118">
        <f t="shared" si="146"/>
        <v>110212.39706658224</v>
      </c>
      <c r="CV31" s="118">
        <f t="shared" ref="CV31:CV67" si="149">CT31/CU31</f>
        <v>9100.4569971512537</v>
      </c>
      <c r="CW31" s="350">
        <f t="shared" ref="CW31:CW67" si="150">(CS31-CV31)</f>
        <v>79.162329446286094</v>
      </c>
      <c r="CX31" s="350">
        <v>0</v>
      </c>
      <c r="CY31" s="351">
        <v>0</v>
      </c>
      <c r="CZ31" s="20">
        <f t="shared" si="21"/>
        <v>9.0499999999992724</v>
      </c>
      <c r="DA31" s="21">
        <f t="shared" si="22"/>
        <v>1123466225.3999999</v>
      </c>
      <c r="DB31" s="21">
        <f t="shared" si="23"/>
        <v>0</v>
      </c>
      <c r="DC31" s="21">
        <f t="shared" si="114"/>
        <v>741253661.76375651</v>
      </c>
      <c r="DD31" s="21">
        <f t="shared" si="115"/>
        <v>548975951.08555317</v>
      </c>
      <c r="DE31" s="21">
        <f t="shared" si="116"/>
        <v>1.3502479667788554</v>
      </c>
      <c r="DF31" s="342">
        <f t="shared" si="117"/>
        <v>57.451298155123816</v>
      </c>
      <c r="DG31" s="342">
        <v>0</v>
      </c>
      <c r="DH31" s="355">
        <v>0</v>
      </c>
      <c r="DI31" s="141">
        <f t="shared" si="24"/>
        <v>-9.9833333333335759</v>
      </c>
      <c r="DJ31" s="118">
        <f t="shared" si="25"/>
        <v>0</v>
      </c>
      <c r="DK31" s="118">
        <f t="shared" si="26"/>
        <v>827070068.7166667</v>
      </c>
      <c r="DL31" s="118">
        <f t="shared" si="118"/>
        <v>548403199.90737915</v>
      </c>
      <c r="DM31" s="118">
        <f t="shared" si="119"/>
        <v>462050991.98653573</v>
      </c>
      <c r="DN31" s="118">
        <f t="shared" si="120"/>
        <v>1.1868889136014662</v>
      </c>
      <c r="DO31" s="350">
        <f t="shared" si="121"/>
        <v>54.272940258627251</v>
      </c>
      <c r="DP31" s="350">
        <v>0</v>
      </c>
      <c r="DQ31" s="351">
        <v>0</v>
      </c>
      <c r="DR31" s="135">
        <f t="shared" si="27"/>
        <v>230.45000000000073</v>
      </c>
      <c r="DS31" s="20">
        <f t="shared" si="28"/>
        <v>12041934.300000038</v>
      </c>
      <c r="DT31" s="21">
        <f t="shared" si="140"/>
        <v>13687768.015507679</v>
      </c>
      <c r="DU31" s="21">
        <f t="shared" si="135"/>
        <v>60298.118740209233</v>
      </c>
      <c r="DV31" s="319">
        <f t="shared" si="136"/>
        <v>227.00157652480988</v>
      </c>
      <c r="DW31" s="21">
        <f t="shared" si="137"/>
        <v>4540.0315304961978</v>
      </c>
      <c r="DX31" s="21">
        <f>DW31*'Base Data'!$D$10</f>
        <v>9080.0630609923955</v>
      </c>
      <c r="DY31" s="363">
        <f>IF(INT(('Base Data'!$D$7)/DX31)=0,0,INT(('Base Data'!$D$7)/DX31))</f>
        <v>1</v>
      </c>
      <c r="DZ31" s="364">
        <f t="shared" si="126"/>
        <v>1.05293917126753E-2</v>
      </c>
      <c r="EA31" s="141">
        <f t="shared" si="29"/>
        <v>54.299999999999272</v>
      </c>
      <c r="EB31" s="143">
        <f t="shared" si="30"/>
        <v>4872393.2999999346</v>
      </c>
      <c r="EC31" s="118">
        <f t="shared" si="141"/>
        <v>7473892.7372416733</v>
      </c>
      <c r="ED31" s="118">
        <f t="shared" si="138"/>
        <v>108359.85640538539</v>
      </c>
      <c r="EE31" s="329">
        <f t="shared" si="139"/>
        <v>68.972892593001134</v>
      </c>
      <c r="EF31" s="118">
        <f t="shared" si="127"/>
        <v>5172.9669444750853</v>
      </c>
      <c r="EG31" s="118">
        <f>EF31*'Base Data'!$D$10</f>
        <v>10345.933888950171</v>
      </c>
      <c r="EH31" s="375">
        <f>IF(INT(('Base Data'!$D$7)/EG31)=0,0,INT(('Base Data'!$D$7)/EG31))</f>
        <v>1</v>
      </c>
      <c r="EI31" s="376">
        <f t="shared" si="128"/>
        <v>7.4894419902600219E-3</v>
      </c>
      <c r="EJ31" s="135">
        <f t="shared" si="31"/>
        <v>230.45000000000073</v>
      </c>
      <c r="EK31" s="21">
        <f t="shared" si="32"/>
        <v>12041934.300000038</v>
      </c>
      <c r="EL31" s="21">
        <f t="shared" si="78"/>
        <v>12760023.805797033</v>
      </c>
      <c r="EM31" s="21">
        <f t="shared" si="74"/>
        <v>59235.720014069433</v>
      </c>
      <c r="EN31" s="319">
        <f t="shared" si="75"/>
        <v>215.41096829356212</v>
      </c>
      <c r="EO31" s="21">
        <f t="shared" si="64"/>
        <v>4308.2193658712422</v>
      </c>
      <c r="EP31" s="21">
        <f>EO31*'Base Data'!$D$13</f>
        <v>3231.1645244034316</v>
      </c>
      <c r="EQ31" s="363">
        <f>IF(INT(('Base Data'!$D$7)/EP31)=0,0,INT(('Base Data'!$D$7)/EP31))</f>
        <v>3</v>
      </c>
      <c r="ER31" s="314">
        <f t="shared" si="65"/>
        <v>9.9917652515585081E-3</v>
      </c>
      <c r="ES31" s="143">
        <f t="shared" si="33"/>
        <v>54.299999999999272</v>
      </c>
      <c r="ET31" s="118">
        <f t="shared" si="34"/>
        <v>4872393.2999999346</v>
      </c>
      <c r="EU31" s="118">
        <f t="shared" si="79"/>
        <v>6176659.0225359239</v>
      </c>
      <c r="EV31" s="118">
        <f t="shared" si="76"/>
        <v>105897.0971043173</v>
      </c>
      <c r="EW31" s="329">
        <f t="shared" si="77"/>
        <v>58.326990932068796</v>
      </c>
      <c r="EX31" s="118">
        <f t="shared" si="66"/>
        <v>4374.5243199051592</v>
      </c>
      <c r="EY31" s="118">
        <f>EX31*'Base Data'!$D$13</f>
        <v>3280.8932399288697</v>
      </c>
      <c r="EZ31" s="375">
        <f>IF(INT(('Base Data'!$D$7)/EY31)=0,0,INT(('Base Data'!$D$7)/EY31))</f>
        <v>3</v>
      </c>
      <c r="FA31" s="385">
        <f t="shared" si="67"/>
        <v>6.3334536022703874E-3</v>
      </c>
      <c r="FB31" s="397">
        <f t="shared" si="129"/>
        <v>1.493483089691096</v>
      </c>
      <c r="FC31" s="403">
        <f t="shared" si="68"/>
        <v>0.30641042649564082</v>
      </c>
      <c r="FD31" s="510">
        <f t="shared" si="130"/>
        <v>1.1650654842347834</v>
      </c>
      <c r="FE31" s="509">
        <f t="shared" si="69"/>
        <v>0.13040703589285849</v>
      </c>
      <c r="FF31" s="20">
        <f t="shared" si="14"/>
        <v>230.45000000000073</v>
      </c>
      <c r="FG31" s="17">
        <f t="shared" si="15"/>
        <v>1.0791131090351467E-2</v>
      </c>
      <c r="FH31" s="388">
        <f t="shared" si="70"/>
        <v>9.2094815020075573E-3</v>
      </c>
      <c r="FI31" s="388">
        <f t="shared" si="105"/>
        <v>8.9593907149208996E-3</v>
      </c>
      <c r="FJ31" s="314">
        <f t="shared" si="131"/>
        <v>9.3513402532486283E-3</v>
      </c>
      <c r="FK31" s="442">
        <f t="shared" si="16"/>
        <v>54.299999999999272</v>
      </c>
      <c r="FL31" s="18">
        <f t="shared" si="17"/>
        <v>5.8857960457855607E-3</v>
      </c>
      <c r="FM31" s="394">
        <f t="shared" si="71"/>
        <v>5.3706436393832664E-3</v>
      </c>
      <c r="FN31" s="394">
        <f t="shared" si="106"/>
        <v>5.8992001363186632E-3</v>
      </c>
      <c r="FO31" s="385">
        <f t="shared" si="132"/>
        <v>5.845050179632571E-3</v>
      </c>
      <c r="FP31" s="416">
        <f t="shared" si="47"/>
        <v>1</v>
      </c>
      <c r="FQ31" s="417">
        <f t="shared" si="48"/>
        <v>1</v>
      </c>
      <c r="FR31" s="415">
        <f t="shared" si="122"/>
        <v>70.846249942164206</v>
      </c>
      <c r="FS31" s="413" t="str">
        <f t="shared" si="133"/>
        <v>T-R</v>
      </c>
      <c r="FT31" s="404">
        <f t="shared" si="123"/>
        <v>66.67974882260593</v>
      </c>
      <c r="FU31" s="414" t="str">
        <f t="shared" si="134"/>
        <v>T-D</v>
      </c>
      <c r="FV31" s="415">
        <f t="shared" si="62"/>
        <v>32.885835095137267</v>
      </c>
      <c r="FW31" s="413" t="str">
        <f t="shared" si="72"/>
        <v>T-D</v>
      </c>
      <c r="FX31" s="404">
        <f t="shared" si="63"/>
        <v>37.773359840954043</v>
      </c>
      <c r="FY31" s="414" t="str">
        <f t="shared" si="73"/>
        <v>T-D</v>
      </c>
    </row>
    <row r="32" spans="1:181" ht="11.15" thickBot="1" x14ac:dyDescent="0.35">
      <c r="A32" s="691" t="str">
        <f>CONCATENATE("Gann Angle - ",$G$1)</f>
        <v>Gann Angle - Nifty</v>
      </c>
      <c r="B32" s="687" t="s">
        <v>21</v>
      </c>
      <c r="C32" s="688"/>
      <c r="D32" s="154" t="s">
        <v>22</v>
      </c>
      <c r="E32" s="154" t="s">
        <v>23</v>
      </c>
      <c r="F32" s="155" t="s">
        <v>24</v>
      </c>
      <c r="G32" s="243" t="s">
        <v>300</v>
      </c>
      <c r="L32" s="283">
        <f t="shared" si="35"/>
        <v>29</v>
      </c>
      <c r="M32" s="290">
        <f>'[4]BANKNIFTY-I'!C48</f>
        <v>42836</v>
      </c>
      <c r="N32" s="7">
        <f>'[4]BANKNIFTY-I'!D48</f>
        <v>21498.3</v>
      </c>
      <c r="O32" s="7">
        <f>'[4]BANKNIFTY-I'!E48</f>
        <v>21783.75</v>
      </c>
      <c r="P32" s="7">
        <f>'[4]BANKNIFTY-I'!F48</f>
        <v>21498.3</v>
      </c>
      <c r="Q32" s="7">
        <f>'[4]BANKNIFTY-I'!G48</f>
        <v>21758.55</v>
      </c>
      <c r="R32" s="11">
        <f>'[4]BANKNIFTY-I'!H48</f>
        <v>67026</v>
      </c>
      <c r="S32" s="291">
        <f>'[5]NIFTY-I'!C48</f>
        <v>42836</v>
      </c>
      <c r="T32" s="9">
        <f>'[5]NIFTY-I'!D48</f>
        <v>9194.85</v>
      </c>
      <c r="U32" s="9">
        <f>'[5]NIFTY-I'!E48</f>
        <v>9269.9500000000007</v>
      </c>
      <c r="V32" s="9">
        <f>'[5]NIFTY-I'!F48</f>
        <v>9187.5499999999993</v>
      </c>
      <c r="W32" s="9">
        <f>'[5]NIFTY-I'!G48</f>
        <v>9264.4500000000007</v>
      </c>
      <c r="X32" s="12">
        <f>'[5]NIFTY-I'!H48</f>
        <v>105610</v>
      </c>
      <c r="Y32" s="115"/>
      <c r="Z32" s="122">
        <f t="shared" si="36"/>
        <v>9.2203786374828907E-3</v>
      </c>
      <c r="AA32" s="19">
        <f t="shared" si="18"/>
        <v>5.9652224652442182E-3</v>
      </c>
      <c r="AB32" s="305">
        <f>IF(OR(SUM(Z12:Z32)=0,SUM('BNF-Nifty'!AA12:AA32)=0),0,(_xlfn.COVARIANCE.P(Z12:Z32,'BNF-Nifty'!AA12:AA32)/_xlfn.VAR.P('BNF-Nifty'!AA12:AA32)))</f>
        <v>1.0195934514710396</v>
      </c>
      <c r="AC32" s="306">
        <f>IF(OR(SUM(AA12:AA32)=0,SUM('BNF-Nifty'!AA12:AA32)=0),0,(_xlfn.COVARIANCE.P(AA12:AA32,'BNF-Nifty'!AA12:AA32)/_xlfn.VAR.P('BNF-Nifty'!AA12:AA32)))</f>
        <v>0.99999999999999978</v>
      </c>
      <c r="AD32" s="122">
        <f t="shared" si="0"/>
        <v>-2.2245875457424786E-3</v>
      </c>
      <c r="AE32" s="364">
        <f t="shared" si="124"/>
        <v>5.6829895182682451E-2</v>
      </c>
      <c r="AF32" s="513">
        <f t="shared" si="1"/>
        <v>-4.4624458438328922E-3</v>
      </c>
      <c r="AG32" s="522">
        <f t="shared" si="125"/>
        <v>-7.1572827924076515E-2</v>
      </c>
      <c r="AH32" s="466">
        <f t="shared" si="37"/>
        <v>9.2203786374828907E-3</v>
      </c>
      <c r="AI32" s="17">
        <f t="shared" si="38"/>
        <v>5.9475615311113594E-3</v>
      </c>
      <c r="AJ32" s="17">
        <f t="shared" si="39"/>
        <v>6.1928993056150532E-3</v>
      </c>
      <c r="AK32" s="314">
        <f t="shared" si="40"/>
        <v>0.11831517510642033</v>
      </c>
      <c r="AL32" s="467">
        <f t="shared" si="41"/>
        <v>5.9652224652442182E-3</v>
      </c>
      <c r="AM32" s="18">
        <f t="shared" si="49"/>
        <v>4.564953077354523E-3</v>
      </c>
      <c r="AN32" s="18">
        <f t="shared" si="19"/>
        <v>4.6608477282714215E-3</v>
      </c>
      <c r="AO32" s="385">
        <f t="shared" si="42"/>
        <v>8.904537081925426E-2</v>
      </c>
      <c r="AP32" s="10">
        <f t="shared" si="2"/>
        <v>1.3190416752718452E-2</v>
      </c>
      <c r="AQ32" s="17">
        <f t="shared" si="43"/>
        <v>8.8872720928626497E-3</v>
      </c>
      <c r="AR32" s="17">
        <f t="shared" si="44"/>
        <v>9.2023809193080286E-3</v>
      </c>
      <c r="AS32" s="314">
        <f t="shared" si="45"/>
        <v>0.1758112406053044</v>
      </c>
      <c r="AT32" s="448">
        <f t="shared" si="3"/>
        <v>8.9286791189426232E-3</v>
      </c>
      <c r="AU32" s="18">
        <f t="shared" si="50"/>
        <v>5.6958646698254027E-3</v>
      </c>
      <c r="AV32" s="18">
        <f t="shared" si="20"/>
        <v>5.9396616507415515E-3</v>
      </c>
      <c r="AW32" s="385">
        <f t="shared" si="46"/>
        <v>0.11347707650327794</v>
      </c>
      <c r="AX32" s="6">
        <f t="shared" si="4"/>
        <v>1440945055.8</v>
      </c>
      <c r="AY32" s="319">
        <v>0</v>
      </c>
      <c r="AZ32" s="140">
        <f t="shared" si="5"/>
        <v>971068108.5</v>
      </c>
      <c r="BA32" s="481">
        <v>0</v>
      </c>
      <c r="BB32" s="135">
        <f t="shared" si="98"/>
        <v>1300169174.684026</v>
      </c>
      <c r="BC32" s="21">
        <f t="shared" si="99"/>
        <v>60846.893087369921</v>
      </c>
      <c r="BD32" s="319">
        <f t="shared" si="100"/>
        <v>21367.881065301328</v>
      </c>
      <c r="BE32" s="21">
        <f t="shared" si="6"/>
        <v>21680.2</v>
      </c>
      <c r="BF32" s="21">
        <f t="shared" si="7"/>
        <v>1453137085.2</v>
      </c>
      <c r="BG32" s="21">
        <f t="shared" si="59"/>
        <v>1324812992.4705005</v>
      </c>
      <c r="BH32" s="21">
        <f t="shared" si="55"/>
        <v>61393.54100270434</v>
      </c>
      <c r="BI32" s="332">
        <f t="shared" si="56"/>
        <v>21579.028849502971</v>
      </c>
      <c r="BJ32" s="141">
        <f t="shared" si="101"/>
        <v>998498762.25107181</v>
      </c>
      <c r="BK32" s="118">
        <f t="shared" si="102"/>
        <v>108810.79228753482</v>
      </c>
      <c r="BL32" s="329">
        <f t="shared" si="107"/>
        <v>9176.468080597353</v>
      </c>
      <c r="BM32" s="118">
        <f t="shared" si="8"/>
        <v>9240.65</v>
      </c>
      <c r="BN32" s="118">
        <f t="shared" si="9"/>
        <v>975905046.5</v>
      </c>
      <c r="BO32" s="118">
        <f t="shared" si="60"/>
        <v>947641483.01250291</v>
      </c>
      <c r="BP32" s="118">
        <f t="shared" si="57"/>
        <v>102686.99966895211</v>
      </c>
      <c r="BQ32" s="325">
        <f t="shared" si="61"/>
        <v>9228.4465031363343</v>
      </c>
      <c r="BR32" s="6">
        <f t="shared" si="10"/>
        <v>1440945055.8</v>
      </c>
      <c r="BS32" s="8">
        <f t="shared" si="11"/>
        <v>1460077627.5</v>
      </c>
      <c r="BT32" s="331">
        <f t="shared" si="86"/>
        <v>21330.981117418585</v>
      </c>
      <c r="BU32" s="319">
        <f t="shared" si="51"/>
        <v>21464.514274786095</v>
      </c>
      <c r="BV32" s="319">
        <f t="shared" si="52"/>
        <v>21694.33763652201</v>
      </c>
      <c r="BW32" s="331">
        <v>0</v>
      </c>
      <c r="BX32" s="319">
        <f t="shared" si="87"/>
        <v>21286.445685263639</v>
      </c>
      <c r="BY32" s="332">
        <f t="shared" si="88"/>
        <v>21490.534444947265</v>
      </c>
      <c r="BZ32" s="140">
        <f t="shared" si="12"/>
        <v>970297155.49999988</v>
      </c>
      <c r="CA32" s="142">
        <f t="shared" si="13"/>
        <v>978999419.50000012</v>
      </c>
      <c r="CB32" s="339">
        <f t="shared" si="89"/>
        <v>9168.2887660407941</v>
      </c>
      <c r="CC32" s="329">
        <f t="shared" si="53"/>
        <v>9211.6529646039107</v>
      </c>
      <c r="CD32" s="329">
        <f t="shared" si="54"/>
        <v>9273.3072428416945</v>
      </c>
      <c r="CE32" s="339">
        <v>0</v>
      </c>
      <c r="CF32" s="329">
        <f t="shared" si="90"/>
        <v>9143.8470669362086</v>
      </c>
      <c r="CG32" s="325">
        <f t="shared" si="91"/>
        <v>9197.5001216547462</v>
      </c>
      <c r="CH32" s="20">
        <f t="shared" si="92"/>
        <v>1304291761.9987774</v>
      </c>
      <c r="CI32" s="21">
        <f t="shared" si="93"/>
        <v>60805.286441261116</v>
      </c>
      <c r="CJ32" s="21">
        <f t="shared" si="94"/>
        <v>21450.302076263455</v>
      </c>
      <c r="CK32" s="21">
        <f t="shared" si="142"/>
        <v>1294822909.4635131</v>
      </c>
      <c r="CL32" s="21">
        <f t="shared" si="143"/>
        <v>61128.744216993189</v>
      </c>
      <c r="CM32" s="21">
        <f t="shared" si="148"/>
        <v>21181.899383818276</v>
      </c>
      <c r="CN32" s="342">
        <f t="shared" si="144"/>
        <v>268.40269244517913</v>
      </c>
      <c r="CO32" s="342">
        <v>0</v>
      </c>
      <c r="CP32" s="343">
        <v>0</v>
      </c>
      <c r="CQ32" s="141">
        <f t="shared" si="95"/>
        <v>996236204.64691305</v>
      </c>
      <c r="CR32" s="118">
        <f t="shared" si="96"/>
        <v>108418.94000554702</v>
      </c>
      <c r="CS32" s="118">
        <f t="shared" si="104"/>
        <v>9188.7654001777064</v>
      </c>
      <c r="CT32" s="118">
        <f t="shared" si="145"/>
        <v>1000977392.3864728</v>
      </c>
      <c r="CU32" s="118">
        <f t="shared" si="146"/>
        <v>109871.47876535392</v>
      </c>
      <c r="CV32" s="118">
        <f t="shared" si="149"/>
        <v>9110.4388840001102</v>
      </c>
      <c r="CW32" s="350">
        <f t="shared" si="150"/>
        <v>78.326516177596204</v>
      </c>
      <c r="CX32" s="350">
        <v>0</v>
      </c>
      <c r="CY32" s="351">
        <v>0</v>
      </c>
      <c r="CZ32" s="20">
        <f t="shared" si="21"/>
        <v>180.10000000000218</v>
      </c>
      <c r="DA32" s="21">
        <f t="shared" si="22"/>
        <v>1453137085.2</v>
      </c>
      <c r="DB32" s="21">
        <f t="shared" si="23"/>
        <v>0</v>
      </c>
      <c r="DC32" s="21">
        <f t="shared" si="114"/>
        <v>836171451.55525565</v>
      </c>
      <c r="DD32" s="21">
        <f t="shared" si="115"/>
        <v>475779157.60747939</v>
      </c>
      <c r="DE32" s="21">
        <f t="shared" si="116"/>
        <v>1.7574781034126383</v>
      </c>
      <c r="DF32" s="342">
        <f t="shared" si="117"/>
        <v>63.734979481345434</v>
      </c>
      <c r="DG32" s="342">
        <v>0</v>
      </c>
      <c r="DH32" s="355">
        <v>0</v>
      </c>
      <c r="DI32" s="141">
        <f t="shared" si="24"/>
        <v>23.433333333332484</v>
      </c>
      <c r="DJ32" s="118">
        <f t="shared" si="25"/>
        <v>975905046.5</v>
      </c>
      <c r="DK32" s="118">
        <f t="shared" si="26"/>
        <v>0</v>
      </c>
      <c r="DL32" s="118">
        <f t="shared" si="118"/>
        <v>605403446.11972857</v>
      </c>
      <c r="DM32" s="118">
        <f t="shared" si="119"/>
        <v>400444193.05499762</v>
      </c>
      <c r="DN32" s="118">
        <f t="shared" si="120"/>
        <v>1.5118297546059845</v>
      </c>
      <c r="DO32" s="350">
        <f t="shared" si="121"/>
        <v>60.188384655994973</v>
      </c>
      <c r="DP32" s="350">
        <v>0</v>
      </c>
      <c r="DQ32" s="351">
        <v>0</v>
      </c>
      <c r="DR32" s="135">
        <f t="shared" si="27"/>
        <v>285.45000000000073</v>
      </c>
      <c r="DS32" s="20">
        <f t="shared" si="28"/>
        <v>19132571.700000048</v>
      </c>
      <c r="DT32" s="21">
        <f t="shared" si="140"/>
        <v>14182750.16864335</v>
      </c>
      <c r="DU32" s="21">
        <f t="shared" si="135"/>
        <v>60909.744309281123</v>
      </c>
      <c r="DV32" s="319">
        <f t="shared" si="136"/>
        <v>232.84862429610058</v>
      </c>
      <c r="DW32" s="21">
        <f t="shared" si="137"/>
        <v>4656.9724859220114</v>
      </c>
      <c r="DX32" s="21">
        <f>DW32*'Base Data'!$D$10</f>
        <v>9313.9449718440228</v>
      </c>
      <c r="DY32" s="363">
        <f>IF(INT(('Base Data'!$D$7)/DX32)=0,0,INT(('Base Data'!$D$7)/DX32))</f>
        <v>1</v>
      </c>
      <c r="DZ32" s="364">
        <f t="shared" si="126"/>
        <v>1.0701477088137793E-2</v>
      </c>
      <c r="EA32" s="141">
        <f t="shared" si="29"/>
        <v>82.400000000001455</v>
      </c>
      <c r="EB32" s="143">
        <f t="shared" si="30"/>
        <v>8702264.0000001546</v>
      </c>
      <c r="EC32" s="118">
        <f t="shared" si="141"/>
        <v>7585562.8520378992</v>
      </c>
      <c r="ED32" s="118">
        <f t="shared" si="138"/>
        <v>108109.86945944127</v>
      </c>
      <c r="EE32" s="329">
        <f t="shared" si="139"/>
        <v>70.16531321299685</v>
      </c>
      <c r="EF32" s="118">
        <f t="shared" si="127"/>
        <v>5262.3984909747642</v>
      </c>
      <c r="EG32" s="118">
        <f>EF32*'Base Data'!$D$10</f>
        <v>10524.796981949528</v>
      </c>
      <c r="EH32" s="375">
        <f>IF(INT(('Base Data'!$D$7)/EG32)=0,0,INT(('Base Data'!$D$7)/EG32))</f>
        <v>0</v>
      </c>
      <c r="EI32" s="376">
        <f t="shared" si="128"/>
        <v>7.5736080623239202E-3</v>
      </c>
      <c r="EJ32" s="135">
        <f t="shared" si="31"/>
        <v>285.45000000000073</v>
      </c>
      <c r="EK32" s="21">
        <f t="shared" si="32"/>
        <v>19132571.700000048</v>
      </c>
      <c r="EL32" s="21">
        <f t="shared" si="78"/>
        <v>14176145.56006437</v>
      </c>
      <c r="EM32" s="21">
        <f t="shared" si="74"/>
        <v>60966.893344276228</v>
      </c>
      <c r="EN32" s="319">
        <f t="shared" si="75"/>
        <v>232.52202601193017</v>
      </c>
      <c r="EO32" s="21">
        <f t="shared" si="64"/>
        <v>4650.4405202386033</v>
      </c>
      <c r="EP32" s="21">
        <f>EO32*'Base Data'!$D$13</f>
        <v>3487.8303901789523</v>
      </c>
      <c r="EQ32" s="363">
        <f>IF(INT(('Base Data'!$D$7)/EP32)=0,0,INT(('Base Data'!$D$7)/EP32))</f>
        <v>3</v>
      </c>
      <c r="ER32" s="314">
        <f t="shared" si="65"/>
        <v>1.0686466975599485E-2</v>
      </c>
      <c r="ES32" s="143">
        <f t="shared" si="33"/>
        <v>82.400000000001455</v>
      </c>
      <c r="ET32" s="118">
        <f t="shared" si="34"/>
        <v>8702264.0000001546</v>
      </c>
      <c r="EU32" s="118">
        <f t="shared" si="79"/>
        <v>6737904.5730835311</v>
      </c>
      <c r="EV32" s="118">
        <f t="shared" si="76"/>
        <v>105833.29774780235</v>
      </c>
      <c r="EW32" s="329">
        <f t="shared" si="77"/>
        <v>63.6652614675181</v>
      </c>
      <c r="EX32" s="118">
        <f t="shared" si="66"/>
        <v>4774.8946100638577</v>
      </c>
      <c r="EY32" s="118">
        <f>EX32*'Base Data'!$D$13</f>
        <v>3581.1709575478935</v>
      </c>
      <c r="EZ32" s="375">
        <f>IF(INT(('Base Data'!$D$7)/EY32)=0,0,INT(('Base Data'!$D$7)/EY32))</f>
        <v>2</v>
      </c>
      <c r="FA32" s="385">
        <f t="shared" si="67"/>
        <v>6.871995797647793E-3</v>
      </c>
      <c r="FB32" s="397">
        <f t="shared" si="129"/>
        <v>2.1522021145808385</v>
      </c>
      <c r="FC32" s="403">
        <f t="shared" si="68"/>
        <v>0.99035420693802168</v>
      </c>
      <c r="FD32" s="510">
        <f t="shared" si="130"/>
        <v>1.7468835997147909</v>
      </c>
      <c r="FE32" s="509">
        <f t="shared" si="69"/>
        <v>0.76709808260063861</v>
      </c>
      <c r="FF32" s="20">
        <f t="shared" si="14"/>
        <v>285.45000000000073</v>
      </c>
      <c r="FG32" s="17">
        <f t="shared" si="15"/>
        <v>1.3277794058134864E-2</v>
      </c>
      <c r="FH32" s="388">
        <f t="shared" si="70"/>
        <v>9.8943069795574979E-3</v>
      </c>
      <c r="FI32" s="388">
        <f t="shared" si="105"/>
        <v>9.2851803233515232E-3</v>
      </c>
      <c r="FJ32" s="314">
        <f t="shared" si="131"/>
        <v>9.4878530586327801E-3</v>
      </c>
      <c r="FK32" s="442">
        <f t="shared" si="16"/>
        <v>82.400000000001455</v>
      </c>
      <c r="FL32" s="18">
        <f t="shared" si="17"/>
        <v>8.9615382523914426E-3</v>
      </c>
      <c r="FM32" s="394">
        <f t="shared" si="71"/>
        <v>6.0450202971458773E-3</v>
      </c>
      <c r="FN32" s="394">
        <f t="shared" si="106"/>
        <v>5.868533646436718E-3</v>
      </c>
      <c r="FO32" s="385">
        <f t="shared" si="132"/>
        <v>5.9241064751667932E-3</v>
      </c>
      <c r="FP32" s="416">
        <f t="shared" si="47"/>
        <v>2</v>
      </c>
      <c r="FQ32" s="417">
        <f t="shared" si="48"/>
        <v>1</v>
      </c>
      <c r="FR32" s="415">
        <f t="shared" si="122"/>
        <v>88.921282798833758</v>
      </c>
      <c r="FS32" s="413" t="str">
        <f t="shared" si="133"/>
        <v>T-R</v>
      </c>
      <c r="FT32" s="404">
        <f t="shared" si="123"/>
        <v>80.790064737745908</v>
      </c>
      <c r="FU32" s="414" t="str">
        <f t="shared" si="134"/>
        <v>T-R</v>
      </c>
      <c r="FV32" s="415">
        <f t="shared" si="62"/>
        <v>34.839462930531404</v>
      </c>
      <c r="FW32" s="413" t="str">
        <f t="shared" si="72"/>
        <v>T-R</v>
      </c>
      <c r="FX32" s="404">
        <f t="shared" si="63"/>
        <v>59.754521963823869</v>
      </c>
      <c r="FY32" s="414" t="str">
        <f t="shared" si="73"/>
        <v>T-R</v>
      </c>
    </row>
    <row r="33" spans="1:181" ht="11.15" thickBot="1" x14ac:dyDescent="0.35">
      <c r="A33" s="692"/>
      <c r="B33" s="708">
        <f>$T$69</f>
        <v>10601</v>
      </c>
      <c r="C33" s="709"/>
      <c r="D33" s="91">
        <f>$U$69</f>
        <v>10643.95</v>
      </c>
      <c r="E33" s="91">
        <f>$V$69</f>
        <v>10571.1</v>
      </c>
      <c r="F33" s="92">
        <f>$W$69</f>
        <v>10619.8</v>
      </c>
      <c r="G33" s="474">
        <f>'Base Data'!$D$17</f>
        <v>0</v>
      </c>
      <c r="L33" s="283">
        <f t="shared" si="35"/>
        <v>30</v>
      </c>
      <c r="M33" s="290">
        <f>'[4]BANKNIFTY-I'!C49</f>
        <v>42837</v>
      </c>
      <c r="N33" s="7">
        <f>'[4]BANKNIFTY-I'!D49</f>
        <v>21735.200000000001</v>
      </c>
      <c r="O33" s="7">
        <f>'[4]BANKNIFTY-I'!E49</f>
        <v>21813.05</v>
      </c>
      <c r="P33" s="7">
        <f>'[4]BANKNIFTY-I'!F49</f>
        <v>21556.85</v>
      </c>
      <c r="Q33" s="7">
        <f>'[4]BANKNIFTY-I'!G49</f>
        <v>21710.2</v>
      </c>
      <c r="R33" s="11">
        <f>'[4]BANKNIFTY-I'!H49</f>
        <v>90876</v>
      </c>
      <c r="S33" s="291">
        <f>'[5]NIFTY-I'!C49</f>
        <v>42837</v>
      </c>
      <c r="T33" s="9">
        <f>'[5]NIFTY-I'!D49</f>
        <v>9251.9</v>
      </c>
      <c r="U33" s="9">
        <f>'[5]NIFTY-I'!E49</f>
        <v>9262</v>
      </c>
      <c r="V33" s="9">
        <f>'[5]NIFTY-I'!F49</f>
        <v>9170.1</v>
      </c>
      <c r="W33" s="9">
        <f>'[5]NIFTY-I'!G49</f>
        <v>9223.2000000000007</v>
      </c>
      <c r="X33" s="12">
        <f>'[5]NIFTY-I'!H49</f>
        <v>149706</v>
      </c>
      <c r="Y33" s="115"/>
      <c r="Z33" s="122">
        <f t="shared" si="36"/>
        <v>-2.2245875457424786E-3</v>
      </c>
      <c r="AA33" s="19">
        <f t="shared" si="18"/>
        <v>-4.4624458438328922E-3</v>
      </c>
      <c r="AB33" s="305">
        <f>IF(OR(SUM(Z13:Z33)=0,SUM('BNF-Nifty'!AA13:AA33)=0),0,(_xlfn.COVARIANCE.P(Z13:Z33,'BNF-Nifty'!AA13:AA33)/_xlfn.VAR.P('BNF-Nifty'!AA13:AA33)))</f>
        <v>1.0024309238503053</v>
      </c>
      <c r="AC33" s="306">
        <f>IF(OR(SUM(AA13:AA33)=0,SUM('BNF-Nifty'!AA13:AA33)=0),0,(_xlfn.COVARIANCE.P(AA13:AA33,'BNF-Nifty'!AA13:AA33)/_xlfn.VAR.P('BNF-Nifty'!AA13:AA33)))</f>
        <v>0.99999999999999956</v>
      </c>
      <c r="AD33" s="122">
        <f t="shared" si="0"/>
        <v>1.0496465312563885E-3</v>
      </c>
      <c r="AE33" s="364">
        <f t="shared" si="124"/>
        <v>0.10038867710609493</v>
      </c>
      <c r="AF33" s="513">
        <f t="shared" si="1"/>
        <v>-4.4497762966095554E-3</v>
      </c>
      <c r="AG33" s="522">
        <f t="shared" si="125"/>
        <v>2.7470168047201448E-3</v>
      </c>
      <c r="AH33" s="466">
        <f t="shared" si="37"/>
        <v>-2.2245875457424786E-3</v>
      </c>
      <c r="AI33" s="17">
        <f t="shared" si="38"/>
        <v>6.1928993056150532E-3</v>
      </c>
      <c r="AJ33" s="17">
        <f t="shared" si="39"/>
        <v>6.0289144201786877E-3</v>
      </c>
      <c r="AK33" s="314">
        <f t="shared" si="40"/>
        <v>0.11518224826912808</v>
      </c>
      <c r="AL33" s="467">
        <f t="shared" si="41"/>
        <v>-4.4624458438328922E-3</v>
      </c>
      <c r="AM33" s="18">
        <f t="shared" si="49"/>
        <v>4.6608477282714215E-3</v>
      </c>
      <c r="AN33" s="18">
        <f t="shared" si="19"/>
        <v>4.6491823827328376E-3</v>
      </c>
      <c r="AO33" s="385">
        <f t="shared" si="42"/>
        <v>8.882250470566784E-2</v>
      </c>
      <c r="AP33" s="10">
        <f t="shared" si="2"/>
        <v>1.1814783073990691E-2</v>
      </c>
      <c r="AQ33" s="17">
        <f t="shared" si="43"/>
        <v>9.2023809193080286E-3</v>
      </c>
      <c r="AR33" s="17">
        <f t="shared" si="44"/>
        <v>9.3796658604733477E-3</v>
      </c>
      <c r="AS33" s="314">
        <f t="shared" si="45"/>
        <v>0.17919826465051822</v>
      </c>
      <c r="AT33" s="448">
        <f t="shared" si="3"/>
        <v>9.9718167242381656E-3</v>
      </c>
      <c r="AU33" s="18">
        <f t="shared" si="50"/>
        <v>5.9396616507415515E-3</v>
      </c>
      <c r="AV33" s="18">
        <f t="shared" si="20"/>
        <v>6.2553204091141661E-3</v>
      </c>
      <c r="AW33" s="385">
        <f t="shared" si="46"/>
        <v>0.11950772861429623</v>
      </c>
      <c r="AX33" s="6">
        <f t="shared" si="4"/>
        <v>1975208035.2</v>
      </c>
      <c r="AY33" s="319">
        <v>0</v>
      </c>
      <c r="AZ33" s="140">
        <f t="shared" si="5"/>
        <v>1385064941.3999999</v>
      </c>
      <c r="BA33" s="481">
        <v>0</v>
      </c>
      <c r="BB33" s="135">
        <f t="shared" si="98"/>
        <v>1396603297.6148794</v>
      </c>
      <c r="BC33" s="21">
        <f t="shared" si="99"/>
        <v>65136.76550345993</v>
      </c>
      <c r="BD33" s="319">
        <f t="shared" si="100"/>
        <v>21441.09070845243</v>
      </c>
      <c r="BE33" s="21">
        <f t="shared" si="6"/>
        <v>21693.366666666665</v>
      </c>
      <c r="BF33" s="21">
        <f t="shared" si="7"/>
        <v>1971406389.1999998</v>
      </c>
      <c r="BG33" s="21">
        <f t="shared" si="59"/>
        <v>1540344124.7136669</v>
      </c>
      <c r="BH33" s="21">
        <f t="shared" si="55"/>
        <v>71221.027335136227</v>
      </c>
      <c r="BI33" s="332">
        <f t="shared" si="56"/>
        <v>21627.659447615868</v>
      </c>
      <c r="BJ33" s="141">
        <f t="shared" si="101"/>
        <v>1053722502.1294901</v>
      </c>
      <c r="BK33" s="118">
        <f t="shared" si="102"/>
        <v>114652.96481788698</v>
      </c>
      <c r="BL33" s="329">
        <f t="shared" si="107"/>
        <v>9190.5386293604079</v>
      </c>
      <c r="BM33" s="118">
        <f t="shared" si="8"/>
        <v>9218.4333333333325</v>
      </c>
      <c r="BN33" s="118">
        <f t="shared" si="9"/>
        <v>1380054780.5999999</v>
      </c>
      <c r="BO33" s="118">
        <f t="shared" si="60"/>
        <v>1091779248.8750019</v>
      </c>
      <c r="BP33" s="118">
        <f t="shared" si="57"/>
        <v>118359.9997793014</v>
      </c>
      <c r="BQ33" s="325">
        <f t="shared" si="61"/>
        <v>9224.2248302701537</v>
      </c>
      <c r="BR33" s="6">
        <f t="shared" si="10"/>
        <v>1959000300.5999999</v>
      </c>
      <c r="BS33" s="8">
        <f t="shared" si="11"/>
        <v>1982282731.8</v>
      </c>
      <c r="BT33" s="331">
        <f t="shared" si="86"/>
        <v>21407.254406334105</v>
      </c>
      <c r="BU33" s="319">
        <f t="shared" si="51"/>
        <v>21477.592118076336</v>
      </c>
      <c r="BV33" s="319">
        <f t="shared" si="52"/>
        <v>21719.844660349234</v>
      </c>
      <c r="BW33" s="331">
        <v>0</v>
      </c>
      <c r="BX33" s="319">
        <f t="shared" si="87"/>
        <v>21348.332569091588</v>
      </c>
      <c r="BY33" s="332">
        <f t="shared" si="88"/>
        <v>21560.661802103761</v>
      </c>
      <c r="BZ33" s="140">
        <f t="shared" si="12"/>
        <v>1372818990.6000001</v>
      </c>
      <c r="CA33" s="142">
        <f t="shared" si="13"/>
        <v>1386576972</v>
      </c>
      <c r="CB33" s="339">
        <f t="shared" si="89"/>
        <v>9182.6667019631568</v>
      </c>
      <c r="CC33" s="329">
        <f t="shared" si="53"/>
        <v>9194.4692366965992</v>
      </c>
      <c r="CD33" s="329">
        <f t="shared" si="54"/>
        <v>9266.7066535052254</v>
      </c>
      <c r="CE33" s="339">
        <v>0</v>
      </c>
      <c r="CF33" s="329">
        <f t="shared" si="90"/>
        <v>9151.590538310269</v>
      </c>
      <c r="CG33" s="325">
        <f t="shared" si="91"/>
        <v>9208.5242492707966</v>
      </c>
      <c r="CH33" s="20">
        <f t="shared" si="92"/>
        <v>1406924781.5681963</v>
      </c>
      <c r="CI33" s="21">
        <f t="shared" si="93"/>
        <v>65431.550065682481</v>
      </c>
      <c r="CJ33" s="21">
        <f t="shared" si="94"/>
        <v>21502.238295682677</v>
      </c>
      <c r="CK33" s="21">
        <f t="shared" si="142"/>
        <v>1344940204.2588084</v>
      </c>
      <c r="CL33" s="21">
        <f t="shared" si="143"/>
        <v>63332.244645364066</v>
      </c>
      <c r="CM33" s="21">
        <f t="shared" si="148"/>
        <v>21236.263009308295</v>
      </c>
      <c r="CN33" s="342">
        <f t="shared" si="144"/>
        <v>265.97528637438154</v>
      </c>
      <c r="CO33" s="342">
        <v>0</v>
      </c>
      <c r="CP33" s="343">
        <v>0</v>
      </c>
      <c r="CQ33" s="141">
        <f t="shared" si="95"/>
        <v>1055285216.3320034</v>
      </c>
      <c r="CR33" s="118">
        <f t="shared" si="96"/>
        <v>114770.79538930902</v>
      </c>
      <c r="CS33" s="118">
        <f t="shared" si="104"/>
        <v>9194.7190289342889</v>
      </c>
      <c r="CT33" s="118">
        <f t="shared" si="145"/>
        <v>1029057198.9208082</v>
      </c>
      <c r="CU33" s="118">
        <f t="shared" si="146"/>
        <v>112822.18404199438</v>
      </c>
      <c r="CV33" s="118">
        <f t="shared" si="149"/>
        <v>9121.0536975403284</v>
      </c>
      <c r="CW33" s="350">
        <f t="shared" si="150"/>
        <v>73.665331393960514</v>
      </c>
      <c r="CX33" s="350">
        <v>0</v>
      </c>
      <c r="CY33" s="351">
        <v>0</v>
      </c>
      <c r="CZ33" s="20">
        <f t="shared" si="21"/>
        <v>13.166666666664241</v>
      </c>
      <c r="DA33" s="21">
        <f t="shared" si="22"/>
        <v>1971406389.1999998</v>
      </c>
      <c r="DB33" s="21">
        <f t="shared" si="23"/>
        <v>0</v>
      </c>
      <c r="DC33" s="21">
        <f t="shared" si="114"/>
        <v>987536109.90788817</v>
      </c>
      <c r="DD33" s="21">
        <f t="shared" si="115"/>
        <v>412341936.59314883</v>
      </c>
      <c r="DE33" s="21">
        <f t="shared" si="116"/>
        <v>2.3949446376158297</v>
      </c>
      <c r="DF33" s="342">
        <f t="shared" si="117"/>
        <v>70.544438665654624</v>
      </c>
      <c r="DG33" s="342">
        <v>0</v>
      </c>
      <c r="DH33" s="355">
        <v>0</v>
      </c>
      <c r="DI33" s="141">
        <f t="shared" si="24"/>
        <v>-22.216666666667152</v>
      </c>
      <c r="DJ33" s="118">
        <f t="shared" si="25"/>
        <v>0</v>
      </c>
      <c r="DK33" s="118">
        <f t="shared" si="26"/>
        <v>1380054780.5999999</v>
      </c>
      <c r="DL33" s="118">
        <f t="shared" si="118"/>
        <v>524682986.63709807</v>
      </c>
      <c r="DM33" s="118">
        <f t="shared" si="119"/>
        <v>531058938.0609979</v>
      </c>
      <c r="DN33" s="118">
        <f t="shared" si="120"/>
        <v>0.98799389113536118</v>
      </c>
      <c r="DO33" s="350">
        <f t="shared" si="121"/>
        <v>49.698034563431634</v>
      </c>
      <c r="DP33" s="350">
        <v>0</v>
      </c>
      <c r="DQ33" s="351">
        <v>0</v>
      </c>
      <c r="DR33" s="135">
        <f t="shared" si="27"/>
        <v>256.20000000000073</v>
      </c>
      <c r="DS33" s="20">
        <f t="shared" si="28"/>
        <v>23282431.200000066</v>
      </c>
      <c r="DT33" s="21">
        <f t="shared" si="140"/>
        <v>15009993.898766687</v>
      </c>
      <c r="DU33" s="21">
        <f t="shared" si="135"/>
        <v>63633.949372073745</v>
      </c>
      <c r="DV33" s="319">
        <f t="shared" si="136"/>
        <v>235.88028162454333</v>
      </c>
      <c r="DW33" s="21">
        <f t="shared" si="137"/>
        <v>4717.6056324908668</v>
      </c>
      <c r="DX33" s="21">
        <f>DW33*'Base Data'!$D$10</f>
        <v>9435.2112649817336</v>
      </c>
      <c r="DY33" s="363">
        <f>IF(INT(('Base Data'!$D$7)/DX33)=0,0,INT(('Base Data'!$D$7)/DX33))</f>
        <v>1</v>
      </c>
      <c r="DZ33" s="364">
        <f t="shared" si="126"/>
        <v>1.0864952032894368E-2</v>
      </c>
      <c r="EA33" s="141">
        <f t="shared" si="29"/>
        <v>94.350000000000364</v>
      </c>
      <c r="EB33" s="143">
        <f t="shared" si="30"/>
        <v>14124761.100000054</v>
      </c>
      <c r="EC33" s="118">
        <f t="shared" si="141"/>
        <v>8180035.4200344589</v>
      </c>
      <c r="ED33" s="118">
        <f t="shared" si="138"/>
        <v>111891.33587221934</v>
      </c>
      <c r="EE33" s="329">
        <f t="shared" si="139"/>
        <v>73.106960036442089</v>
      </c>
      <c r="EF33" s="118">
        <f t="shared" si="127"/>
        <v>5483.022002733157</v>
      </c>
      <c r="EG33" s="118">
        <f>EF33*'Base Data'!$D$10</f>
        <v>10966.044005466314</v>
      </c>
      <c r="EH33" s="375">
        <f>IF(INT(('Base Data'!$D$7)/EG33)=0,0,INT(('Base Data'!$D$7)/EG33))</f>
        <v>0</v>
      </c>
      <c r="EI33" s="376">
        <f t="shared" si="128"/>
        <v>7.9264203352894958E-3</v>
      </c>
      <c r="EJ33" s="135">
        <f t="shared" si="31"/>
        <v>256.20000000000073</v>
      </c>
      <c r="EK33" s="21">
        <f t="shared" si="32"/>
        <v>23282431.200000066</v>
      </c>
      <c r="EL33" s="21">
        <f t="shared" si="78"/>
        <v>16199764.591161191</v>
      </c>
      <c r="EM33" s="21">
        <f t="shared" si="74"/>
        <v>67613.361489992618</v>
      </c>
      <c r="EN33" s="319">
        <f t="shared" si="75"/>
        <v>239.59413101445787</v>
      </c>
      <c r="EO33" s="21">
        <f t="shared" si="64"/>
        <v>4791.8826202891578</v>
      </c>
      <c r="EP33" s="21">
        <f>EO33*'Base Data'!$D$13</f>
        <v>3593.9119652168683</v>
      </c>
      <c r="EQ33" s="363">
        <f>IF(INT(('Base Data'!$D$7)/EP33)=0,0,INT(('Base Data'!$D$7)/EP33))</f>
        <v>2</v>
      </c>
      <c r="ER33" s="314">
        <f t="shared" si="65"/>
        <v>1.1036016757766297E-2</v>
      </c>
      <c r="ES33" s="143">
        <f t="shared" si="33"/>
        <v>94.350000000000364</v>
      </c>
      <c r="ET33" s="118">
        <f t="shared" si="34"/>
        <v>14124761.100000054</v>
      </c>
      <c r="EU33" s="118">
        <f t="shared" si="79"/>
        <v>8379428.2457316471</v>
      </c>
      <c r="EV33" s="118">
        <f t="shared" si="76"/>
        <v>115582.78713717961</v>
      </c>
      <c r="EW33" s="329">
        <f t="shared" si="77"/>
        <v>72.497198356936224</v>
      </c>
      <c r="EX33" s="118">
        <f t="shared" si="66"/>
        <v>5437.2898767702172</v>
      </c>
      <c r="EY33" s="118">
        <f>EX33*'Base Data'!$D$13</f>
        <v>4077.9674075776629</v>
      </c>
      <c r="EZ33" s="375">
        <f>IF(INT(('Base Data'!$D$7)/EY33)=0,0,INT(('Base Data'!$D$7)/EY33))</f>
        <v>2</v>
      </c>
      <c r="FA33" s="385">
        <f t="shared" si="67"/>
        <v>7.8603086083936392E-3</v>
      </c>
      <c r="FB33" s="397">
        <f t="shared" si="129"/>
        <v>1.7355824731094895</v>
      </c>
      <c r="FC33" s="403">
        <f t="shared" si="68"/>
        <v>0.59271241772652139</v>
      </c>
      <c r="FD33" s="510">
        <f t="shared" si="130"/>
        <v>0.9219368438573311</v>
      </c>
      <c r="FE33" s="509">
        <f t="shared" si="69"/>
        <v>-7.2876379406009995E-2</v>
      </c>
      <c r="FF33" s="20">
        <f t="shared" si="14"/>
        <v>256.20000000000073</v>
      </c>
      <c r="FG33" s="17">
        <f t="shared" si="15"/>
        <v>1.1787331149471858E-2</v>
      </c>
      <c r="FH33" s="388">
        <f t="shared" si="70"/>
        <v>9.7077519635876807E-3</v>
      </c>
      <c r="FI33" s="388">
        <f t="shared" si="105"/>
        <v>9.5745275828037889E-3</v>
      </c>
      <c r="FJ33" s="314">
        <f t="shared" si="131"/>
        <v>9.5246233032676205E-3</v>
      </c>
      <c r="FK33" s="442">
        <f t="shared" si="16"/>
        <v>91.899999999999636</v>
      </c>
      <c r="FL33" s="18">
        <f t="shared" si="17"/>
        <v>9.9330948237658905E-3</v>
      </c>
      <c r="FM33" s="394">
        <f t="shared" si="71"/>
        <v>6.7682343575458277E-3</v>
      </c>
      <c r="FN33" s="394">
        <f t="shared" si="106"/>
        <v>6.1206880323912182E-3</v>
      </c>
      <c r="FO33" s="385">
        <f t="shared" si="132"/>
        <v>5.9381641806624764E-3</v>
      </c>
      <c r="FP33" s="416">
        <f t="shared" si="47"/>
        <v>2</v>
      </c>
      <c r="FQ33" s="417">
        <f t="shared" si="48"/>
        <v>2</v>
      </c>
      <c r="FR33" s="415">
        <f t="shared" si="122"/>
        <v>56.887587703800961</v>
      </c>
      <c r="FS33" s="413" t="str">
        <f t="shared" si="133"/>
        <v>T-D</v>
      </c>
      <c r="FT33" s="404">
        <f t="shared" si="123"/>
        <v>46.30200308166431</v>
      </c>
      <c r="FU33" s="414" t="str">
        <f t="shared" si="134"/>
        <v>T-D</v>
      </c>
      <c r="FV33" s="415">
        <f t="shared" si="62"/>
        <v>48.530215277018826</v>
      </c>
      <c r="FW33" s="413" t="str">
        <f t="shared" si="72"/>
        <v>T-R</v>
      </c>
      <c r="FX33" s="404">
        <f t="shared" si="63"/>
        <v>20.400801603206997</v>
      </c>
      <c r="FY33" s="414" t="str">
        <f t="shared" si="73"/>
        <v>C-D</v>
      </c>
    </row>
    <row r="34" spans="1:181" ht="11.15" thickBot="1" x14ac:dyDescent="0.35">
      <c r="A34" s="5"/>
      <c r="L34" s="283">
        <f t="shared" si="35"/>
        <v>31</v>
      </c>
      <c r="M34" s="290">
        <f>'[4]BANKNIFTY-I'!C50</f>
        <v>42838</v>
      </c>
      <c r="N34" s="7">
        <f>'[4]BANKNIFTY-I'!D50</f>
        <v>21700.25</v>
      </c>
      <c r="O34" s="7">
        <f>'[4]BANKNIFTY-I'!E50</f>
        <v>21790</v>
      </c>
      <c r="P34" s="7">
        <f>'[4]BANKNIFTY-I'!F50</f>
        <v>21661</v>
      </c>
      <c r="Q34" s="7">
        <f>'[4]BANKNIFTY-I'!G50</f>
        <v>21733</v>
      </c>
      <c r="R34" s="11">
        <f>'[4]BANKNIFTY-I'!H50</f>
        <v>56010</v>
      </c>
      <c r="S34" s="291">
        <f>'[5]NIFTY-I'!C50</f>
        <v>42838</v>
      </c>
      <c r="T34" s="9">
        <f>'[5]NIFTY-I'!D50</f>
        <v>9205.75</v>
      </c>
      <c r="U34" s="9">
        <f>'[5]NIFTY-I'!E50</f>
        <v>9222</v>
      </c>
      <c r="V34" s="9">
        <f>'[5]NIFTY-I'!F50</f>
        <v>9177.5</v>
      </c>
      <c r="W34" s="9">
        <f>'[5]NIFTY-I'!G50</f>
        <v>9182.25</v>
      </c>
      <c r="X34" s="12">
        <f>'[5]NIFTY-I'!H50</f>
        <v>88323</v>
      </c>
      <c r="Y34" s="115"/>
      <c r="Z34" s="122">
        <f t="shared" si="36"/>
        <v>1.0496465312563885E-3</v>
      </c>
      <c r="AA34" s="19">
        <f t="shared" si="18"/>
        <v>-4.4497762966095554E-3</v>
      </c>
      <c r="AB34" s="305">
        <f>IF(OR(SUM(Z14:Z34)=0,SUM('BNF-Nifty'!AA14:AA34)=0),0,(_xlfn.COVARIANCE.P(Z14:Z34,'BNF-Nifty'!AA14:AA34)/_xlfn.VAR.P('BNF-Nifty'!AA14:AA34)))</f>
        <v>0.95248671408586383</v>
      </c>
      <c r="AC34" s="306">
        <f>IF(OR(SUM(AA14:AA34)=0,SUM('BNF-Nifty'!AA14:AA34)=0),0,(_xlfn.COVARIANCE.P(AA14:AA34,'BNF-Nifty'!AA14:AA34)/_xlfn.VAR.P('BNF-Nifty'!AA14:AA34)))</f>
        <v>1.0000000000000002</v>
      </c>
      <c r="AD34" s="122">
        <f t="shared" si="0"/>
        <v>-1.4251165930822265E-3</v>
      </c>
      <c r="AE34" s="364">
        <f t="shared" si="124"/>
        <v>6.8617546908953525E-2</v>
      </c>
      <c r="AF34" s="513">
        <f t="shared" si="1"/>
        <v>-1.5149371310381682E-3</v>
      </c>
      <c r="AG34" s="522">
        <f t="shared" si="125"/>
        <v>1.4139103018689394E-2</v>
      </c>
      <c r="AH34" s="466">
        <f t="shared" si="37"/>
        <v>1.0496465312563885E-3</v>
      </c>
      <c r="AI34" s="17">
        <f t="shared" si="38"/>
        <v>6.0289144201786877E-3</v>
      </c>
      <c r="AJ34" s="17">
        <f t="shared" si="39"/>
        <v>5.8509012990412791E-3</v>
      </c>
      <c r="AK34" s="314">
        <f t="shared" si="40"/>
        <v>0.11178131236508125</v>
      </c>
      <c r="AL34" s="467">
        <f t="shared" si="41"/>
        <v>-4.4497762966095554E-3</v>
      </c>
      <c r="AM34" s="18">
        <f t="shared" si="49"/>
        <v>4.6491823827328376E-3</v>
      </c>
      <c r="AN34" s="18">
        <f t="shared" si="19"/>
        <v>4.6374598180071247E-3</v>
      </c>
      <c r="AO34" s="385">
        <f t="shared" si="42"/>
        <v>8.8598545421046254E-2</v>
      </c>
      <c r="AP34" s="10">
        <f t="shared" si="2"/>
        <v>5.9377403976875083E-3</v>
      </c>
      <c r="AQ34" s="17">
        <f t="shared" si="43"/>
        <v>9.3796658604733477E-3</v>
      </c>
      <c r="AR34" s="17">
        <f t="shared" si="44"/>
        <v>9.2094977830879179E-3</v>
      </c>
      <c r="AS34" s="314">
        <f t="shared" si="45"/>
        <v>0.17594720809690606</v>
      </c>
      <c r="AT34" s="448">
        <f t="shared" si="3"/>
        <v>4.8370973956614839E-3</v>
      </c>
      <c r="AU34" s="18">
        <f t="shared" si="50"/>
        <v>6.2553204091141661E-3</v>
      </c>
      <c r="AV34" s="18">
        <f t="shared" si="20"/>
        <v>6.1794127624189583E-3</v>
      </c>
      <c r="AW34" s="385">
        <f t="shared" si="46"/>
        <v>0.11805751506044161</v>
      </c>
      <c r="AX34" s="6">
        <f t="shared" si="4"/>
        <v>1215431002.5</v>
      </c>
      <c r="AY34" s="319">
        <v>0</v>
      </c>
      <c r="AZ34" s="140">
        <f t="shared" si="5"/>
        <v>813079457.25</v>
      </c>
      <c r="BA34" s="481">
        <v>0</v>
      </c>
      <c r="BB34" s="135">
        <f t="shared" si="98"/>
        <v>1370721541.1698966</v>
      </c>
      <c r="BC34" s="21">
        <f t="shared" si="99"/>
        <v>63832.941860108513</v>
      </c>
      <c r="BD34" s="319">
        <f t="shared" si="100"/>
        <v>21473.576201044707</v>
      </c>
      <c r="BE34" s="21">
        <f t="shared" si="6"/>
        <v>21728</v>
      </c>
      <c r="BF34" s="21">
        <f t="shared" si="7"/>
        <v>1216985280</v>
      </c>
      <c r="BG34" s="21">
        <f t="shared" si="59"/>
        <v>1432557843.1424446</v>
      </c>
      <c r="BH34" s="21">
        <f t="shared" si="55"/>
        <v>66150.684890090823</v>
      </c>
      <c r="BI34" s="332">
        <f t="shared" si="56"/>
        <v>21655.979004943569</v>
      </c>
      <c r="BJ34" s="141">
        <f t="shared" si="101"/>
        <v>1019344924.2895629</v>
      </c>
      <c r="BK34" s="118">
        <f t="shared" si="102"/>
        <v>110891.54127247455</v>
      </c>
      <c r="BL34" s="329">
        <f t="shared" si="107"/>
        <v>9192.2694246345036</v>
      </c>
      <c r="BM34" s="118">
        <f t="shared" si="8"/>
        <v>9193.9166666666661</v>
      </c>
      <c r="BN34" s="118">
        <f t="shared" si="9"/>
        <v>812034301.75</v>
      </c>
      <c r="BO34" s="118">
        <f t="shared" si="60"/>
        <v>998530933.16666794</v>
      </c>
      <c r="BP34" s="118">
        <f t="shared" si="57"/>
        <v>108347.66651953426</v>
      </c>
      <c r="BQ34" s="325">
        <f t="shared" si="61"/>
        <v>9215.9892800888374</v>
      </c>
      <c r="BR34" s="6">
        <f t="shared" si="10"/>
        <v>1213232610</v>
      </c>
      <c r="BS34" s="8">
        <f t="shared" si="11"/>
        <v>1220457900</v>
      </c>
      <c r="BT34" s="331">
        <f t="shared" si="86"/>
        <v>21462.364282516653</v>
      </c>
      <c r="BU34" s="319">
        <f t="shared" si="51"/>
        <v>21503.53410873847</v>
      </c>
      <c r="BV34" s="319">
        <f t="shared" si="52"/>
        <v>21731.077461686677</v>
      </c>
      <c r="BW34" s="331">
        <v>0</v>
      </c>
      <c r="BX34" s="319">
        <f t="shared" si="87"/>
        <v>21402.086549146563</v>
      </c>
      <c r="BY34" s="332">
        <f t="shared" si="88"/>
        <v>21606.090051329404</v>
      </c>
      <c r="BZ34" s="140">
        <f t="shared" si="12"/>
        <v>810584332.5</v>
      </c>
      <c r="CA34" s="142">
        <f t="shared" si="13"/>
        <v>814514706</v>
      </c>
      <c r="CB34" s="339">
        <f t="shared" si="89"/>
        <v>9187.9380274283867</v>
      </c>
      <c r="CC34" s="329">
        <f t="shared" si="53"/>
        <v>9184.6342902877168</v>
      </c>
      <c r="CD34" s="329">
        <f t="shared" si="54"/>
        <v>9256.2289908897437</v>
      </c>
      <c r="CE34" s="339">
        <v>0</v>
      </c>
      <c r="CF34" s="329">
        <f t="shared" si="90"/>
        <v>9156.2485461191463</v>
      </c>
      <c r="CG34" s="325">
        <f t="shared" si="91"/>
        <v>9213.0688243152144</v>
      </c>
      <c r="CH34" s="20">
        <f t="shared" si="92"/>
        <v>1377703319.7884738</v>
      </c>
      <c r="CI34" s="21">
        <f t="shared" si="93"/>
        <v>63982.080824808254</v>
      </c>
      <c r="CJ34" s="21">
        <f t="shared" si="94"/>
        <v>21532.643234295789</v>
      </c>
      <c r="CK34" s="21">
        <f t="shared" si="142"/>
        <v>1335462061.7211189</v>
      </c>
      <c r="CL34" s="21">
        <f t="shared" si="143"/>
        <v>62789.856153114873</v>
      </c>
      <c r="CM34" s="21">
        <f t="shared" si="148"/>
        <v>21268.754915834754</v>
      </c>
      <c r="CN34" s="342">
        <f t="shared" si="144"/>
        <v>263.88831846103494</v>
      </c>
      <c r="CO34" s="342">
        <v>0</v>
      </c>
      <c r="CP34" s="343">
        <v>0</v>
      </c>
      <c r="CQ34" s="141">
        <f t="shared" si="95"/>
        <v>1017861998.7040029</v>
      </c>
      <c r="CR34" s="118">
        <f t="shared" si="96"/>
        <v>110701.90379095379</v>
      </c>
      <c r="CS34" s="118">
        <f t="shared" si="104"/>
        <v>9194.6205426250253</v>
      </c>
      <c r="CT34" s="118">
        <f t="shared" si="145"/>
        <v>1012981428.7600076</v>
      </c>
      <c r="CU34" s="118">
        <f t="shared" si="146"/>
        <v>111007.42966851332</v>
      </c>
      <c r="CV34" s="118">
        <f t="shared" si="149"/>
        <v>9125.3480220642796</v>
      </c>
      <c r="CW34" s="350">
        <f t="shared" si="150"/>
        <v>69.272520560745761</v>
      </c>
      <c r="CX34" s="350">
        <v>0</v>
      </c>
      <c r="CY34" s="351">
        <v>0</v>
      </c>
      <c r="CZ34" s="20">
        <f t="shared" si="21"/>
        <v>34.633333333335031</v>
      </c>
      <c r="DA34" s="21">
        <f t="shared" si="22"/>
        <v>1216985280</v>
      </c>
      <c r="DB34" s="21">
        <f t="shared" si="23"/>
        <v>0</v>
      </c>
      <c r="DC34" s="21">
        <f t="shared" si="114"/>
        <v>1018129332.5868365</v>
      </c>
      <c r="DD34" s="21">
        <f t="shared" si="115"/>
        <v>357363011.71406233</v>
      </c>
      <c r="DE34" s="21">
        <f t="shared" si="116"/>
        <v>2.8490059105542644</v>
      </c>
      <c r="DF34" s="342">
        <f t="shared" si="117"/>
        <v>74.019265669145256</v>
      </c>
      <c r="DG34" s="342">
        <v>0</v>
      </c>
      <c r="DH34" s="355">
        <v>0</v>
      </c>
      <c r="DI34" s="141">
        <f t="shared" si="24"/>
        <v>-24.516666666666424</v>
      </c>
      <c r="DJ34" s="118">
        <f t="shared" si="25"/>
        <v>0</v>
      </c>
      <c r="DK34" s="118">
        <f t="shared" si="26"/>
        <v>812034301.75</v>
      </c>
      <c r="DL34" s="118">
        <f t="shared" si="118"/>
        <v>454725255.08548498</v>
      </c>
      <c r="DM34" s="118">
        <f t="shared" si="119"/>
        <v>568522319.88619816</v>
      </c>
      <c r="DN34" s="118">
        <f t="shared" si="120"/>
        <v>0.79983712016180453</v>
      </c>
      <c r="DO34" s="350">
        <f t="shared" si="121"/>
        <v>44.439416834002159</v>
      </c>
      <c r="DP34" s="350">
        <v>0</v>
      </c>
      <c r="DQ34" s="351">
        <v>0</v>
      </c>
      <c r="DR34" s="135">
        <f t="shared" si="27"/>
        <v>129</v>
      </c>
      <c r="DS34" s="20">
        <f t="shared" si="28"/>
        <v>7225290</v>
      </c>
      <c r="DT34" s="21">
        <f t="shared" si="140"/>
        <v>14302293.544333352</v>
      </c>
      <c r="DU34" s="21">
        <f t="shared" si="135"/>
        <v>62940.863065521589</v>
      </c>
      <c r="DV34" s="319">
        <f t="shared" si="136"/>
        <v>227.2338326445354</v>
      </c>
      <c r="DW34" s="21">
        <f t="shared" si="137"/>
        <v>4544.6766528907083</v>
      </c>
      <c r="DX34" s="21">
        <f>DW34*'Base Data'!$D$10</f>
        <v>9089.3533057814166</v>
      </c>
      <c r="DY34" s="363">
        <f>IF(INT(('Base Data'!$D$7)/DX34)=0,0,INT(('Base Data'!$D$7)/DX34))</f>
        <v>1</v>
      </c>
      <c r="DZ34" s="364">
        <f t="shared" si="126"/>
        <v>1.0455704810405163E-2</v>
      </c>
      <c r="EA34" s="141">
        <f t="shared" si="29"/>
        <v>45.700000000000728</v>
      </c>
      <c r="EB34" s="143">
        <f t="shared" si="30"/>
        <v>4036361.1000000644</v>
      </c>
      <c r="EC34" s="118">
        <f t="shared" si="141"/>
        <v>7803337.7545767864</v>
      </c>
      <c r="ED34" s="118">
        <f t="shared" si="138"/>
        <v>109748.75988383577</v>
      </c>
      <c r="EE34" s="329">
        <f t="shared" si="139"/>
        <v>71.101830789124875</v>
      </c>
      <c r="EF34" s="118">
        <f t="shared" si="127"/>
        <v>5332.6373091843652</v>
      </c>
      <c r="EG34" s="118">
        <f>EF34*'Base Data'!$D$10</f>
        <v>10665.27461836873</v>
      </c>
      <c r="EH34" s="375">
        <f>IF(INT(('Base Data'!$D$7)/EG34)=0,0,INT(('Base Data'!$D$7)/EG34))</f>
        <v>0</v>
      </c>
      <c r="EI34" s="376">
        <f t="shared" si="128"/>
        <v>7.7433995795284241E-3</v>
      </c>
      <c r="EJ34" s="135">
        <f t="shared" si="31"/>
        <v>129</v>
      </c>
      <c r="EK34" s="21">
        <f t="shared" si="32"/>
        <v>7225290</v>
      </c>
      <c r="EL34" s="21">
        <f t="shared" si="78"/>
        <v>14205436.904236482</v>
      </c>
      <c r="EM34" s="21">
        <f t="shared" si="74"/>
        <v>65034.836714438701</v>
      </c>
      <c r="EN34" s="319">
        <f t="shared" si="75"/>
        <v>218.42811671244905</v>
      </c>
      <c r="EO34" s="21">
        <f t="shared" si="64"/>
        <v>4368.5623342489807</v>
      </c>
      <c r="EP34" s="21">
        <f>EO34*'Base Data'!$D$13</f>
        <v>3276.4217506867353</v>
      </c>
      <c r="EQ34" s="363">
        <f>IF(INT(('Base Data'!$D$7)/EP34)=0,0,INT(('Base Data'!$D$7)/EP34))</f>
        <v>3</v>
      </c>
      <c r="ER34" s="314">
        <f t="shared" si="65"/>
        <v>1.0050527617560808E-2</v>
      </c>
      <c r="ES34" s="143">
        <f t="shared" si="33"/>
        <v>45.700000000000728</v>
      </c>
      <c r="ET34" s="118">
        <f t="shared" si="34"/>
        <v>4036361.1000000644</v>
      </c>
      <c r="EU34" s="118">
        <f t="shared" si="79"/>
        <v>7414302.2133468511</v>
      </c>
      <c r="EV34" s="118">
        <f t="shared" si="76"/>
        <v>109525.0566622508</v>
      </c>
      <c r="EW34" s="329">
        <f t="shared" si="77"/>
        <v>67.695031979858214</v>
      </c>
      <c r="EX34" s="118">
        <f t="shared" si="66"/>
        <v>5077.127398489366</v>
      </c>
      <c r="EY34" s="118">
        <f>EX34*'Base Data'!$D$13</f>
        <v>3807.8455488670243</v>
      </c>
      <c r="EZ34" s="375">
        <f>IF(INT(('Base Data'!$D$7)/EY34)=0,0,INT(('Base Data'!$D$7)/EY34))</f>
        <v>2</v>
      </c>
      <c r="FA34" s="385">
        <f t="shared" si="67"/>
        <v>7.3723795344123946E-3</v>
      </c>
      <c r="FB34" s="397">
        <f t="shared" si="129"/>
        <v>1.7171564075866488</v>
      </c>
      <c r="FC34" s="403">
        <f t="shared" si="68"/>
        <v>0.66934682616493968</v>
      </c>
      <c r="FD34" s="510">
        <f t="shared" si="130"/>
        <v>0.19847456254337953</v>
      </c>
      <c r="FE34" s="509">
        <f t="shared" si="69"/>
        <v>-0.78470800263658524</v>
      </c>
      <c r="FF34" s="20">
        <f t="shared" si="14"/>
        <v>129</v>
      </c>
      <c r="FG34" s="17">
        <f t="shared" si="15"/>
        <v>5.9446319742860109E-3</v>
      </c>
      <c r="FH34" s="388">
        <f t="shared" si="70"/>
        <v>9.6495433219348573E-3</v>
      </c>
      <c r="FI34" s="388">
        <f t="shared" si="105"/>
        <v>9.1388802896919374E-3</v>
      </c>
      <c r="FJ34" s="314">
        <f t="shared" si="131"/>
        <v>9.3004906955065671E-3</v>
      </c>
      <c r="FK34" s="442">
        <f t="shared" si="16"/>
        <v>44.5</v>
      </c>
      <c r="FL34" s="18">
        <f t="shared" si="17"/>
        <v>4.8339353121690251E-3</v>
      </c>
      <c r="FM34" s="394">
        <f t="shared" si="71"/>
        <v>6.9315519635731668E-3</v>
      </c>
      <c r="FN34" s="394">
        <f t="shared" si="106"/>
        <v>6.0951683276873848E-3</v>
      </c>
      <c r="FO34" s="385">
        <f t="shared" si="132"/>
        <v>5.7496996980140672E-3</v>
      </c>
      <c r="FP34" s="416">
        <f t="shared" si="47"/>
        <v>2</v>
      </c>
      <c r="FQ34" s="417">
        <f t="shared" si="48"/>
        <v>1</v>
      </c>
      <c r="FR34" s="415">
        <f t="shared" si="122"/>
        <v>51.5269294836204</v>
      </c>
      <c r="FS34" s="413" t="str">
        <f t="shared" si="133"/>
        <v>T-D</v>
      </c>
      <c r="FT34" s="404">
        <f t="shared" si="123"/>
        <v>28.100924499229823</v>
      </c>
      <c r="FU34" s="414" t="str">
        <f t="shared" si="134"/>
        <v>C-D</v>
      </c>
      <c r="FV34" s="415">
        <f t="shared" si="62"/>
        <v>34.138345536007208</v>
      </c>
      <c r="FW34" s="413" t="str">
        <f t="shared" si="72"/>
        <v>T-D</v>
      </c>
      <c r="FX34" s="404">
        <f t="shared" si="63"/>
        <v>64.92985971943888</v>
      </c>
      <c r="FY34" s="414" t="str">
        <f t="shared" si="73"/>
        <v>T-R</v>
      </c>
    </row>
    <row r="35" spans="1:181" ht="11.15" thickBot="1" x14ac:dyDescent="0.35">
      <c r="A35" s="702" t="s">
        <v>25</v>
      </c>
      <c r="B35" s="703"/>
      <c r="C35" s="703"/>
      <c r="D35" s="93">
        <f ca="1">IF($H$35=0,IF(AND('Base Data'!$D$20&gt;='Base Data'!$D$19,'Base Data'!$D$20&lt;='Base Data'!$E$19),$B$33,($D$33+$E$33)/2),IF(AND('Base Data'!$D$20&gt;='Base Data'!$D$19,'Base Data'!$D$20&lt;='Base Data'!$E$19),($B$33*1000),((($D$33*1000)+($E$33*1000))/2)))</f>
        <v>10607.525000000001</v>
      </c>
      <c r="E35" s="154" t="s">
        <v>26</v>
      </c>
      <c r="F35" s="462">
        <f ca="1">IF($G$33=0,($D$35*$AV$69),IF($G$33=1,($D$35*$AN$69*SQRT('Base Data'!$D$18)),"Check 'Base Data D17'"))</f>
        <v>78.900886121114667</v>
      </c>
      <c r="G35" s="460" t="s">
        <v>271</v>
      </c>
      <c r="H35" s="463">
        <f>IF(F33/100&gt;=1,0,1)</f>
        <v>0</v>
      </c>
      <c r="L35" s="283">
        <f t="shared" si="35"/>
        <v>32</v>
      </c>
      <c r="M35" s="290">
        <f>'[4]BANKNIFTY-I'!C51</f>
        <v>42842</v>
      </c>
      <c r="N35" s="7">
        <f>'[4]BANKNIFTY-I'!D51</f>
        <v>21750.1</v>
      </c>
      <c r="O35" s="7">
        <f>'[4]BANKNIFTY-I'!E51</f>
        <v>21756.95</v>
      </c>
      <c r="P35" s="7">
        <f>'[4]BANKNIFTY-I'!F51</f>
        <v>21621</v>
      </c>
      <c r="Q35" s="7">
        <f>'[4]BANKNIFTY-I'!G51</f>
        <v>21702.05</v>
      </c>
      <c r="R35" s="11">
        <f>'[4]BANKNIFTY-I'!H51</f>
        <v>41696</v>
      </c>
      <c r="S35" s="291">
        <f>'[5]NIFTY-I'!C51</f>
        <v>42842</v>
      </c>
      <c r="T35" s="9">
        <f>'[5]NIFTY-I'!D51</f>
        <v>9172.25</v>
      </c>
      <c r="U35" s="9">
        <f>'[5]NIFTY-I'!E51</f>
        <v>9182.4</v>
      </c>
      <c r="V35" s="9">
        <f>'[5]NIFTY-I'!F51</f>
        <v>9142.25</v>
      </c>
      <c r="W35" s="9">
        <f>'[5]NIFTY-I'!G51</f>
        <v>9168.35</v>
      </c>
      <c r="X35" s="12">
        <f>'[5]NIFTY-I'!H51</f>
        <v>67414</v>
      </c>
      <c r="Y35" s="115"/>
      <c r="Z35" s="122">
        <f t="shared" si="36"/>
        <v>-1.4251165930822265E-3</v>
      </c>
      <c r="AA35" s="19">
        <f t="shared" si="18"/>
        <v>-1.5149371310381682E-3</v>
      </c>
      <c r="AB35" s="305">
        <f>IF(OR(SUM(Z15:Z35)=0,SUM('BNF-Nifty'!AA15:AA35)=0),0,(_xlfn.COVARIANCE.P(Z15:Z35,'BNF-Nifty'!AA15:AA35)/_xlfn.VAR.P('BNF-Nifty'!AA15:AA35)))</f>
        <v>0.95431729478034688</v>
      </c>
      <c r="AC35" s="306">
        <f>IF(OR(SUM(AA15:AA35)=0,SUM('BNF-Nifty'!AA15:AA35)=0),0,(_xlfn.COVARIANCE.P(AA15:AA35,'BNF-Nifty'!AA15:AA35)/_xlfn.VAR.P('BNF-Nifty'!AA15:AA35)))</f>
        <v>1.0000000000000002</v>
      </c>
      <c r="AD35" s="122">
        <f t="shared" si="0"/>
        <v>-4.1940316319343549E-4</v>
      </c>
      <c r="AE35" s="364">
        <f t="shared" si="124"/>
        <v>6.3495044607521575E-2</v>
      </c>
      <c r="AF35" s="513">
        <f t="shared" si="1"/>
        <v>-4.9202743084662106E-3</v>
      </c>
      <c r="AG35" s="522">
        <f t="shared" si="125"/>
        <v>2.9742724743668118E-2</v>
      </c>
      <c r="AH35" s="466">
        <f t="shared" si="37"/>
        <v>-1.4251165930822265E-3</v>
      </c>
      <c r="AI35" s="17">
        <f t="shared" si="38"/>
        <v>5.8509012990412791E-3</v>
      </c>
      <c r="AJ35" s="17">
        <f t="shared" si="39"/>
        <v>5.6833898941290534E-3</v>
      </c>
      <c r="AK35" s="314">
        <f t="shared" si="40"/>
        <v>0.1085810114678032</v>
      </c>
      <c r="AL35" s="467">
        <f t="shared" si="41"/>
        <v>-1.5149371310381682E-3</v>
      </c>
      <c r="AM35" s="18">
        <f t="shared" si="49"/>
        <v>4.6374598180071247E-3</v>
      </c>
      <c r="AN35" s="18">
        <f t="shared" si="19"/>
        <v>4.5114713365456199E-3</v>
      </c>
      <c r="AO35" s="385">
        <f t="shared" si="42"/>
        <v>8.6191538862422812E-2</v>
      </c>
      <c r="AP35" s="10">
        <f t="shared" si="2"/>
        <v>6.2681821120584074E-3</v>
      </c>
      <c r="AQ35" s="17">
        <f t="shared" si="43"/>
        <v>9.2094977830879179E-3</v>
      </c>
      <c r="AR35" s="17">
        <f t="shared" si="44"/>
        <v>9.0599870237818188E-3</v>
      </c>
      <c r="AS35" s="314">
        <f t="shared" si="45"/>
        <v>0.1730908090510575</v>
      </c>
      <c r="AT35" s="448">
        <f t="shared" si="3"/>
        <v>4.3820825225951614E-3</v>
      </c>
      <c r="AU35" s="18">
        <f t="shared" si="50"/>
        <v>6.1794127624189583E-3</v>
      </c>
      <c r="AV35" s="18">
        <f t="shared" si="20"/>
        <v>6.0865583376104723E-3</v>
      </c>
      <c r="AW35" s="385">
        <f t="shared" si="46"/>
        <v>0.11628353376533788</v>
      </c>
      <c r="AX35" s="6">
        <f t="shared" si="4"/>
        <v>906892169.5999999</v>
      </c>
      <c r="AY35" s="319">
        <v>0</v>
      </c>
      <c r="AZ35" s="140">
        <f t="shared" si="5"/>
        <v>618338061.5</v>
      </c>
      <c r="BA35" s="481">
        <v>0</v>
      </c>
      <c r="BB35" s="135">
        <f t="shared" si="98"/>
        <v>1304460202.374197</v>
      </c>
      <c r="BC35" s="21">
        <f t="shared" si="99"/>
        <v>60670.521594378726</v>
      </c>
      <c r="BD35" s="319">
        <f t="shared" si="100"/>
        <v>21500.725032419345</v>
      </c>
      <c r="BE35" s="21">
        <f t="shared" si="6"/>
        <v>21693.333333333332</v>
      </c>
      <c r="BF35" s="21">
        <f t="shared" si="7"/>
        <v>904525226.66666663</v>
      </c>
      <c r="BG35" s="21">
        <f t="shared" si="59"/>
        <v>1256546970.9838519</v>
      </c>
      <c r="BH35" s="21">
        <f t="shared" si="55"/>
        <v>57999.123260060551</v>
      </c>
      <c r="BI35" s="332">
        <f t="shared" si="56"/>
        <v>21664.930439545751</v>
      </c>
      <c r="BJ35" s="141">
        <f t="shared" si="101"/>
        <v>962058229.60533965</v>
      </c>
      <c r="BK35" s="118">
        <f t="shared" si="102"/>
        <v>104680.46394783533</v>
      </c>
      <c r="BL35" s="329">
        <f t="shared" si="107"/>
        <v>9190.427643545363</v>
      </c>
      <c r="BM35" s="118">
        <f t="shared" si="8"/>
        <v>9164.3333333333339</v>
      </c>
      <c r="BN35" s="118">
        <f t="shared" si="9"/>
        <v>617804367.33333337</v>
      </c>
      <c r="BO35" s="118">
        <f t="shared" si="60"/>
        <v>871622077.88888979</v>
      </c>
      <c r="BP35" s="118">
        <f t="shared" si="57"/>
        <v>94703.111013022848</v>
      </c>
      <c r="BQ35" s="325">
        <f t="shared" si="61"/>
        <v>9203.7322593238878</v>
      </c>
      <c r="BR35" s="6">
        <f t="shared" si="10"/>
        <v>901509216</v>
      </c>
      <c r="BS35" s="8">
        <f t="shared" si="11"/>
        <v>907177787.20000005</v>
      </c>
      <c r="BT35" s="331">
        <f t="shared" si="86"/>
        <v>21513.035610262439</v>
      </c>
      <c r="BU35" s="319">
        <f t="shared" si="51"/>
        <v>21537.56384159136</v>
      </c>
      <c r="BV35" s="319">
        <f t="shared" si="52"/>
        <v>21756.333285043296</v>
      </c>
      <c r="BW35" s="331">
        <v>0</v>
      </c>
      <c r="BX35" s="319">
        <f t="shared" si="87"/>
        <v>21445.21998242904</v>
      </c>
      <c r="BY35" s="332">
        <f t="shared" si="88"/>
        <v>21647.319684535683</v>
      </c>
      <c r="BZ35" s="140">
        <f t="shared" si="12"/>
        <v>616315641.5</v>
      </c>
      <c r="CA35" s="142">
        <f t="shared" si="13"/>
        <v>619022313.60000002</v>
      </c>
      <c r="CB35" s="339">
        <f t="shared" si="89"/>
        <v>9196.6303292480025</v>
      </c>
      <c r="CC35" s="329">
        <f t="shared" si="53"/>
        <v>9175.6184983945168</v>
      </c>
      <c r="CD35" s="329">
        <f t="shared" si="54"/>
        <v>9243.4515048404101</v>
      </c>
      <c r="CE35" s="339">
        <v>0</v>
      </c>
      <c r="CF35" s="329">
        <f t="shared" si="90"/>
        <v>9170.0437399319326</v>
      </c>
      <c r="CG35" s="325">
        <f t="shared" si="91"/>
        <v>9223.8151093213855</v>
      </c>
      <c r="CH35" s="20">
        <f t="shared" si="92"/>
        <v>1304906690.0774267</v>
      </c>
      <c r="CI35" s="21">
        <f t="shared" si="93"/>
        <v>60553.453005606985</v>
      </c>
      <c r="CJ35" s="21">
        <f t="shared" si="94"/>
        <v>21549.666043926478</v>
      </c>
      <c r="CK35" s="21">
        <f t="shared" si="142"/>
        <v>1303540814.6800485</v>
      </c>
      <c r="CL35" s="21">
        <f t="shared" si="143"/>
        <v>61227.348289921181</v>
      </c>
      <c r="CM35" s="21">
        <f t="shared" si="148"/>
        <v>21290.17262853809</v>
      </c>
      <c r="CN35" s="342">
        <f t="shared" si="144"/>
        <v>259.4934153883878</v>
      </c>
      <c r="CO35" s="342">
        <v>0</v>
      </c>
      <c r="CP35" s="343">
        <v>0</v>
      </c>
      <c r="CQ35" s="141">
        <f t="shared" si="95"/>
        <v>956314670.80082297</v>
      </c>
      <c r="CR35" s="118">
        <f t="shared" si="96"/>
        <v>104042.22628465321</v>
      </c>
      <c r="CS35" s="118">
        <f t="shared" si="104"/>
        <v>9191.6013810047098</v>
      </c>
      <c r="CT35" s="118">
        <f t="shared" si="145"/>
        <v>983709053.83951318</v>
      </c>
      <c r="CU35" s="118">
        <f t="shared" si="146"/>
        <v>107778.28673010493</v>
      </c>
      <c r="CV35" s="118">
        <f t="shared" si="149"/>
        <v>9127.1543061626799</v>
      </c>
      <c r="CW35" s="350">
        <f t="shared" si="150"/>
        <v>64.447074842029906</v>
      </c>
      <c r="CX35" s="350">
        <v>0</v>
      </c>
      <c r="CY35" s="351">
        <v>0</v>
      </c>
      <c r="CZ35" s="20">
        <f t="shared" si="21"/>
        <v>-34.666666666667879</v>
      </c>
      <c r="DA35" s="21">
        <f t="shared" si="22"/>
        <v>0</v>
      </c>
      <c r="DB35" s="21">
        <f t="shared" si="23"/>
        <v>904525226.66666663</v>
      </c>
      <c r="DC35" s="21">
        <f t="shared" si="114"/>
        <v>882378754.90859163</v>
      </c>
      <c r="DD35" s="21">
        <f t="shared" si="115"/>
        <v>430317973.70774293</v>
      </c>
      <c r="DE35" s="21">
        <f t="shared" si="116"/>
        <v>2.0505273049734911</v>
      </c>
      <c r="DF35" s="342">
        <f t="shared" si="117"/>
        <v>67.218782196454072</v>
      </c>
      <c r="DG35" s="342">
        <v>0</v>
      </c>
      <c r="DH35" s="355">
        <v>0</v>
      </c>
      <c r="DI35" s="141">
        <f t="shared" si="24"/>
        <v>-29.583333333332121</v>
      </c>
      <c r="DJ35" s="118">
        <f t="shared" si="25"/>
        <v>0</v>
      </c>
      <c r="DK35" s="118">
        <f t="shared" si="26"/>
        <v>617804367.33333337</v>
      </c>
      <c r="DL35" s="118">
        <f t="shared" si="118"/>
        <v>394095221.07408696</v>
      </c>
      <c r="DM35" s="118">
        <f t="shared" si="119"/>
        <v>575093259.54581618</v>
      </c>
      <c r="DN35" s="118">
        <f t="shared" si="120"/>
        <v>0.68527184857865719</v>
      </c>
      <c r="DO35" s="350">
        <f t="shared" si="121"/>
        <v>40.66239219248866</v>
      </c>
      <c r="DP35" s="350">
        <v>0</v>
      </c>
      <c r="DQ35" s="351">
        <v>0</v>
      </c>
      <c r="DR35" s="135">
        <f t="shared" si="27"/>
        <v>135.95000000000073</v>
      </c>
      <c r="DS35" s="20">
        <f t="shared" si="28"/>
        <v>5668571.20000003</v>
      </c>
      <c r="DT35" s="21">
        <f t="shared" si="140"/>
        <v>13517409.694848504</v>
      </c>
      <c r="DU35" s="21">
        <f t="shared" si="135"/>
        <v>61009.511877746896</v>
      </c>
      <c r="DV35" s="319">
        <f t="shared" si="136"/>
        <v>221.56233149242672</v>
      </c>
      <c r="DW35" s="21">
        <f t="shared" si="137"/>
        <v>4431.2466298485342</v>
      </c>
      <c r="DX35" s="21">
        <f>DW35*'Base Data'!$D$10</f>
        <v>8862.4932596970684</v>
      </c>
      <c r="DY35" s="363">
        <f>IF(INT(('Base Data'!$D$7)/DX35)=0,0,INT(('Base Data'!$D$7)/DX35))</f>
        <v>1</v>
      </c>
      <c r="DZ35" s="364">
        <f t="shared" si="126"/>
        <v>1.0209281219627948E-2</v>
      </c>
      <c r="EA35" s="141">
        <f t="shared" si="29"/>
        <v>40.149999999999636</v>
      </c>
      <c r="EB35" s="143">
        <f t="shared" si="30"/>
        <v>2706672.0999999754</v>
      </c>
      <c r="EC35" s="118">
        <f t="shared" si="141"/>
        <v>7340004.5132516222</v>
      </c>
      <c r="ED35" s="118">
        <f t="shared" si="138"/>
        <v>105900.1453489416</v>
      </c>
      <c r="EE35" s="329">
        <f t="shared" si="139"/>
        <v>69.310617932263114</v>
      </c>
      <c r="EF35" s="118">
        <f t="shared" si="127"/>
        <v>5198.2963449197332</v>
      </c>
      <c r="EG35" s="118">
        <f>EF35*'Base Data'!$D$10</f>
        <v>10396.592689839466</v>
      </c>
      <c r="EH35" s="375">
        <f>IF(INT(('Base Data'!$D$7)/EG35)=0,0,INT(('Base Data'!$D$7)/EG35))</f>
        <v>1</v>
      </c>
      <c r="EI35" s="376">
        <f t="shared" si="128"/>
        <v>7.5597700711974468E-3</v>
      </c>
      <c r="EJ35" s="135">
        <f t="shared" si="31"/>
        <v>135.95000000000073</v>
      </c>
      <c r="EK35" s="21">
        <f t="shared" si="32"/>
        <v>5668571.20000003</v>
      </c>
      <c r="EL35" s="21">
        <f t="shared" si="78"/>
        <v>12308355.636628382</v>
      </c>
      <c r="EM35" s="21">
        <f t="shared" si="74"/>
        <v>59848.428555674545</v>
      </c>
      <c r="EN35" s="319">
        <f t="shared" si="75"/>
        <v>205.65879395109636</v>
      </c>
      <c r="EO35" s="21">
        <f t="shared" si="64"/>
        <v>4113.1758790219274</v>
      </c>
      <c r="EP35" s="21">
        <f>EO35*'Base Data'!$D$13</f>
        <v>3084.8819092664453</v>
      </c>
      <c r="EQ35" s="363">
        <f>IF(INT(('Base Data'!$D$7)/EP35)=0,0,INT(('Base Data'!$D$7)/EP35))</f>
        <v>3</v>
      </c>
      <c r="ER35" s="314">
        <f t="shared" si="65"/>
        <v>9.4764685341290969E-3</v>
      </c>
      <c r="ES35" s="143">
        <f t="shared" si="33"/>
        <v>40.149999999999636</v>
      </c>
      <c r="ET35" s="118">
        <f t="shared" si="34"/>
        <v>2706672.0999999754</v>
      </c>
      <c r="EU35" s="118">
        <f t="shared" si="79"/>
        <v>6368162.1881586565</v>
      </c>
      <c r="EV35" s="118">
        <f t="shared" si="76"/>
        <v>100167.04407063952</v>
      </c>
      <c r="EW35" s="329">
        <f t="shared" si="77"/>
        <v>63.575422907236032</v>
      </c>
      <c r="EX35" s="118">
        <f t="shared" si="66"/>
        <v>4768.1567180427028</v>
      </c>
      <c r="EY35" s="118">
        <f>EX35*'Base Data'!$D$13</f>
        <v>3576.1175385320271</v>
      </c>
      <c r="EZ35" s="375">
        <f>IF(INT(('Base Data'!$D$7)/EY35)=0,0,INT(('Base Data'!$D$7)/EY35))</f>
        <v>2</v>
      </c>
      <c r="FA35" s="385">
        <f t="shared" si="67"/>
        <v>6.934227304502558E-3</v>
      </c>
      <c r="FB35" s="397">
        <f t="shared" si="129"/>
        <v>1.5060078169741291</v>
      </c>
      <c r="FC35" s="403">
        <f t="shared" si="68"/>
        <v>0.43339381840971369</v>
      </c>
      <c r="FD35" s="510">
        <f t="shared" si="130"/>
        <v>-5.2627132125463327E-2</v>
      </c>
      <c r="FE35" s="509">
        <f t="shared" si="69"/>
        <v>-1.0539319064292254</v>
      </c>
      <c r="FF35" s="20">
        <f t="shared" si="14"/>
        <v>135.95000000000073</v>
      </c>
      <c r="FG35" s="17">
        <f t="shared" si="15"/>
        <v>6.2505459745013005E-3</v>
      </c>
      <c r="FH35" s="388">
        <f t="shared" si="70"/>
        <v>9.63102049141909E-3</v>
      </c>
      <c r="FI35" s="388">
        <f t="shared" si="105"/>
        <v>8.9503254109506367E-3</v>
      </c>
      <c r="FJ35" s="314">
        <f t="shared" si="131"/>
        <v>9.2191446147161411E-3</v>
      </c>
      <c r="FK35" s="442">
        <f t="shared" si="16"/>
        <v>40.149999999999636</v>
      </c>
      <c r="FL35" s="18">
        <f t="shared" si="17"/>
        <v>4.3773338057728076E-3</v>
      </c>
      <c r="FM35" s="394">
        <f t="shared" si="71"/>
        <v>6.523087104925376E-3</v>
      </c>
      <c r="FN35" s="394">
        <f t="shared" si="106"/>
        <v>5.7917755178440783E-3</v>
      </c>
      <c r="FO35" s="385">
        <f t="shared" si="132"/>
        <v>5.8092726113320959E-3</v>
      </c>
      <c r="FP35" s="416">
        <f t="shared" si="47"/>
        <v>2</v>
      </c>
      <c r="FQ35" s="417">
        <f t="shared" si="48"/>
        <v>1</v>
      </c>
      <c r="FR35" s="415">
        <f t="shared" si="122"/>
        <v>39.49825854323359</v>
      </c>
      <c r="FS35" s="413" t="str">
        <f t="shared" si="133"/>
        <v>T-D</v>
      </c>
      <c r="FT35" s="404">
        <f t="shared" si="123"/>
        <v>3.0046224961476353</v>
      </c>
      <c r="FU35" s="414" t="str">
        <f t="shared" si="134"/>
        <v>C-D</v>
      </c>
      <c r="FV35" s="415">
        <f t="shared" si="62"/>
        <v>4.0323461916732066</v>
      </c>
      <c r="FW35" s="413" t="str">
        <f t="shared" si="72"/>
        <v>C-D</v>
      </c>
      <c r="FX35" s="404">
        <f t="shared" si="63"/>
        <v>77.457404980339859</v>
      </c>
      <c r="FY35" s="414" t="str">
        <f t="shared" si="73"/>
        <v>T-R</v>
      </c>
    </row>
    <row r="36" spans="1:181" ht="11.15" thickBot="1" x14ac:dyDescent="0.35">
      <c r="E36" s="22"/>
      <c r="F36" s="22"/>
      <c r="G36" s="23"/>
      <c r="H36" s="23"/>
      <c r="I36" s="23"/>
      <c r="J36" s="23"/>
      <c r="L36" s="283">
        <f t="shared" si="35"/>
        <v>33</v>
      </c>
      <c r="M36" s="290">
        <f>'[4]BANKNIFTY-I'!C52</f>
        <v>42843</v>
      </c>
      <c r="N36" s="7">
        <f>'[4]BANKNIFTY-I'!D52</f>
        <v>21745</v>
      </c>
      <c r="O36" s="7">
        <f>'[4]BANKNIFTY-I'!E52</f>
        <v>21973.5</v>
      </c>
      <c r="P36" s="7">
        <f>'[4]BANKNIFTY-I'!F52</f>
        <v>21670.9</v>
      </c>
      <c r="Q36" s="7">
        <f>'[4]BANKNIFTY-I'!G52</f>
        <v>21692.95</v>
      </c>
      <c r="R36" s="11">
        <f>'[4]BANKNIFTY-I'!H52</f>
        <v>97562</v>
      </c>
      <c r="S36" s="291">
        <f>'[5]NIFTY-I'!C52</f>
        <v>42843</v>
      </c>
      <c r="T36" s="9">
        <f>'[5]NIFTY-I'!D52</f>
        <v>9171.35</v>
      </c>
      <c r="U36" s="9">
        <f>'[5]NIFTY-I'!E52</f>
        <v>9246.65</v>
      </c>
      <c r="V36" s="9">
        <f>'[5]NIFTY-I'!F52</f>
        <v>9115.2000000000007</v>
      </c>
      <c r="W36" s="9">
        <f>'[5]NIFTY-I'!G52</f>
        <v>9123.35</v>
      </c>
      <c r="X36" s="12">
        <f>'[5]NIFTY-I'!H52</f>
        <v>167744</v>
      </c>
      <c r="Y36" s="115"/>
      <c r="Z36" s="122">
        <f t="shared" si="36"/>
        <v>-4.1940316319343549E-4</v>
      </c>
      <c r="AA36" s="19">
        <f t="shared" si="18"/>
        <v>-4.9202743084662106E-3</v>
      </c>
      <c r="AB36" s="305">
        <f>IF(OR(SUM(Z16:Z36)=0,SUM('BNF-Nifty'!AA16:AA36)=0),0,(_xlfn.COVARIANCE.P(Z16:Z36,'BNF-Nifty'!AA16:AA36)/_xlfn.VAR.P('BNF-Nifty'!AA16:AA36)))</f>
        <v>0.97962974353416776</v>
      </c>
      <c r="AC36" s="306">
        <f>IF(OR(SUM(AA16:AA36)=0,SUM('BNF-Nifty'!AA16:AA36)=0),0,(_xlfn.COVARIANCE.P(AA16:AA36,'BNF-Nifty'!AA16:AA36)/_xlfn.VAR.P('BNF-Nifty'!AA16:AA36)))</f>
        <v>1.0000000000000002</v>
      </c>
      <c r="AD36" s="122">
        <f t="shared" ref="AD36:AD66" si="151">Z37</f>
        <v>-3.4980288565628461E-3</v>
      </c>
      <c r="AE36" s="364">
        <f t="shared" si="124"/>
        <v>9.1002268891142879E-2</v>
      </c>
      <c r="AF36" s="513">
        <f t="shared" ref="AF36:AF66" si="152">AA37</f>
        <v>1.276128629477073E-3</v>
      </c>
      <c r="AG36" s="522">
        <f t="shared" si="125"/>
        <v>1.7699107315882697E-2</v>
      </c>
      <c r="AH36" s="466">
        <f t="shared" si="37"/>
        <v>-4.1940316319343549E-4</v>
      </c>
      <c r="AI36" s="17">
        <f t="shared" si="38"/>
        <v>5.6833898941290534E-3</v>
      </c>
      <c r="AJ36" s="17">
        <f t="shared" si="39"/>
        <v>5.511208523378947E-3</v>
      </c>
      <c r="AK36" s="314">
        <f t="shared" si="40"/>
        <v>0.10529149099846641</v>
      </c>
      <c r="AL36" s="467">
        <f t="shared" si="41"/>
        <v>-4.9202743084662106E-3</v>
      </c>
      <c r="AM36" s="18">
        <f t="shared" si="49"/>
        <v>4.5114713365456199E-3</v>
      </c>
      <c r="AN36" s="18">
        <f t="shared" si="19"/>
        <v>4.5370383687464572E-3</v>
      </c>
      <c r="AO36" s="385">
        <f t="shared" si="42"/>
        <v>8.6679996326772479E-2</v>
      </c>
      <c r="AP36" s="10">
        <f t="shared" ref="AP36:AP67" si="153">IF(P36=0,0,LN(O36/P36))</f>
        <v>1.3866835097973235E-2</v>
      </c>
      <c r="AQ36" s="17">
        <f t="shared" si="43"/>
        <v>9.0599870237818188E-3</v>
      </c>
      <c r="AR36" s="17">
        <f t="shared" si="44"/>
        <v>9.4178399814868457E-3</v>
      </c>
      <c r="AS36" s="314">
        <f t="shared" si="45"/>
        <v>0.17992758020844285</v>
      </c>
      <c r="AT36" s="448">
        <f t="shared" ref="AT36:AT67" si="154">IF(V36=0,0,LN(U36/V36))</f>
        <v>1.4317974021623317E-2</v>
      </c>
      <c r="AU36" s="18">
        <f t="shared" si="50"/>
        <v>6.0865583376104723E-3</v>
      </c>
      <c r="AV36" s="18">
        <f t="shared" si="20"/>
        <v>6.8646692315318609E-3</v>
      </c>
      <c r="AW36" s="385">
        <f t="shared" si="46"/>
        <v>0.13114932152052552</v>
      </c>
      <c r="AX36" s="6">
        <f t="shared" ref="AX36:AX67" si="155">(N36*R36)</f>
        <v>2121485690</v>
      </c>
      <c r="AY36" s="319">
        <v>0</v>
      </c>
      <c r="AZ36" s="140">
        <f t="shared" ref="AZ36:AZ67" si="156">(T36*X36)</f>
        <v>1538438934.4000001</v>
      </c>
      <c r="BA36" s="481">
        <v>0</v>
      </c>
      <c r="BB36" s="135">
        <f t="shared" si="98"/>
        <v>1421178129.1778831</v>
      </c>
      <c r="BC36" s="21">
        <f t="shared" si="99"/>
        <v>65940.732795181772</v>
      </c>
      <c r="BD36" s="319">
        <f t="shared" si="100"/>
        <v>21552.355713003653</v>
      </c>
      <c r="BE36" s="21">
        <f t="shared" ref="BE36:BE67" si="157">(O36+P36+Q36)/3</f>
        <v>21779.116666666669</v>
      </c>
      <c r="BF36" s="21">
        <f t="shared" ref="BF36:BF67" si="158">(BE36*R36)</f>
        <v>2124814180.2333336</v>
      </c>
      <c r="BG36" s="21">
        <f t="shared" si="59"/>
        <v>1545969374.0670123</v>
      </c>
      <c r="BH36" s="21">
        <f t="shared" si="55"/>
        <v>71186.748840040367</v>
      </c>
      <c r="BI36" s="332">
        <f t="shared" si="56"/>
        <v>21717.094814104672</v>
      </c>
      <c r="BJ36" s="141">
        <f t="shared" si="101"/>
        <v>1044398330.2902911</v>
      </c>
      <c r="BK36" s="118">
        <f t="shared" si="102"/>
        <v>113689.54052671599</v>
      </c>
      <c r="BL36" s="329">
        <f t="shared" si="107"/>
        <v>9186.4064666957383</v>
      </c>
      <c r="BM36" s="118">
        <f t="shared" ref="BM36:BM67" si="159">(U36+V36+W36)/3</f>
        <v>9161.7333333333318</v>
      </c>
      <c r="BN36" s="118">
        <f t="shared" ref="BN36:BN67" si="160">(BM36*X36)</f>
        <v>1536825796.2666664</v>
      </c>
      <c r="BO36" s="118">
        <f t="shared" si="60"/>
        <v>1093356650.6814821</v>
      </c>
      <c r="BP36" s="118">
        <f t="shared" si="57"/>
        <v>119050.0740086819</v>
      </c>
      <c r="BQ36" s="325">
        <f t="shared" si="61"/>
        <v>9184.0064761467311</v>
      </c>
      <c r="BR36" s="6">
        <f t="shared" ref="BR36:BR67" si="161">(P36*R36)</f>
        <v>2114256345.8000002</v>
      </c>
      <c r="BS36" s="8">
        <f t="shared" ref="BS36:BS67" si="162">(O36*R36)</f>
        <v>2143778607</v>
      </c>
      <c r="BT36" s="331">
        <f t="shared" si="86"/>
        <v>21561.679618268576</v>
      </c>
      <c r="BU36" s="319">
        <f t="shared" si="51"/>
        <v>21601.335130956762</v>
      </c>
      <c r="BV36" s="319">
        <f t="shared" si="52"/>
        <v>21841.53425687346</v>
      </c>
      <c r="BW36" s="331">
        <v>0</v>
      </c>
      <c r="BX36" s="319">
        <f t="shared" si="87"/>
        <v>21493.685716159733</v>
      </c>
      <c r="BY36" s="332">
        <f t="shared" si="88"/>
        <v>21714.048644340695</v>
      </c>
      <c r="BZ36" s="140">
        <f t="shared" ref="BZ36:BZ67" si="163">(V36*X36)</f>
        <v>1529020108.8000002</v>
      </c>
      <c r="CA36" s="142">
        <f t="shared" ref="CA36:CA67" si="164">(U36*X36)</f>
        <v>1551070057.5999999</v>
      </c>
      <c r="CB36" s="339">
        <f t="shared" si="89"/>
        <v>9203.1979111959408</v>
      </c>
      <c r="CC36" s="329">
        <f t="shared" si="53"/>
        <v>9155.2586293640088</v>
      </c>
      <c r="CD36" s="329">
        <f t="shared" si="54"/>
        <v>9243.6268133732556</v>
      </c>
      <c r="CE36" s="339">
        <v>0</v>
      </c>
      <c r="CF36" s="329">
        <f t="shared" si="90"/>
        <v>9171.6644145156715</v>
      </c>
      <c r="CG36" s="325">
        <f t="shared" si="91"/>
        <v>9235.7439878722744</v>
      </c>
      <c r="CH36" s="20">
        <f t="shared" si="92"/>
        <v>1431046303.9475663</v>
      </c>
      <c r="CI36" s="21">
        <f t="shared" si="93"/>
        <v>66247.075620128991</v>
      </c>
      <c r="CJ36" s="21">
        <f t="shared" si="94"/>
        <v>21601.652458644479</v>
      </c>
      <c r="CK36" s="21">
        <f t="shared" si="142"/>
        <v>1364375878.7951066</v>
      </c>
      <c r="CL36" s="21">
        <f t="shared" si="143"/>
        <v>63918.803972149239</v>
      </c>
      <c r="CM36" s="21">
        <f t="shared" si="148"/>
        <v>21345.453825913166</v>
      </c>
      <c r="CN36" s="342">
        <f t="shared" si="144"/>
        <v>256.19863273131341</v>
      </c>
      <c r="CO36" s="342">
        <v>0</v>
      </c>
      <c r="CP36" s="343">
        <v>0</v>
      </c>
      <c r="CQ36" s="141">
        <f t="shared" si="95"/>
        <v>1045624074.7186451</v>
      </c>
      <c r="CR36" s="118">
        <f t="shared" si="96"/>
        <v>113842.49916393733</v>
      </c>
      <c r="CS36" s="118">
        <f t="shared" si="104"/>
        <v>9184.8306423149443</v>
      </c>
      <c r="CT36" s="118">
        <f t="shared" si="145"/>
        <v>1024680664.3896726</v>
      </c>
      <c r="CU36" s="118">
        <f t="shared" si="146"/>
        <v>112220.19141676382</v>
      </c>
      <c r="CV36" s="118">
        <f t="shared" si="149"/>
        <v>9130.9830383750577</v>
      </c>
      <c r="CW36" s="350">
        <f t="shared" si="150"/>
        <v>53.84760393988654</v>
      </c>
      <c r="CX36" s="350">
        <v>0</v>
      </c>
      <c r="CY36" s="351">
        <v>0</v>
      </c>
      <c r="CZ36" s="20">
        <f t="shared" si="21"/>
        <v>85.783333333336486</v>
      </c>
      <c r="DA36" s="21">
        <f t="shared" si="22"/>
        <v>2124814180.2333336</v>
      </c>
      <c r="DB36" s="21">
        <f t="shared" si="23"/>
        <v>0</v>
      </c>
      <c r="DC36" s="21">
        <f t="shared" si="114"/>
        <v>1048036811.6185572</v>
      </c>
      <c r="DD36" s="21">
        <f t="shared" si="115"/>
        <v>372942243.88004386</v>
      </c>
      <c r="DE36" s="21">
        <f t="shared" si="116"/>
        <v>2.810185300315982</v>
      </c>
      <c r="DF36" s="342">
        <f t="shared" si="117"/>
        <v>73.754557293655267</v>
      </c>
      <c r="DG36" s="342">
        <v>0</v>
      </c>
      <c r="DH36" s="355">
        <v>0</v>
      </c>
      <c r="DI36" s="141">
        <f t="shared" si="24"/>
        <v>-2.6000000000021828</v>
      </c>
      <c r="DJ36" s="118">
        <f t="shared" si="25"/>
        <v>0</v>
      </c>
      <c r="DK36" s="118">
        <f t="shared" si="26"/>
        <v>1536825796.2666664</v>
      </c>
      <c r="DL36" s="118">
        <f t="shared" si="118"/>
        <v>341549191.59754205</v>
      </c>
      <c r="DM36" s="118">
        <f t="shared" si="119"/>
        <v>703324264.44192958</v>
      </c>
      <c r="DN36" s="118">
        <f t="shared" si="120"/>
        <v>0.48562122603370278</v>
      </c>
      <c r="DO36" s="350">
        <f t="shared" si="121"/>
        <v>32.68809152183492</v>
      </c>
      <c r="DP36" s="350">
        <v>0</v>
      </c>
      <c r="DQ36" s="351">
        <v>0</v>
      </c>
      <c r="DR36" s="135">
        <f t="shared" si="27"/>
        <v>302.59999999999854</v>
      </c>
      <c r="DS36" s="20">
        <f t="shared" si="28"/>
        <v>29522261.199999858</v>
      </c>
      <c r="DT36" s="21">
        <f t="shared" si="140"/>
        <v>14972396.195316808</v>
      </c>
      <c r="DU36" s="21">
        <f t="shared" si="135"/>
        <v>64332.465343406271</v>
      </c>
      <c r="DV36" s="319">
        <f t="shared" si="136"/>
        <v>232.73468715048082</v>
      </c>
      <c r="DW36" s="21">
        <f t="shared" si="137"/>
        <v>4654.6937430096168</v>
      </c>
      <c r="DX36" s="21">
        <f>DW36*'Base Data'!$D$10</f>
        <v>9309.3874860192336</v>
      </c>
      <c r="DY36" s="363">
        <f>IF(INT(('Base Data'!$D$7)/DX36)=0,0,INT(('Base Data'!$D$7)/DX36))</f>
        <v>1</v>
      </c>
      <c r="DZ36" s="364">
        <f t="shared" si="126"/>
        <v>1.0728586344894576E-2</v>
      </c>
      <c r="EA36" s="141">
        <f t="shared" si="29"/>
        <v>131.44999999999891</v>
      </c>
      <c r="EB36" s="143">
        <f t="shared" si="30"/>
        <v>22049948.799999818</v>
      </c>
      <c r="EC36" s="118">
        <f t="shared" si="141"/>
        <v>8677272.1756832767</v>
      </c>
      <c r="ED36" s="118">
        <f t="shared" si="138"/>
        <v>111522.31395358327</v>
      </c>
      <c r="EE36" s="329">
        <f t="shared" si="139"/>
        <v>77.807497603527537</v>
      </c>
      <c r="EF36" s="118">
        <f t="shared" si="127"/>
        <v>5835.5623202645656</v>
      </c>
      <c r="EG36" s="118">
        <f>EF36*'Base Data'!$D$10</f>
        <v>11671.124640529131</v>
      </c>
      <c r="EH36" s="375">
        <f>IF(INT(('Base Data'!$D$7)/EG36)=0,0,INT(('Base Data'!$D$7)/EG36))</f>
        <v>0</v>
      </c>
      <c r="EI36" s="376">
        <f t="shared" si="128"/>
        <v>8.528391172489002E-3</v>
      </c>
      <c r="EJ36" s="135">
        <f t="shared" si="31"/>
        <v>302.59999999999854</v>
      </c>
      <c r="EK36" s="21">
        <f t="shared" si="32"/>
        <v>29522261.199999858</v>
      </c>
      <c r="EL36" s="21">
        <f t="shared" si="78"/>
        <v>16133667.984044265</v>
      </c>
      <c r="EM36" s="21">
        <f t="shared" si="74"/>
        <v>68229.222209969084</v>
      </c>
      <c r="EN36" s="319">
        <f t="shared" si="75"/>
        <v>236.46272757432882</v>
      </c>
      <c r="EO36" s="21">
        <f t="shared" si="64"/>
        <v>4729.254551486576</v>
      </c>
      <c r="EP36" s="21">
        <f>EO36*'Base Data'!$D$13</f>
        <v>3546.940913614932</v>
      </c>
      <c r="EQ36" s="363">
        <f>IF(INT(('Base Data'!$D$7)/EP36)=0,0,INT(('Base Data'!$D$7)/EP36))</f>
        <v>2</v>
      </c>
      <c r="ER36" s="314">
        <f t="shared" si="65"/>
        <v>1.0900441275821352E-2</v>
      </c>
      <c r="ES36" s="143">
        <f t="shared" si="33"/>
        <v>131.44999999999891</v>
      </c>
      <c r="ET36" s="118">
        <f t="shared" si="34"/>
        <v>22049948.799999818</v>
      </c>
      <c r="EU36" s="118">
        <f t="shared" si="79"/>
        <v>9853003.6574566923</v>
      </c>
      <c r="EV36" s="118">
        <f t="shared" si="76"/>
        <v>115184.14538827518</v>
      </c>
      <c r="EW36" s="329">
        <f t="shared" si="77"/>
        <v>85.541318418807734</v>
      </c>
      <c r="EX36" s="118">
        <f t="shared" si="66"/>
        <v>6415.5988814105804</v>
      </c>
      <c r="EY36" s="118">
        <f>EX36*'Base Data'!$D$13</f>
        <v>4811.6991610579353</v>
      </c>
      <c r="EZ36" s="375">
        <f>IF(INT(('Base Data'!$D$7)/EY36)=0,0,INT(('Base Data'!$D$7)/EY36))</f>
        <v>2</v>
      </c>
      <c r="FA36" s="385">
        <f t="shared" si="67"/>
        <v>9.3760864615308782E-3</v>
      </c>
      <c r="FB36" s="397">
        <f t="shared" si="129"/>
        <v>1.2953267259321022</v>
      </c>
      <c r="FC36" s="403">
        <f t="shared" si="68"/>
        <v>0.2567793690906906</v>
      </c>
      <c r="FD36" s="510">
        <f t="shared" si="130"/>
        <v>-0.65627983981299387</v>
      </c>
      <c r="FE36" s="509">
        <f t="shared" si="69"/>
        <v>-1.188679948819251</v>
      </c>
      <c r="FF36" s="20">
        <f t="shared" ref="FF36:FF67" si="165">(O36-P36)</f>
        <v>302.59999999999854</v>
      </c>
      <c r="FG36" s="17">
        <f t="shared" ref="FG36:FG67" si="166">FF36/N36</f>
        <v>1.3915842722464867E-2</v>
      </c>
      <c r="FH36" s="388">
        <f t="shared" si="70"/>
        <v>1.024443206484049E-2</v>
      </c>
      <c r="FI36" s="388">
        <f t="shared" si="105"/>
        <v>9.6039998380707189E-3</v>
      </c>
      <c r="FJ36" s="314">
        <f t="shared" si="131"/>
        <v>9.6646176184442857E-3</v>
      </c>
      <c r="FK36" s="442">
        <f t="shared" ref="FK36:FK67" si="167">(U36-V36)</f>
        <v>131.44999999999891</v>
      </c>
      <c r="FL36" s="18">
        <f t="shared" ref="FL36:FL67" si="168">FK36/T36</f>
        <v>1.4332677304867756E-2</v>
      </c>
      <c r="FM36" s="394">
        <f t="shared" si="71"/>
        <v>7.6815898714821208E-3</v>
      </c>
      <c r="FN36" s="394">
        <f t="shared" si="106"/>
        <v>6.5695175856948507E-3</v>
      </c>
      <c r="FO36" s="385">
        <f t="shared" si="132"/>
        <v>6.3401760699195913E-3</v>
      </c>
      <c r="FP36" s="416">
        <f t="shared" si="47"/>
        <v>1</v>
      </c>
      <c r="FQ36" s="417">
        <f t="shared" si="48"/>
        <v>1</v>
      </c>
      <c r="FR36" s="415">
        <f t="shared" si="122"/>
        <v>39.830582102519614</v>
      </c>
      <c r="FS36" s="413" t="str">
        <f t="shared" si="133"/>
        <v>T-R</v>
      </c>
      <c r="FT36" s="404">
        <f t="shared" si="123"/>
        <v>18.644067796610003</v>
      </c>
      <c r="FU36" s="414" t="str">
        <f t="shared" si="134"/>
        <v>C-R</v>
      </c>
      <c r="FV36" s="415">
        <f t="shared" si="62"/>
        <v>8.1148867313918203</v>
      </c>
      <c r="FW36" s="413" t="str">
        <f t="shared" si="72"/>
        <v>C-R</v>
      </c>
      <c r="FX36" s="404">
        <f t="shared" si="63"/>
        <v>88.73659117997633</v>
      </c>
      <c r="FY36" s="414" t="str">
        <f t="shared" si="73"/>
        <v>T-R</v>
      </c>
    </row>
    <row r="37" spans="1:181" x14ac:dyDescent="0.3">
      <c r="A37" s="691" t="s">
        <v>27</v>
      </c>
      <c r="B37" s="660" t="s">
        <v>28</v>
      </c>
      <c r="C37" s="660" t="s">
        <v>29</v>
      </c>
      <c r="D37" s="660" t="s">
        <v>30</v>
      </c>
      <c r="E37" s="685" t="s">
        <v>31</v>
      </c>
      <c r="F37" s="660" t="s">
        <v>32</v>
      </c>
      <c r="G37" s="660" t="s">
        <v>30</v>
      </c>
      <c r="H37" s="660" t="s">
        <v>33</v>
      </c>
      <c r="I37" s="660" t="s">
        <v>28</v>
      </c>
      <c r="J37" s="685" t="s">
        <v>27</v>
      </c>
      <c r="L37" s="283">
        <f t="shared" si="35"/>
        <v>34</v>
      </c>
      <c r="M37" s="290">
        <f>'[4]BANKNIFTY-I'!C53</f>
        <v>42844</v>
      </c>
      <c r="N37" s="7">
        <f>'[4]BANKNIFTY-I'!D53</f>
        <v>21700.25</v>
      </c>
      <c r="O37" s="7">
        <f>'[4]BANKNIFTY-I'!E53</f>
        <v>21740.15</v>
      </c>
      <c r="P37" s="7">
        <f>'[4]BANKNIFTY-I'!F53</f>
        <v>21525</v>
      </c>
      <c r="Q37" s="7">
        <f>'[4]BANKNIFTY-I'!G53</f>
        <v>21617.200000000001</v>
      </c>
      <c r="R37" s="11">
        <f>'[4]BANKNIFTY-I'!H53</f>
        <v>78087</v>
      </c>
      <c r="S37" s="291">
        <f>'[5]NIFTY-I'!C53</f>
        <v>42844</v>
      </c>
      <c r="T37" s="9">
        <f>'[5]NIFTY-I'!D53</f>
        <v>9119.9500000000007</v>
      </c>
      <c r="U37" s="9">
        <f>'[5]NIFTY-I'!E53</f>
        <v>9147</v>
      </c>
      <c r="V37" s="9">
        <f>'[5]NIFTY-I'!F53</f>
        <v>9096.5499999999993</v>
      </c>
      <c r="W37" s="9">
        <f>'[5]NIFTY-I'!G53</f>
        <v>9135</v>
      </c>
      <c r="X37" s="12">
        <f>'[5]NIFTY-I'!H53</f>
        <v>95969</v>
      </c>
      <c r="Y37" s="115"/>
      <c r="Z37" s="122">
        <f t="shared" si="36"/>
        <v>-3.4980288565628461E-3</v>
      </c>
      <c r="AA37" s="19">
        <f t="shared" ref="AA37:AA67" si="169">IF(OR(W36=0,W37=0),0,LN(W37/W36))</f>
        <v>1.276128629477073E-3</v>
      </c>
      <c r="AB37" s="305">
        <f>IF(OR(SUM(Z17:Z37)=0,SUM('BNF-Nifty'!AA17:AA37)=0),0,(_xlfn.COVARIANCE.P(Z17:Z37,'BNF-Nifty'!AA17:AA37)/_xlfn.VAR.P('BNF-Nifty'!AA17:AA37)))</f>
        <v>0.9571982475437476</v>
      </c>
      <c r="AC37" s="306">
        <f>IF(OR(SUM(AA17:AA37)=0,SUM('BNF-Nifty'!AA17:AA37)=0),0,(_xlfn.COVARIANCE.P(AA17:AA37,'BNF-Nifty'!AA17:AA37)/_xlfn.VAR.P('BNF-Nifty'!AA17:AA37)))</f>
        <v>1</v>
      </c>
      <c r="AD37" s="122">
        <f t="shared" si="151"/>
        <v>-2.770149033956372E-3</v>
      </c>
      <c r="AE37" s="364">
        <f t="shared" si="124"/>
        <v>9.2396952159126675E-2</v>
      </c>
      <c r="AF37" s="513">
        <f t="shared" si="152"/>
        <v>3.0167913750836924E-3</v>
      </c>
      <c r="AG37" s="522">
        <f t="shared" si="125"/>
        <v>2.7038474628544543E-2</v>
      </c>
      <c r="AH37" s="466">
        <f t="shared" ref="AH37:AH67" si="170">IF(OR(Q36=0,Q37=0),0,LN(Q37/Q36))</f>
        <v>-3.4980288565628461E-3</v>
      </c>
      <c r="AI37" s="17">
        <f t="shared" si="38"/>
        <v>5.511208523378947E-3</v>
      </c>
      <c r="AJ37" s="17">
        <f t="shared" si="39"/>
        <v>5.4115789357409953E-3</v>
      </c>
      <c r="AK37" s="314">
        <f t="shared" si="40"/>
        <v>0.10338807039925259</v>
      </c>
      <c r="AL37" s="467">
        <f t="shared" ref="AL37:AL67" si="171">IF(OR(W36=0,W37=0),0,LN(W37/W36))</f>
        <v>1.276128629477073E-3</v>
      </c>
      <c r="AM37" s="18">
        <f t="shared" si="49"/>
        <v>4.5370383687464572E-3</v>
      </c>
      <c r="AN37" s="18">
        <f>SQRT((0.94*(AM37^2))+(0.06*(AL37^2)))</f>
        <v>4.4099143287196774E-3</v>
      </c>
      <c r="AO37" s="385">
        <f t="shared" si="42"/>
        <v>8.4251294952221348E-2</v>
      </c>
      <c r="AP37" s="10">
        <f t="shared" si="153"/>
        <v>9.9457310794770545E-3</v>
      </c>
      <c r="AQ37" s="17">
        <f t="shared" si="43"/>
        <v>9.4178399814868457E-3</v>
      </c>
      <c r="AR37" s="17">
        <f t="shared" si="44"/>
        <v>9.4503450373092292E-3</v>
      </c>
      <c r="AS37" s="314">
        <f t="shared" si="45"/>
        <v>0.18054858842796651</v>
      </c>
      <c r="AT37" s="448">
        <f t="shared" si="154"/>
        <v>5.5307359150335985E-3</v>
      </c>
      <c r="AU37" s="18">
        <f t="shared" si="50"/>
        <v>6.8646692315318609E-3</v>
      </c>
      <c r="AV37" s="18">
        <f>SQRT((0.94*(AU37^2))+(0.06*(AT37^2)))</f>
        <v>6.7920251048233298E-3</v>
      </c>
      <c r="AW37" s="385">
        <f t="shared" si="46"/>
        <v>0.12976145742847095</v>
      </c>
      <c r="AX37" s="6">
        <f t="shared" si="155"/>
        <v>1694507421.75</v>
      </c>
      <c r="AY37" s="319">
        <v>0</v>
      </c>
      <c r="AZ37" s="140">
        <f t="shared" si="156"/>
        <v>875232481.55000007</v>
      </c>
      <c r="BA37" s="481">
        <v>0</v>
      </c>
      <c r="BB37" s="135">
        <f t="shared" si="98"/>
        <v>1460225170.9738998</v>
      </c>
      <c r="BC37" s="21">
        <f t="shared" si="99"/>
        <v>67675.913824441523</v>
      </c>
      <c r="BD37" s="319">
        <f t="shared" si="100"/>
        <v>21576.733707089326</v>
      </c>
      <c r="BE37" s="21">
        <f t="shared" si="157"/>
        <v>21627.45</v>
      </c>
      <c r="BF37" s="21">
        <f t="shared" si="158"/>
        <v>1688822688.1500001</v>
      </c>
      <c r="BG37" s="21">
        <f t="shared" si="59"/>
        <v>1593587145.4280083</v>
      </c>
      <c r="BH37" s="21">
        <f t="shared" si="55"/>
        <v>73486.832560026916</v>
      </c>
      <c r="BI37" s="332">
        <f t="shared" si="56"/>
        <v>21685.342664977485</v>
      </c>
      <c r="BJ37" s="141">
        <f t="shared" si="101"/>
        <v>1020231780.4702495</v>
      </c>
      <c r="BK37" s="118">
        <f t="shared" si="102"/>
        <v>111158.03473718514</v>
      </c>
      <c r="BL37" s="329">
        <f t="shared" si="107"/>
        <v>9178.209950206654</v>
      </c>
      <c r="BM37" s="118">
        <f t="shared" si="159"/>
        <v>9126.1833333333325</v>
      </c>
      <c r="BN37" s="118">
        <f t="shared" si="160"/>
        <v>875830688.3166666</v>
      </c>
      <c r="BO37" s="118">
        <f t="shared" si="60"/>
        <v>1020847996.5598769</v>
      </c>
      <c r="BP37" s="118">
        <f t="shared" si="57"/>
        <v>111356.38267245459</v>
      </c>
      <c r="BQ37" s="325">
        <f t="shared" si="61"/>
        <v>9167.3954564653486</v>
      </c>
      <c r="BR37" s="6">
        <f t="shared" si="161"/>
        <v>1680822675</v>
      </c>
      <c r="BS37" s="8">
        <f t="shared" si="162"/>
        <v>1697623093.0500002</v>
      </c>
      <c r="BT37" s="331">
        <f t="shared" si="86"/>
        <v>21595.807577765605</v>
      </c>
      <c r="BU37" s="319">
        <f t="shared" si="51"/>
        <v>21603.93032828068</v>
      </c>
      <c r="BV37" s="319">
        <f t="shared" si="52"/>
        <v>21830.43211327427</v>
      </c>
      <c r="BW37" s="331">
        <f t="shared" ref="BW37:BW67" si="172">AVERAGE(AX4:AX37)/AVERAGE(R4:R37)</f>
        <v>21222.899980121696</v>
      </c>
      <c r="BX37" s="319">
        <f t="shared" si="87"/>
        <v>21514.422214132988</v>
      </c>
      <c r="BY37" s="332">
        <f t="shared" si="88"/>
        <v>21738.404531462598</v>
      </c>
      <c r="BZ37" s="140">
        <f t="shared" si="163"/>
        <v>872986806.94999993</v>
      </c>
      <c r="CA37" s="142">
        <f t="shared" si="164"/>
        <v>877828443</v>
      </c>
      <c r="CB37" s="339">
        <f t="shared" si="89"/>
        <v>9203.7988055905207</v>
      </c>
      <c r="CC37" s="329">
        <f t="shared" si="53"/>
        <v>9139.3675553802477</v>
      </c>
      <c r="CD37" s="329">
        <f t="shared" si="54"/>
        <v>9222.4495431832402</v>
      </c>
      <c r="CE37" s="339">
        <f t="shared" ref="CE37:CE67" si="173">AVERAGE(AZ4:AZ37)/AVERAGE(X4:X37)</f>
        <v>9112.5084556988095</v>
      </c>
      <c r="CF37" s="329">
        <f t="shared" si="90"/>
        <v>9171.8431930713105</v>
      </c>
      <c r="CG37" s="325">
        <f t="shared" si="91"/>
        <v>9238.1268483318891</v>
      </c>
      <c r="CH37" s="20">
        <f t="shared" si="92"/>
        <v>1470704209.2094791</v>
      </c>
      <c r="CI37" s="21">
        <f t="shared" si="93"/>
        <v>68068.602447801459</v>
      </c>
      <c r="CJ37" s="21">
        <f t="shared" si="94"/>
        <v>21606.205450409998</v>
      </c>
      <c r="CK37" s="21">
        <f t="shared" si="142"/>
        <v>1388408975.784358</v>
      </c>
      <c r="CL37" s="21">
        <f t="shared" si="143"/>
        <v>64968.299974212256</v>
      </c>
      <c r="CM37" s="21">
        <f t="shared" si="148"/>
        <v>21370.560355364949</v>
      </c>
      <c r="CN37" s="342">
        <f t="shared" si="144"/>
        <v>235.64509504504895</v>
      </c>
      <c r="CO37" s="342">
        <f>AVERAGE(CN29:CN37)</f>
        <v>264.07011536391173</v>
      </c>
      <c r="CP37" s="343">
        <f>(CN37-CO37)</f>
        <v>-28.425020318862778</v>
      </c>
      <c r="CQ37" s="141">
        <f t="shared" si="95"/>
        <v>1019502015.2721869</v>
      </c>
      <c r="CR37" s="118">
        <f t="shared" si="96"/>
        <v>111092.73006179313</v>
      </c>
      <c r="CS37" s="118">
        <f t="shared" si="104"/>
        <v>9177.0362894593472</v>
      </c>
      <c r="CT37" s="118">
        <f t="shared" si="145"/>
        <v>1013654740.2361166</v>
      </c>
      <c r="CU37" s="118">
        <f t="shared" si="146"/>
        <v>111016.3994599665</v>
      </c>
      <c r="CV37" s="118">
        <f t="shared" si="149"/>
        <v>9130.6756944648478</v>
      </c>
      <c r="CW37" s="350">
        <f t="shared" si="150"/>
        <v>46.360594994499479</v>
      </c>
      <c r="CX37" s="350">
        <f>AVERAGE(CW29:CW37)</f>
        <v>69.845997981195779</v>
      </c>
      <c r="CY37" s="351">
        <f>(CW37-CX37)</f>
        <v>-23.4854029866963</v>
      </c>
      <c r="CZ37" s="20">
        <f t="shared" ref="CZ37:CZ66" si="174">(BE37-BE36)</f>
        <v>-151.66666666666788</v>
      </c>
      <c r="DA37" s="21">
        <f t="shared" ref="DA37:DA67" si="175">IF(CZ37&gt;=0,BF37,0)</f>
        <v>0</v>
      </c>
      <c r="DB37" s="21">
        <f t="shared" ref="DB37:DB67" si="176">IF(CZ37&lt;0,BF37,0)</f>
        <v>1688822688.1500001</v>
      </c>
      <c r="DC37" s="21">
        <f t="shared" si="114"/>
        <v>908298570.06941628</v>
      </c>
      <c r="DD37" s="21">
        <f t="shared" si="115"/>
        <v>548392969.78270471</v>
      </c>
      <c r="DE37" s="21">
        <f t="shared" si="116"/>
        <v>1.6562914189606053</v>
      </c>
      <c r="DF37" s="342">
        <f t="shared" si="117"/>
        <v>62.353528198675754</v>
      </c>
      <c r="DG37" s="342">
        <v>0</v>
      </c>
      <c r="DH37" s="355">
        <v>0</v>
      </c>
      <c r="DI37" s="141">
        <f t="shared" ref="DI37:DI67" si="177">(BM37-BM36)</f>
        <v>-35.549999999999272</v>
      </c>
      <c r="DJ37" s="118">
        <f t="shared" ref="DJ37:DJ67" si="178">IF(DI37&gt;=0,BN37,0)</f>
        <v>0</v>
      </c>
      <c r="DK37" s="118">
        <f t="shared" ref="DK37:DK67" si="179">IF(DI37&lt;0,BN37,0)</f>
        <v>875830688.3166666</v>
      </c>
      <c r="DL37" s="118">
        <f t="shared" si="118"/>
        <v>296009299.38453645</v>
      </c>
      <c r="DM37" s="118">
        <f t="shared" si="119"/>
        <v>726325120.95856118</v>
      </c>
      <c r="DN37" s="118">
        <f t="shared" si="120"/>
        <v>0.40754379938543334</v>
      </c>
      <c r="DO37" s="350">
        <f t="shared" si="121"/>
        <v>28.954253470718044</v>
      </c>
      <c r="DP37" s="350">
        <v>0</v>
      </c>
      <c r="DQ37" s="351">
        <v>0</v>
      </c>
      <c r="DR37" s="135">
        <f t="shared" ref="DR37:DR67" si="180">MAX(O37-P37,ABS(O37-Q36),ABS(Q36-P37))</f>
        <v>215.15000000000146</v>
      </c>
      <c r="DS37" s="20">
        <f t="shared" ref="DS37:DS67" si="181">(DR37*R37)</f>
        <v>16800418.050000113</v>
      </c>
      <c r="DT37" s="21">
        <f t="shared" si="140"/>
        <v>15138580.000288017</v>
      </c>
      <c r="DU37" s="21">
        <f t="shared" si="135"/>
        <v>65582.877584914793</v>
      </c>
      <c r="DV37" s="319">
        <f t="shared" si="136"/>
        <v>230.83128642360998</v>
      </c>
      <c r="DW37" s="21">
        <f t="shared" si="137"/>
        <v>4616.6257284721996</v>
      </c>
      <c r="DX37" s="21">
        <f>DW37*'Base Data'!$D$10</f>
        <v>9233.2514569443993</v>
      </c>
      <c r="DY37" s="363">
        <f>IF(INT(('Base Data'!$D$7)/DX37)=0,0,INT(('Base Data'!$D$7)/DX37))</f>
        <v>1</v>
      </c>
      <c r="DZ37" s="364">
        <f t="shared" si="126"/>
        <v>1.067813067481496E-2</v>
      </c>
      <c r="EA37" s="141">
        <f t="shared" ref="EA37:EA67" si="182">MAX(U37-V37,ABS(U37-W36),ABS(W36-V37))</f>
        <v>50.450000000000728</v>
      </c>
      <c r="EB37" s="143">
        <f t="shared" ref="EB37:EB67" si="183">(EA37*X37)</f>
        <v>4841636.0500000697</v>
      </c>
      <c r="EC37" s="118">
        <f t="shared" si="141"/>
        <v>8328577.9824393485</v>
      </c>
      <c r="ED37" s="118">
        <f t="shared" si="138"/>
        <v>110108.37632143934</v>
      </c>
      <c r="EE37" s="329">
        <f t="shared" si="139"/>
        <v>75.639821970725762</v>
      </c>
      <c r="EF37" s="118">
        <f t="shared" si="127"/>
        <v>5672.9866478044323</v>
      </c>
      <c r="EG37" s="118">
        <f>EF37*'Base Data'!$D$10</f>
        <v>11345.973295608865</v>
      </c>
      <c r="EH37" s="375">
        <f>IF(INT(('Base Data'!$D$7)/EG37)=0,0,INT(('Base Data'!$D$7)/EG37))</f>
        <v>0</v>
      </c>
      <c r="EI37" s="376">
        <f t="shared" si="128"/>
        <v>8.2802213432649988E-3</v>
      </c>
      <c r="EJ37" s="135">
        <f t="shared" ref="EJ37:EJ67" si="184">MAX(O37-P37,ABS(O37-Q36),ABS(Q36-P37))</f>
        <v>215.15000000000146</v>
      </c>
      <c r="EK37" s="21">
        <f t="shared" ref="EK37:EK67" si="185">(EJ37*R37)</f>
        <v>16800418.050000113</v>
      </c>
      <c r="EL37" s="21">
        <f t="shared" si="78"/>
        <v>16281834.665367786</v>
      </c>
      <c r="EM37" s="21">
        <f t="shared" si="74"/>
        <v>70419.839496642628</v>
      </c>
      <c r="EN37" s="319">
        <f t="shared" si="75"/>
        <v>231.210902804515</v>
      </c>
      <c r="EO37" s="21">
        <f t="shared" si="64"/>
        <v>4624.2180560902998</v>
      </c>
      <c r="EP37" s="21">
        <f>EO37*'Base Data'!$D$13</f>
        <v>3468.1635420677248</v>
      </c>
      <c r="EQ37" s="363">
        <f>IF(INT(('Base Data'!$D$7)/EP37)=0,0,INT(('Base Data'!$D$7)/EP37))</f>
        <v>3</v>
      </c>
      <c r="ER37" s="314">
        <f t="shared" si="65"/>
        <v>1.06956915236254E-2</v>
      </c>
      <c r="ES37" s="143">
        <f t="shared" ref="ES37:ES67" si="186">MAX(U37-V37,ABS(U37-W36),ABS(W36-V37))</f>
        <v>50.450000000000728</v>
      </c>
      <c r="ET37" s="118">
        <f t="shared" ref="ET37:ET67" si="187">(ES37*X37)</f>
        <v>4841636.0500000697</v>
      </c>
      <c r="EU37" s="118">
        <f t="shared" si="79"/>
        <v>8739366.4113552198</v>
      </c>
      <c r="EV37" s="118">
        <f t="shared" si="76"/>
        <v>110914.11307976958</v>
      </c>
      <c r="EW37" s="329">
        <f t="shared" si="77"/>
        <v>78.793998064699451</v>
      </c>
      <c r="EX37" s="118">
        <f t="shared" si="66"/>
        <v>5909.5498548524592</v>
      </c>
      <c r="EY37" s="118">
        <f>EX37*'Base Data'!$D$13</f>
        <v>4432.1623911393444</v>
      </c>
      <c r="EZ37" s="375">
        <f>IF(INT(('Base Data'!$D$7)/EY37)=0,0,INT(('Base Data'!$D$7)/EY37))</f>
        <v>2</v>
      </c>
      <c r="FA37" s="385">
        <f t="shared" si="67"/>
        <v>8.6255060826162504E-3</v>
      </c>
      <c r="FB37" s="397">
        <f t="shared" si="129"/>
        <v>0.87955395723951746</v>
      </c>
      <c r="FC37" s="403">
        <f t="shared" si="68"/>
        <v>-0.13511293349234776</v>
      </c>
      <c r="FD37" s="510">
        <f t="shared" si="130"/>
        <v>-0.5159686625502895</v>
      </c>
      <c r="FE37" s="509">
        <f t="shared" si="69"/>
        <v>-0.96068019382869407</v>
      </c>
      <c r="FF37" s="20">
        <f t="shared" si="165"/>
        <v>215.15000000000146</v>
      </c>
      <c r="FG37" s="17">
        <f t="shared" si="166"/>
        <v>9.9146323199042156E-3</v>
      </c>
      <c r="FH37" s="388">
        <f t="shared" si="70"/>
        <v>1.0197234754916507E-2</v>
      </c>
      <c r="FI37" s="388">
        <f t="shared" si="105"/>
        <v>9.7667261520837101E-3</v>
      </c>
      <c r="FJ37" s="314">
        <f t="shared" si="131"/>
        <v>9.0657894108764295E-3</v>
      </c>
      <c r="FK37" s="442">
        <f t="shared" si="167"/>
        <v>50.450000000000728</v>
      </c>
      <c r="FL37" s="18">
        <f t="shared" si="168"/>
        <v>5.5318285736216449E-3</v>
      </c>
      <c r="FM37" s="394">
        <f t="shared" si="71"/>
        <v>7.6707301970855048E-3</v>
      </c>
      <c r="FN37" s="394">
        <f t="shared" si="106"/>
        <v>6.7206947844126261E-3</v>
      </c>
      <c r="FO37" s="385">
        <f t="shared" si="132"/>
        <v>6.3578217489465268E-3</v>
      </c>
      <c r="FP37" s="416">
        <f t="shared" si="47"/>
        <v>1</v>
      </c>
      <c r="FQ37" s="417">
        <f t="shared" si="48"/>
        <v>1</v>
      </c>
      <c r="FR37" s="415">
        <f t="shared" si="122"/>
        <v>37.762814943527495</v>
      </c>
      <c r="FS37" s="413" t="str">
        <f t="shared" si="133"/>
        <v>T-D</v>
      </c>
      <c r="FT37" s="404">
        <f t="shared" si="123"/>
        <v>7.1456086286591862</v>
      </c>
      <c r="FU37" s="414" t="str">
        <f t="shared" si="134"/>
        <v>C-D</v>
      </c>
      <c r="FV37" s="415">
        <f t="shared" si="62"/>
        <v>28.325242718446486</v>
      </c>
      <c r="FW37" s="413" t="str">
        <f t="shared" si="72"/>
        <v>C-R</v>
      </c>
      <c r="FX37" s="404">
        <f t="shared" si="63"/>
        <v>44.088811995386443</v>
      </c>
      <c r="FY37" s="414" t="str">
        <f t="shared" si="73"/>
        <v>T-D</v>
      </c>
    </row>
    <row r="38" spans="1:181" ht="11.15" thickBot="1" x14ac:dyDescent="0.35">
      <c r="A38" s="692"/>
      <c r="B38" s="661"/>
      <c r="C38" s="661"/>
      <c r="D38" s="661"/>
      <c r="E38" s="686"/>
      <c r="F38" s="661"/>
      <c r="G38" s="661"/>
      <c r="H38" s="661"/>
      <c r="I38" s="661"/>
      <c r="J38" s="686"/>
      <c r="L38" s="283">
        <f>L37+1</f>
        <v>35</v>
      </c>
      <c r="M38" s="290">
        <f>'[4]BANKNIFTY-I'!C54</f>
        <v>42845</v>
      </c>
      <c r="N38" s="7">
        <f>'[4]BANKNIFTY-I'!D54</f>
        <v>21525.5</v>
      </c>
      <c r="O38" s="7">
        <f>'[4]BANKNIFTY-I'!E54</f>
        <v>21599.9</v>
      </c>
      <c r="P38" s="7">
        <f>'[4]BANKNIFTY-I'!F54</f>
        <v>21492.05</v>
      </c>
      <c r="Q38" s="7">
        <f>'[4]BANKNIFTY-I'!G54</f>
        <v>21557.4</v>
      </c>
      <c r="R38" s="11">
        <f>'[4]BANKNIFTY-I'!H54</f>
        <v>71587</v>
      </c>
      <c r="S38" s="291">
        <f>'[5]NIFTY-I'!C54</f>
        <v>42845</v>
      </c>
      <c r="T38" s="9">
        <f>'[5]NIFTY-I'!D54</f>
        <v>9125.5499999999993</v>
      </c>
      <c r="U38" s="9">
        <f>'[5]NIFTY-I'!E54</f>
        <v>9170</v>
      </c>
      <c r="V38" s="9">
        <f>'[5]NIFTY-I'!F54</f>
        <v>9120.6</v>
      </c>
      <c r="W38" s="9">
        <f>'[5]NIFTY-I'!G54</f>
        <v>9162.6</v>
      </c>
      <c r="X38" s="12">
        <f>'[5]NIFTY-I'!H54</f>
        <v>85729</v>
      </c>
      <c r="Y38" s="115"/>
      <c r="Z38" s="122">
        <f t="shared" si="36"/>
        <v>-2.770149033956372E-3</v>
      </c>
      <c r="AA38" s="19">
        <f t="shared" si="169"/>
        <v>3.0167913750836924E-3</v>
      </c>
      <c r="AB38" s="305">
        <f>IF(OR(SUM(Z18:Z38)=0,SUM('BNF-Nifty'!AA18:AA38)=0),0,(_xlfn.COVARIANCE.P(Z18:Z38,'BNF-Nifty'!AA18:AA38)/_xlfn.VAR.P('BNF-Nifty'!AA18:AA38)))</f>
        <v>0.90518221814418054</v>
      </c>
      <c r="AC38" s="306">
        <f>IF(OR(SUM(AA18:AA38)=0,SUM('BNF-Nifty'!AA18:AA38)=0),0,(_xlfn.COVARIANCE.P(AA18:AA38,'BNF-Nifty'!AA18:AA38)/_xlfn.VAR.P('BNF-Nifty'!AA18:AA38)))</f>
        <v>1.0000000000000002</v>
      </c>
      <c r="AD38" s="122">
        <f t="shared" si="151"/>
        <v>-7.4015899394838484E-4</v>
      </c>
      <c r="AE38" s="364">
        <f t="shared" si="124"/>
        <v>7.8359530528803428E-2</v>
      </c>
      <c r="AF38" s="513">
        <f t="shared" si="152"/>
        <v>-1.0209737262746846E-3</v>
      </c>
      <c r="AG38" s="522">
        <f t="shared" si="125"/>
        <v>1.4219269428168224E-2</v>
      </c>
      <c r="AH38" s="466">
        <f t="shared" si="170"/>
        <v>-2.770149033956372E-3</v>
      </c>
      <c r="AI38" s="17">
        <f>AJ37</f>
        <v>5.4115789357409953E-3</v>
      </c>
      <c r="AJ38" s="17">
        <f t="shared" si="39"/>
        <v>5.2904157609123753E-3</v>
      </c>
      <c r="AK38" s="314">
        <f t="shared" si="40"/>
        <v>0.10107325119440937</v>
      </c>
      <c r="AL38" s="467">
        <f t="shared" si="171"/>
        <v>3.0167913750836924E-3</v>
      </c>
      <c r="AM38" s="18">
        <f>AN37</f>
        <v>4.4099143287196774E-3</v>
      </c>
      <c r="AN38" s="18">
        <f>SQRT((0.94*(AM38^2))+(0.06*(AL38^2)))</f>
        <v>4.3389590382365969E-3</v>
      </c>
      <c r="AO38" s="385">
        <f t="shared" si="42"/>
        <v>8.2895696030950206E-2</v>
      </c>
      <c r="AP38" s="10">
        <f t="shared" si="153"/>
        <v>5.0055857388541219E-3</v>
      </c>
      <c r="AQ38" s="17">
        <f>AR37</f>
        <v>9.4503450373092292E-3</v>
      </c>
      <c r="AR38" s="17">
        <f t="shared" si="44"/>
        <v>9.2441242613935399E-3</v>
      </c>
      <c r="AS38" s="314">
        <f t="shared" si="45"/>
        <v>0.17660874603606386</v>
      </c>
      <c r="AT38" s="448">
        <f t="shared" si="154"/>
        <v>5.4016948724817946E-3</v>
      </c>
      <c r="AU38" s="18">
        <f>AV37</f>
        <v>6.7920251048233298E-3</v>
      </c>
      <c r="AV38" s="18">
        <f>SQRT((0.94*(AU38^2))+(0.06*(AT38^2)))</f>
        <v>6.7167259265806809E-3</v>
      </c>
      <c r="AW38" s="385">
        <f t="shared" si="46"/>
        <v>0.12832286864808004</v>
      </c>
      <c r="AX38" s="6">
        <f t="shared" si="155"/>
        <v>1540945968.5</v>
      </c>
      <c r="AY38" s="319">
        <v>0</v>
      </c>
      <c r="AZ38" s="140">
        <f t="shared" si="156"/>
        <v>782324275.94999993</v>
      </c>
      <c r="BA38" s="481">
        <v>0</v>
      </c>
      <c r="BB38" s="135">
        <f t="shared" si="98"/>
        <v>1471756713.4776285</v>
      </c>
      <c r="BC38" s="21">
        <f t="shared" si="99"/>
        <v>68234.640420949872</v>
      </c>
      <c r="BD38" s="319">
        <f t="shared" si="100"/>
        <v>21569.055019534615</v>
      </c>
      <c r="BE38" s="21">
        <f t="shared" si="157"/>
        <v>21549.783333333333</v>
      </c>
      <c r="BF38" s="21">
        <f t="shared" si="158"/>
        <v>1542684339.4833333</v>
      </c>
      <c r="BG38" s="21">
        <f t="shared" si="59"/>
        <v>1576619543.44645</v>
      </c>
      <c r="BH38" s="21">
        <f t="shared" si="55"/>
        <v>72853.555040017949</v>
      </c>
      <c r="BI38" s="332">
        <f t="shared" si="56"/>
        <v>21640.941784933129</v>
      </c>
      <c r="BJ38" s="141">
        <f t="shared" si="101"/>
        <v>986244994.11021388</v>
      </c>
      <c r="BK38" s="118">
        <f t="shared" si="102"/>
        <v>107525.31548901583</v>
      </c>
      <c r="BL38" s="329">
        <f t="shared" si="107"/>
        <v>9172.2120472268034</v>
      </c>
      <c r="BM38" s="118">
        <f t="shared" si="159"/>
        <v>9151.0666666666657</v>
      </c>
      <c r="BN38" s="118">
        <f t="shared" si="160"/>
        <v>784511794.26666653</v>
      </c>
      <c r="BO38" s="118">
        <f t="shared" si="60"/>
        <v>942069262.46214008</v>
      </c>
      <c r="BP38" s="118">
        <f t="shared" si="57"/>
        <v>102813.9217816364</v>
      </c>
      <c r="BQ38" s="325">
        <f t="shared" si="61"/>
        <v>9162.8569957964883</v>
      </c>
      <c r="BR38" s="6">
        <f t="shared" si="161"/>
        <v>1538551383.3499999</v>
      </c>
      <c r="BS38" s="8">
        <f t="shared" si="162"/>
        <v>1546272041.3000002</v>
      </c>
      <c r="BT38" s="331">
        <f t="shared" si="86"/>
        <v>21612.290909166961</v>
      </c>
      <c r="BU38" s="319">
        <f t="shared" si="51"/>
        <v>21593.114871920498</v>
      </c>
      <c r="BV38" s="319">
        <f t="shared" si="52"/>
        <v>21787.168360333042</v>
      </c>
      <c r="BW38" s="331">
        <f t="shared" si="172"/>
        <v>21244.299874850109</v>
      </c>
      <c r="BX38" s="319">
        <f t="shared" si="87"/>
        <v>21526.932068164813</v>
      </c>
      <c r="BY38" s="332">
        <f t="shared" si="88"/>
        <v>21734.996593910364</v>
      </c>
      <c r="BZ38" s="140">
        <f t="shared" si="163"/>
        <v>781899917.39999998</v>
      </c>
      <c r="CA38" s="142">
        <f t="shared" si="164"/>
        <v>786134930</v>
      </c>
      <c r="CB38" s="339">
        <f t="shared" si="89"/>
        <v>9205.0186242187719</v>
      </c>
      <c r="CC38" s="329">
        <f t="shared" si="53"/>
        <v>9127.0753676419645</v>
      </c>
      <c r="CD38" s="329">
        <f t="shared" si="54"/>
        <v>9201.8283622240815</v>
      </c>
      <c r="CE38" s="339">
        <f t="shared" si="173"/>
        <v>9117.268360259066</v>
      </c>
      <c r="CF38" s="329">
        <f t="shared" si="90"/>
        <v>9172.2709248786614</v>
      </c>
      <c r="CG38" s="325">
        <f t="shared" si="91"/>
        <v>9240.7606384119499</v>
      </c>
      <c r="CH38" s="20">
        <f t="shared" si="92"/>
        <v>1481778075.4054568</v>
      </c>
      <c r="CI38" s="21">
        <f t="shared" si="93"/>
        <v>68609.894378908924</v>
      </c>
      <c r="CJ38" s="21">
        <f t="shared" si="94"/>
        <v>21597.148469900047</v>
      </c>
      <c r="CK38" s="21">
        <f t="shared" si="142"/>
        <v>1399836780.5028007</v>
      </c>
      <c r="CL38" s="21">
        <f t="shared" si="143"/>
        <v>65458.574050196534</v>
      </c>
      <c r="CM38" s="21">
        <f t="shared" si="148"/>
        <v>21385.079049069169</v>
      </c>
      <c r="CN38" s="342">
        <f t="shared" si="144"/>
        <v>212.06942083087779</v>
      </c>
      <c r="CO38" s="342">
        <f>((CN38-CO37)*(2/(1+9)))+CO37</f>
        <v>253.66997645730493</v>
      </c>
      <c r="CP38" s="343">
        <f>(CN38-CO38)</f>
        <v>-41.600555626427138</v>
      </c>
      <c r="CQ38" s="141">
        <f t="shared" si="95"/>
        <v>983349673.57902992</v>
      </c>
      <c r="CR38" s="118">
        <f t="shared" si="96"/>
        <v>107190.61774459419</v>
      </c>
      <c r="CS38" s="118">
        <f t="shared" si="104"/>
        <v>9173.8409038940536</v>
      </c>
      <c r="CT38" s="118">
        <f t="shared" si="145"/>
        <v>996681188.68282402</v>
      </c>
      <c r="CU38" s="118">
        <f t="shared" si="146"/>
        <v>109143.25875922824</v>
      </c>
      <c r="CV38" s="118">
        <f t="shared" si="149"/>
        <v>9131.8621050294878</v>
      </c>
      <c r="CW38" s="350">
        <f t="shared" si="150"/>
        <v>41.978798864565761</v>
      </c>
      <c r="CX38" s="350">
        <f>((CW38-CX37)*(2/(1+9)))+CX37</f>
        <v>64.272558157869781</v>
      </c>
      <c r="CY38" s="351">
        <f>(CW38-CX38)</f>
        <v>-22.293759293304021</v>
      </c>
      <c r="CZ38" s="20">
        <f t="shared" si="174"/>
        <v>-77.666666666667879</v>
      </c>
      <c r="DA38" s="21">
        <f t="shared" si="175"/>
        <v>0</v>
      </c>
      <c r="DB38" s="21">
        <f t="shared" si="176"/>
        <v>1542684339.4833333</v>
      </c>
      <c r="DC38" s="21">
        <f>((DA38-DC37)*(2/(1+14)))+DC37</f>
        <v>787192094.06016076</v>
      </c>
      <c r="DD38" s="21">
        <f>((DB38-DD37)*(2/(1+14)))+DD37</f>
        <v>680965152.40945518</v>
      </c>
      <c r="DE38" s="21">
        <f t="shared" si="116"/>
        <v>1.155994680894967</v>
      </c>
      <c r="DF38" s="342">
        <f t="shared" si="117"/>
        <v>53.617696330081216</v>
      </c>
      <c r="DG38" s="342">
        <v>0</v>
      </c>
      <c r="DH38" s="355">
        <f>AVERAGE(DF18:DF38)</f>
        <v>62.674196501890179</v>
      </c>
      <c r="DI38" s="141">
        <f t="shared" si="177"/>
        <v>24.883333333333212</v>
      </c>
      <c r="DJ38" s="118">
        <f t="shared" si="178"/>
        <v>784511794.26666653</v>
      </c>
      <c r="DK38" s="118">
        <f t="shared" si="179"/>
        <v>0</v>
      </c>
      <c r="DL38" s="118">
        <f>((DJ38-DL37)*(2/(1+14)))+DL37</f>
        <v>361142965.36882043</v>
      </c>
      <c r="DM38" s="118">
        <f>((DK38-DM37)*(2/(1+14)))+DM37</f>
        <v>629481771.49741971</v>
      </c>
      <c r="DN38" s="118">
        <f t="shared" si="120"/>
        <v>0.57371473126176264</v>
      </c>
      <c r="DO38" s="350">
        <f t="shared" si="121"/>
        <v>36.456081897496972</v>
      </c>
      <c r="DP38" s="350">
        <v>0</v>
      </c>
      <c r="DQ38" s="351">
        <f>AVERAGE(DO18:DO38)</f>
        <v>56.628692246359584</v>
      </c>
      <c r="DR38" s="135">
        <f t="shared" si="180"/>
        <v>125.15000000000146</v>
      </c>
      <c r="DS38" s="20">
        <f t="shared" si="181"/>
        <v>8959113.0500001051</v>
      </c>
      <c r="DT38" s="21">
        <f t="shared" si="140"/>
        <v>14576810.277534571</v>
      </c>
      <c r="DU38" s="21">
        <f t="shared" si="135"/>
        <v>66128.706895377079</v>
      </c>
      <c r="DV38" s="319">
        <f t="shared" si="136"/>
        <v>220.43089849914494</v>
      </c>
      <c r="DW38" s="21">
        <f t="shared" si="137"/>
        <v>4408.617969982899</v>
      </c>
      <c r="DX38" s="21">
        <f>DW38*'Base Data'!$D$10</f>
        <v>8817.235939965798</v>
      </c>
      <c r="DY38" s="363">
        <f>IF(INT(('Base Data'!$D$7)/DX38)=0,0,INT(('Base Data'!$D$7)/DX38))</f>
        <v>1</v>
      </c>
      <c r="DZ38" s="364">
        <f t="shared" si="126"/>
        <v>1.0225300755153448E-2</v>
      </c>
      <c r="EA38" s="141">
        <f t="shared" si="182"/>
        <v>49.399999999999636</v>
      </c>
      <c r="EB38" s="143">
        <f t="shared" si="183"/>
        <v>4235012.5999999689</v>
      </c>
      <c r="EC38" s="118">
        <f t="shared" si="141"/>
        <v>7956435.674944859</v>
      </c>
      <c r="ED38" s="118">
        <f t="shared" si="138"/>
        <v>107892.06938312667</v>
      </c>
      <c r="EE38" s="329">
        <f t="shared" si="139"/>
        <v>73.744397715567146</v>
      </c>
      <c r="EF38" s="118">
        <f t="shared" si="127"/>
        <v>5530.8298286675363</v>
      </c>
      <c r="EG38" s="118">
        <f>EF38*'Base Data'!$D$10</f>
        <v>11061.659657335073</v>
      </c>
      <c r="EH38" s="375">
        <f>IF(INT(('Base Data'!$D$7)/EG38)=0,0,INT(('Base Data'!$D$7)/EG38))</f>
        <v>0</v>
      </c>
      <c r="EI38" s="376">
        <f t="shared" si="128"/>
        <v>8.0484139562533724E-3</v>
      </c>
      <c r="EJ38" s="135">
        <f t="shared" si="184"/>
        <v>125.15000000000146</v>
      </c>
      <c r="EK38" s="21">
        <f t="shared" si="185"/>
        <v>8959113.0500001051</v>
      </c>
      <c r="EL38" s="21">
        <f t="shared" si="78"/>
        <v>14654563.195286078</v>
      </c>
      <c r="EM38" s="21">
        <f t="shared" si="74"/>
        <v>70679.20849738871</v>
      </c>
      <c r="EN38" s="319">
        <f t="shared" si="75"/>
        <v>207.33909599210497</v>
      </c>
      <c r="EO38" s="21">
        <f t="shared" si="64"/>
        <v>4146.7819198420993</v>
      </c>
      <c r="EP38" s="21">
        <f>EO38*'Base Data'!$D$13</f>
        <v>3110.0864398815747</v>
      </c>
      <c r="EQ38" s="363">
        <f>IF(INT(('Base Data'!$D$7)/EP38)=0,0,INT(('Base Data'!$D$7)/EP38))</f>
        <v>3</v>
      </c>
      <c r="ER38" s="314">
        <f t="shared" si="65"/>
        <v>9.6180010572752255E-3</v>
      </c>
      <c r="ES38" s="143">
        <f t="shared" si="186"/>
        <v>49.399999999999636</v>
      </c>
      <c r="ET38" s="118">
        <f t="shared" si="187"/>
        <v>4235012.5999999689</v>
      </c>
      <c r="EU38" s="118">
        <f t="shared" si="79"/>
        <v>7738398.8977207197</v>
      </c>
      <c r="EV38" s="118">
        <f t="shared" si="76"/>
        <v>105317.42128426523</v>
      </c>
      <c r="EW38" s="329">
        <f t="shared" si="77"/>
        <v>73.4769120185139</v>
      </c>
      <c r="EX38" s="118">
        <f t="shared" si="66"/>
        <v>5510.7684013885428</v>
      </c>
      <c r="EY38" s="118">
        <f>EX38*'Base Data'!$D$13</f>
        <v>4133.0763010414066</v>
      </c>
      <c r="EZ38" s="375">
        <f>IF(INT(('Base Data'!$D$7)/EY38)=0,0,INT(('Base Data'!$D$7)/EY38))</f>
        <v>2</v>
      </c>
      <c r="FA38" s="385">
        <f t="shared" si="67"/>
        <v>8.0192207472239204E-3</v>
      </c>
      <c r="FB38" s="397">
        <f t="shared" si="129"/>
        <v>0.59371447816118672</v>
      </c>
      <c r="FC38" s="403">
        <f t="shared" si="68"/>
        <v>-0.44216013817684913</v>
      </c>
      <c r="FD38" s="510">
        <f t="shared" si="130"/>
        <v>-0.11808268529794055</v>
      </c>
      <c r="FE38" s="509">
        <f t="shared" si="69"/>
        <v>-0.42337562206606372</v>
      </c>
      <c r="FF38" s="20">
        <f t="shared" si="165"/>
        <v>107.85000000000218</v>
      </c>
      <c r="FG38" s="17">
        <f t="shared" si="166"/>
        <v>5.0103365775476614E-3</v>
      </c>
      <c r="FH38" s="388">
        <f t="shared" si="70"/>
        <v>9.6115307333327817E-3</v>
      </c>
      <c r="FI38" s="388">
        <f t="shared" si="105"/>
        <v>9.1306157905696531E-3</v>
      </c>
      <c r="FJ38" s="314">
        <f t="shared" si="131"/>
        <v>9.0889167321275468E-3</v>
      </c>
      <c r="FK38" s="442">
        <f t="shared" si="167"/>
        <v>49.399999999999636</v>
      </c>
      <c r="FL38" s="18">
        <f t="shared" si="168"/>
        <v>5.4133723446805554E-3</v>
      </c>
      <c r="FM38" s="394">
        <f t="shared" si="71"/>
        <v>7.4086970578818353E-3</v>
      </c>
      <c r="FN38" s="394">
        <f t="shared" si="106"/>
        <v>6.8180786308829544E-3</v>
      </c>
      <c r="FO38" s="385">
        <f t="shared" si="132"/>
        <v>6.4963582742042659E-3</v>
      </c>
      <c r="FP38" s="416">
        <f t="shared" ref="FP38:FP67" si="188">IF(Q37&lt;((O36+P36+Q36)/3),1,IF(Q37&gt;((O36+P36+Q36)/3),2,0))</f>
        <v>1</v>
      </c>
      <c r="FQ38" s="417">
        <f t="shared" ref="FQ38:FQ67" si="189">IF(W37&lt;((U36+V36+W36)/3),1,IF(W37&gt;((U36+V36+W36)/3),2,0))</f>
        <v>1</v>
      </c>
      <c r="FR38" s="415">
        <f t="shared" si="122"/>
        <v>40.543006081668246</v>
      </c>
      <c r="FS38" s="413" t="str">
        <f t="shared" si="133"/>
        <v>T-R</v>
      </c>
      <c r="FT38" s="404">
        <f t="shared" si="123"/>
        <v>7.5500770416025942</v>
      </c>
      <c r="FU38" s="414" t="str">
        <f t="shared" si="134"/>
        <v>C-R</v>
      </c>
      <c r="FV38" s="415">
        <f t="shared" si="62"/>
        <v>0.23462783171473942</v>
      </c>
      <c r="FW38" s="413" t="str">
        <f t="shared" si="72"/>
        <v>C-D</v>
      </c>
      <c r="FX38" s="404">
        <f t="shared" si="63"/>
        <v>26.960784313725263</v>
      </c>
      <c r="FY38" s="414" t="str">
        <f t="shared" si="73"/>
        <v>C-D</v>
      </c>
    </row>
    <row r="39" spans="1:181" x14ac:dyDescent="0.3">
      <c r="A39" s="107">
        <v>86.25</v>
      </c>
      <c r="B39" s="108">
        <f>A39/180</f>
        <v>0.47916666666666669</v>
      </c>
      <c r="C39" s="109">
        <f t="shared" ref="C39:C49" ca="1" si="190">POWER(SQRT($F$35)+B39,2)</f>
        <v>87.642994846848111</v>
      </c>
      <c r="D39" s="110" t="s">
        <v>34</v>
      </c>
      <c r="E39" s="269">
        <f t="shared" ref="E39:E49" ca="1" si="191">$D$35+(C39*B39)</f>
        <v>10649.52060169745</v>
      </c>
      <c r="F39" s="264">
        <f t="shared" ref="F39:F49" ca="1" si="192">$D$35-(H39*I39)</f>
        <v>10573.687218499206</v>
      </c>
      <c r="G39" s="110" t="s">
        <v>35</v>
      </c>
      <c r="H39" s="109">
        <f t="shared" ref="H39:H49" ca="1" si="193">POWER(SQRT($F$35)-I39,2)</f>
        <v>70.617978784270122</v>
      </c>
      <c r="I39" s="108">
        <f t="shared" ref="I39:I49" si="194">J39/180</f>
        <v>0.47916666666666669</v>
      </c>
      <c r="J39" s="111">
        <v>86.25</v>
      </c>
      <c r="L39" s="283">
        <f t="shared" si="35"/>
        <v>36</v>
      </c>
      <c r="M39" s="290">
        <f>'[4]BANKNIFTY-I'!C55</f>
        <v>42846</v>
      </c>
      <c r="N39" s="7">
        <f>'[4]BANKNIFTY-I'!D55</f>
        <v>21610</v>
      </c>
      <c r="O39" s="7">
        <f>'[4]BANKNIFTY-I'!E55</f>
        <v>21660.400000000001</v>
      </c>
      <c r="P39" s="7">
        <f>'[4]BANKNIFTY-I'!F55</f>
        <v>21381</v>
      </c>
      <c r="Q39" s="7">
        <f>'[4]BANKNIFTY-I'!G55</f>
        <v>21541.45</v>
      </c>
      <c r="R39" s="11">
        <f>'[4]BANKNIFTY-I'!H55</f>
        <v>79351</v>
      </c>
      <c r="S39" s="291">
        <f>'[5]NIFTY-I'!C55</f>
        <v>42846</v>
      </c>
      <c r="T39" s="9">
        <f>'[5]NIFTY-I'!D55</f>
        <v>9200</v>
      </c>
      <c r="U39" s="9">
        <f>'[5]NIFTY-I'!E55</f>
        <v>9223.9</v>
      </c>
      <c r="V39" s="9">
        <f>'[5]NIFTY-I'!F55</f>
        <v>9123</v>
      </c>
      <c r="W39" s="9">
        <f>'[5]NIFTY-I'!G55</f>
        <v>9153.25</v>
      </c>
      <c r="X39" s="12">
        <f>'[5]NIFTY-I'!H55</f>
        <v>1422</v>
      </c>
      <c r="Y39" s="115"/>
      <c r="Z39" s="122">
        <f t="shared" si="36"/>
        <v>-7.4015899394838484E-4</v>
      </c>
      <c r="AA39" s="19">
        <f t="shared" si="169"/>
        <v>-1.0209737262746846E-3</v>
      </c>
      <c r="AB39" s="305">
        <f>IF(OR(SUM(Z19:Z39)=0,SUM('BNF-Nifty'!AA19:AA39)=0),0,(_xlfn.COVARIANCE.P(Z19:Z39,'BNF-Nifty'!AA19:AA39)/_xlfn.VAR.P('BNF-Nifty'!AA19:AA39)))</f>
        <v>0.89552544499278541</v>
      </c>
      <c r="AC39" s="306">
        <f>IF(OR(SUM(AA19:AA39)=0,SUM('BNF-Nifty'!AA19:AA39)=0),0,(_xlfn.COVARIANCE.P(AA19:AA39,'BNF-Nifty'!AA19:AA39)/_xlfn.VAR.P('BNF-Nifty'!AA19:AA39)))</f>
        <v>1.0000000000000002</v>
      </c>
      <c r="AD39" s="122">
        <f t="shared" si="151"/>
        <v>1.3313055733481302E-2</v>
      </c>
      <c r="AE39" s="364">
        <f t="shared" si="124"/>
        <v>-4.4490138268892476E-2</v>
      </c>
      <c r="AF39" s="513">
        <f t="shared" si="152"/>
        <v>7.7485600742275285E-3</v>
      </c>
      <c r="AG39" s="522">
        <f t="shared" si="125"/>
        <v>-3.4716891710357634E-2</v>
      </c>
      <c r="AH39" s="466">
        <f t="shared" si="170"/>
        <v>-7.4015899394838484E-4</v>
      </c>
      <c r="AI39" s="17">
        <f t="shared" si="38"/>
        <v>5.2904157609123753E-3</v>
      </c>
      <c r="AJ39" s="17">
        <f t="shared" si="39"/>
        <v>5.1324515689961285E-3</v>
      </c>
      <c r="AK39" s="314">
        <f t="shared" si="40"/>
        <v>9.805534954531113E-2</v>
      </c>
      <c r="AL39" s="467">
        <f t="shared" si="171"/>
        <v>-1.0209737262746846E-3</v>
      </c>
      <c r="AM39" s="18">
        <f>AN38</f>
        <v>4.3389590382365969E-3</v>
      </c>
      <c r="AN39" s="18">
        <f>SQRT((0.94*(AM39^2))+(0.06*(AL39^2)))</f>
        <v>4.2142039395774312E-3</v>
      </c>
      <c r="AO39" s="385">
        <f>AN39*SQRT(365)</f>
        <v>8.0512253217679408E-2</v>
      </c>
      <c r="AP39" s="10">
        <f t="shared" si="153"/>
        <v>1.2983031435167491E-2</v>
      </c>
      <c r="AQ39" s="17">
        <f t="shared" si="43"/>
        <v>9.2441242613935399E-3</v>
      </c>
      <c r="AR39" s="17">
        <f t="shared" si="44"/>
        <v>9.5100026116333117E-3</v>
      </c>
      <c r="AS39" s="314">
        <f t="shared" si="45"/>
        <v>0.18168834478508639</v>
      </c>
      <c r="AT39" s="448">
        <f t="shared" si="154"/>
        <v>1.0999244261045524E-2</v>
      </c>
      <c r="AU39" s="18">
        <f>AV38</f>
        <v>6.7167259265806809E-3</v>
      </c>
      <c r="AV39" s="18">
        <f>SQRT((0.94*(AU39^2))+(0.06*(AT39^2)))</f>
        <v>7.0474495529433629E-3</v>
      </c>
      <c r="AW39" s="385">
        <f>AV39*SQRT(365)</f>
        <v>0.13464133465792658</v>
      </c>
      <c r="AX39" s="6">
        <f t="shared" si="155"/>
        <v>1714775110</v>
      </c>
      <c r="AY39" s="319">
        <v>0</v>
      </c>
      <c r="AZ39" s="140">
        <f t="shared" si="156"/>
        <v>13082400</v>
      </c>
      <c r="BA39" s="481">
        <v>0</v>
      </c>
      <c r="BB39" s="135">
        <f t="shared" si="98"/>
        <v>1506473627.2665386</v>
      </c>
      <c r="BC39" s="21">
        <f t="shared" si="99"/>
        <v>69822.691789385601</v>
      </c>
      <c r="BD39" s="319">
        <f t="shared" si="100"/>
        <v>21575.702521047057</v>
      </c>
      <c r="BE39" s="21">
        <f t="shared" si="157"/>
        <v>21527.616666666669</v>
      </c>
      <c r="BF39" s="21">
        <f t="shared" si="158"/>
        <v>1708237910.1166668</v>
      </c>
      <c r="BG39" s="21">
        <f t="shared" si="59"/>
        <v>1620492332.3365223</v>
      </c>
      <c r="BH39" s="21">
        <f t="shared" si="55"/>
        <v>75019.370026678633</v>
      </c>
      <c r="BI39" s="332">
        <f t="shared" si="56"/>
        <v>21600.985608919906</v>
      </c>
      <c r="BJ39" s="141">
        <f t="shared" si="101"/>
        <v>847221766.38018334</v>
      </c>
      <c r="BK39" s="118">
        <f t="shared" si="102"/>
        <v>92367.698990585006</v>
      </c>
      <c r="BL39" s="329">
        <f t="shared" si="107"/>
        <v>9172.2731608431677</v>
      </c>
      <c r="BM39" s="118">
        <f t="shared" si="159"/>
        <v>9166.7166666666672</v>
      </c>
      <c r="BN39" s="118">
        <f t="shared" si="160"/>
        <v>13035071.100000001</v>
      </c>
      <c r="BO39" s="118">
        <f t="shared" si="60"/>
        <v>632391198.6747601</v>
      </c>
      <c r="BP39" s="118">
        <f t="shared" si="57"/>
        <v>69016.614521090931</v>
      </c>
      <c r="BQ39" s="325">
        <f t="shared" si="61"/>
        <v>9162.8835036744131</v>
      </c>
      <c r="BR39" s="6">
        <f t="shared" si="161"/>
        <v>1696603731</v>
      </c>
      <c r="BS39" s="8">
        <f t="shared" si="162"/>
        <v>1718774400.4000001</v>
      </c>
      <c r="BT39" s="331">
        <f t="shared" si="86"/>
        <v>21617.58094534542</v>
      </c>
      <c r="BU39" s="319">
        <f t="shared" si="51"/>
        <v>21537.087921924172</v>
      </c>
      <c r="BV39" s="319">
        <f t="shared" si="52"/>
        <v>21759.423945579896</v>
      </c>
      <c r="BW39" s="331">
        <f t="shared" si="172"/>
        <v>21270.979788957731</v>
      </c>
      <c r="BX39" s="319">
        <f t="shared" si="87"/>
        <v>21516.974072382971</v>
      </c>
      <c r="BY39" s="332">
        <f t="shared" si="88"/>
        <v>21735.414130318371</v>
      </c>
      <c r="BZ39" s="140">
        <f t="shared" si="163"/>
        <v>12972906</v>
      </c>
      <c r="CA39" s="142">
        <f t="shared" si="164"/>
        <v>13116385.799999999</v>
      </c>
      <c r="CB39" s="339">
        <f t="shared" si="89"/>
        <v>9206.5346731287464</v>
      </c>
      <c r="CC39" s="329">
        <f t="shared" si="53"/>
        <v>9116.4139176576336</v>
      </c>
      <c r="CD39" s="329">
        <f t="shared" si="54"/>
        <v>9197.6439831882144</v>
      </c>
      <c r="CE39" s="339">
        <f t="shared" si="173"/>
        <v>9123.2433708317112</v>
      </c>
      <c r="CF39" s="329">
        <f t="shared" si="90"/>
        <v>9171.9281281452131</v>
      </c>
      <c r="CG39" s="325">
        <f t="shared" si="91"/>
        <v>9243.2325833757004</v>
      </c>
      <c r="CH39" s="20">
        <f t="shared" si="92"/>
        <v>1516618049.9764121</v>
      </c>
      <c r="CI39" s="21">
        <f t="shared" si="93"/>
        <v>70262.372166769084</v>
      </c>
      <c r="CJ39" s="21">
        <f t="shared" si="94"/>
        <v>21585.067557592422</v>
      </c>
      <c r="CK39" s="21">
        <f t="shared" si="142"/>
        <v>1422681308.6223464</v>
      </c>
      <c r="CL39" s="21">
        <f t="shared" si="143"/>
        <v>66487.642639070866</v>
      </c>
      <c r="CM39" s="21">
        <f t="shared" si="148"/>
        <v>21397.680112459282</v>
      </c>
      <c r="CN39" s="342">
        <f t="shared" si="144"/>
        <v>187.38744513313941</v>
      </c>
      <c r="CO39" s="342">
        <f>((CN39-CO38)*(2/(1+9)))+CO38</f>
        <v>240.41347019247183</v>
      </c>
      <c r="CP39" s="343">
        <f>(CN39-CO39)</f>
        <v>-53.026025059332426</v>
      </c>
      <c r="CQ39" s="141">
        <f t="shared" si="95"/>
        <v>834070503.9668715</v>
      </c>
      <c r="CR39" s="118">
        <f t="shared" si="96"/>
        <v>90918.522706964315</v>
      </c>
      <c r="CS39" s="118">
        <f t="shared" si="104"/>
        <v>9173.8237614696973</v>
      </c>
      <c r="CT39" s="118">
        <f t="shared" si="145"/>
        <v>923818513.30631852</v>
      </c>
      <c r="CU39" s="118">
        <f t="shared" si="146"/>
        <v>101163.90625854467</v>
      </c>
      <c r="CV39" s="118">
        <f t="shared" si="149"/>
        <v>9131.8983961069571</v>
      </c>
      <c r="CW39" s="350">
        <f t="shared" si="150"/>
        <v>41.925365362740195</v>
      </c>
      <c r="CX39" s="350">
        <f>((CW39-CX38)*(2/(1+9)))+CX38</f>
        <v>59.803119598843864</v>
      </c>
      <c r="CY39" s="351">
        <f>(CW39-CX39)</f>
        <v>-17.877754236103669</v>
      </c>
      <c r="CZ39" s="20">
        <f t="shared" si="174"/>
        <v>-22.166666666664241</v>
      </c>
      <c r="DA39" s="21">
        <f t="shared" si="175"/>
        <v>0</v>
      </c>
      <c r="DB39" s="21">
        <f t="shared" si="176"/>
        <v>1708237910.1166668</v>
      </c>
      <c r="DC39" s="21">
        <f t="shared" si="114"/>
        <v>682233148.18547261</v>
      </c>
      <c r="DD39" s="21">
        <f t="shared" si="115"/>
        <v>817934853.43708336</v>
      </c>
      <c r="DE39" s="21">
        <f t="shared" si="116"/>
        <v>0.83409228170022087</v>
      </c>
      <c r="DF39" s="342">
        <f t="shared" si="117"/>
        <v>45.477116392802742</v>
      </c>
      <c r="DG39" s="342">
        <v>0</v>
      </c>
      <c r="DH39" s="355">
        <f t="shared" ref="DH39:DH67" si="195">AVERAGE(DF19:DF39)</f>
        <v>62.104507214393209</v>
      </c>
      <c r="DI39" s="141">
        <f t="shared" si="177"/>
        <v>15.650000000001455</v>
      </c>
      <c r="DJ39" s="118">
        <f t="shared" si="178"/>
        <v>13035071.100000001</v>
      </c>
      <c r="DK39" s="118">
        <f t="shared" si="179"/>
        <v>0</v>
      </c>
      <c r="DL39" s="118">
        <f t="shared" si="118"/>
        <v>314728579.46631104</v>
      </c>
      <c r="DM39" s="118">
        <f t="shared" si="119"/>
        <v>545550868.63109708</v>
      </c>
      <c r="DN39" s="118">
        <f t="shared" si="120"/>
        <v>0.57690051938883691</v>
      </c>
      <c r="DO39" s="350">
        <f t="shared" si="121"/>
        <v>36.584458708430617</v>
      </c>
      <c r="DP39" s="350">
        <v>0</v>
      </c>
      <c r="DQ39" s="351">
        <f t="shared" ref="DQ39:DQ67" si="196">AVERAGE(DO19:DO39)</f>
        <v>55.353271803710641</v>
      </c>
      <c r="DR39" s="135">
        <f t="shared" si="180"/>
        <v>279.40000000000146</v>
      </c>
      <c r="DS39" s="20">
        <f t="shared" si="181"/>
        <v>22170669.400000114</v>
      </c>
      <c r="DT39" s="21">
        <f t="shared" si="140"/>
        <v>15267161.10684962</v>
      </c>
      <c r="DU39" s="21">
        <f t="shared" si="135"/>
        <v>67330.733541251888</v>
      </c>
      <c r="DV39" s="319">
        <f t="shared" si="136"/>
        <v>226.748771383811</v>
      </c>
      <c r="DW39" s="21">
        <f t="shared" si="137"/>
        <v>4534.9754276762196</v>
      </c>
      <c r="DX39" s="21">
        <f>DW39*'Base Data'!$D$10</f>
        <v>9069.9508553524392</v>
      </c>
      <c r="DY39" s="363">
        <f>IF(INT(('Base Data'!$D$7)/DX39)=0,0,INT(('Base Data'!$D$7)/DX39))</f>
        <v>1</v>
      </c>
      <c r="DZ39" s="364">
        <f t="shared" si="126"/>
        <v>1.0526161023692044E-2</v>
      </c>
      <c r="EA39" s="141">
        <f t="shared" si="182"/>
        <v>100.89999999999964</v>
      </c>
      <c r="EB39" s="143">
        <f t="shared" si="183"/>
        <v>143479.79999999949</v>
      </c>
      <c r="EC39" s="118">
        <f t="shared" si="141"/>
        <v>7246166.9590407806</v>
      </c>
      <c r="ED39" s="118">
        <f t="shared" si="138"/>
        <v>98212.972166478794</v>
      </c>
      <c r="EE39" s="329">
        <f t="shared" si="139"/>
        <v>73.780141250159417</v>
      </c>
      <c r="EF39" s="118">
        <f t="shared" si="127"/>
        <v>5533.5105937619564</v>
      </c>
      <c r="EG39" s="118">
        <f>EF39*'Base Data'!$D$10</f>
        <v>11067.021187523913</v>
      </c>
      <c r="EH39" s="375">
        <f>IF(INT(('Base Data'!$D$7)/EG39)=0,0,INT(('Base Data'!$D$7)/EG39))</f>
        <v>0</v>
      </c>
      <c r="EI39" s="376">
        <f t="shared" si="128"/>
        <v>8.060540381849007E-3</v>
      </c>
      <c r="EJ39" s="135">
        <f t="shared" si="184"/>
        <v>279.40000000000146</v>
      </c>
      <c r="EK39" s="21">
        <f t="shared" si="185"/>
        <v>22170669.400000114</v>
      </c>
      <c r="EL39" s="21">
        <f t="shared" si="78"/>
        <v>16324809.018555865</v>
      </c>
      <c r="EM39" s="21">
        <f t="shared" si="74"/>
        <v>72606.273275746775</v>
      </c>
      <c r="EN39" s="319">
        <f t="shared" si="75"/>
        <v>224.8402001925771</v>
      </c>
      <c r="EO39" s="21">
        <f t="shared" si="64"/>
        <v>4496.8040038515419</v>
      </c>
      <c r="EP39" s="21">
        <f>EO39*'Base Data'!$D$13</f>
        <v>3372.6030028886562</v>
      </c>
      <c r="EQ39" s="363">
        <f>IF(INT(('Base Data'!$D$7)/EP39)=0,0,INT(('Base Data'!$D$7)/EP39))</f>
        <v>3</v>
      </c>
      <c r="ER39" s="314">
        <f t="shared" si="65"/>
        <v>1.043756108305509E-2</v>
      </c>
      <c r="ES39" s="143">
        <f t="shared" si="186"/>
        <v>100.89999999999964</v>
      </c>
      <c r="ET39" s="118">
        <f t="shared" si="187"/>
        <v>143479.79999999949</v>
      </c>
      <c r="EU39" s="118">
        <f t="shared" si="79"/>
        <v>6050639.0982272262</v>
      </c>
      <c r="EV39" s="118">
        <f t="shared" si="76"/>
        <v>82229.549887761852</v>
      </c>
      <c r="EW39" s="329">
        <f t="shared" si="77"/>
        <v>73.582296224240153</v>
      </c>
      <c r="EX39" s="118">
        <f t="shared" si="66"/>
        <v>5518.6722168180113</v>
      </c>
      <c r="EY39" s="118">
        <f>EX39*'Base Data'!$D$13</f>
        <v>4139.004162613508</v>
      </c>
      <c r="EZ39" s="375">
        <f>IF(INT(('Base Data'!$D$7)/EY39)=0,0,INT(('Base Data'!$D$7)/EY39))</f>
        <v>2</v>
      </c>
      <c r="FA39" s="385">
        <f t="shared" si="67"/>
        <v>8.038925652007773E-3</v>
      </c>
      <c r="FB39" s="397">
        <f t="shared" si="129"/>
        <v>0.43046732254491682</v>
      </c>
      <c r="FC39" s="403">
        <f t="shared" si="68"/>
        <v>-0.51133538353696761</v>
      </c>
      <c r="FD39" s="510">
        <f t="shared" si="130"/>
        <v>-0.24318282925520623</v>
      </c>
      <c r="FE39" s="509">
        <f t="shared" si="69"/>
        <v>-0.42050422797858555</v>
      </c>
      <c r="FF39" s="20">
        <f t="shared" si="165"/>
        <v>279.40000000000146</v>
      </c>
      <c r="FG39" s="17">
        <f t="shared" si="166"/>
        <v>1.2929199444701594E-2</v>
      </c>
      <c r="FH39" s="388">
        <f t="shared" si="70"/>
        <v>9.8787892776265474E-3</v>
      </c>
      <c r="FI39" s="388">
        <f t="shared" si="105"/>
        <v>9.6320695088152695E-3</v>
      </c>
      <c r="FJ39" s="314">
        <f t="shared" si="131"/>
        <v>9.3096377864278126E-3</v>
      </c>
      <c r="FK39" s="442">
        <f t="shared" si="167"/>
        <v>100.89999999999964</v>
      </c>
      <c r="FL39" s="18">
        <f t="shared" si="168"/>
        <v>1.0967391304347787E-2</v>
      </c>
      <c r="FM39" s="394">
        <f t="shared" si="71"/>
        <v>8.043896465202113E-3</v>
      </c>
      <c r="FN39" s="394">
        <f t="shared" si="106"/>
        <v>7.3903860801442988E-3</v>
      </c>
      <c r="FO39" s="385">
        <f t="shared" si="132"/>
        <v>6.7162273092266451E-3</v>
      </c>
      <c r="FP39" s="416">
        <f t="shared" si="188"/>
        <v>1</v>
      </c>
      <c r="FQ39" s="417">
        <f t="shared" si="189"/>
        <v>2</v>
      </c>
      <c r="FR39" s="415">
        <f t="shared" si="122"/>
        <v>60.152041702867265</v>
      </c>
      <c r="FS39" s="413" t="str">
        <f t="shared" si="133"/>
        <v>T-R</v>
      </c>
      <c r="FT39" s="404">
        <f t="shared" si="123"/>
        <v>39.618644067796694</v>
      </c>
      <c r="FU39" s="414" t="str">
        <f t="shared" si="134"/>
        <v>T-R</v>
      </c>
      <c r="FV39" s="415">
        <f t="shared" si="62"/>
        <v>36.641350210970216</v>
      </c>
      <c r="FW39" s="413" t="str">
        <f t="shared" si="72"/>
        <v>T-R</v>
      </c>
      <c r="FX39" s="404">
        <f t="shared" si="63"/>
        <v>64.129181084198265</v>
      </c>
      <c r="FY39" s="414" t="str">
        <f t="shared" si="73"/>
        <v>T-R</v>
      </c>
    </row>
    <row r="40" spans="1:181" x14ac:dyDescent="0.3">
      <c r="A40" s="94">
        <v>82.5</v>
      </c>
      <c r="B40" s="24">
        <f t="shared" ref="B40:B49" si="197">A40/180</f>
        <v>0.45833333333333331</v>
      </c>
      <c r="C40" s="25">
        <f t="shared" ca="1" si="190"/>
        <v>87.253354552009483</v>
      </c>
      <c r="D40" s="26" t="s">
        <v>36</v>
      </c>
      <c r="E40" s="270">
        <f t="shared" ca="1" si="191"/>
        <v>10647.516120836339</v>
      </c>
      <c r="F40" s="265">
        <f t="shared" ca="1" si="192"/>
        <v>10574.997744901244</v>
      </c>
      <c r="G40" s="26" t="s">
        <v>37</v>
      </c>
      <c r="H40" s="25">
        <f t="shared" ca="1" si="193"/>
        <v>70.96855657910875</v>
      </c>
      <c r="I40" s="24">
        <f t="shared" si="194"/>
        <v>0.45833333333333331</v>
      </c>
      <c r="J40" s="95">
        <v>82.5</v>
      </c>
      <c r="L40" s="283">
        <f t="shared" si="35"/>
        <v>37</v>
      </c>
      <c r="M40" s="290">
        <f>'[4]BANKNIFTY-I'!C56</f>
        <v>42849</v>
      </c>
      <c r="N40" s="7">
        <f>'[4]BANKNIFTY-I'!D56</f>
        <v>21590.05</v>
      </c>
      <c r="O40" s="7">
        <f>'[4]BANKNIFTY-I'!E56</f>
        <v>21847.25</v>
      </c>
      <c r="P40" s="7">
        <f>'[4]BANKNIFTY-I'!F56</f>
        <v>21567.599999999999</v>
      </c>
      <c r="Q40" s="7">
        <f>'[4]BANKNIFTY-I'!G56</f>
        <v>21830.15</v>
      </c>
      <c r="R40" s="11">
        <f>'[4]BANKNIFTY-I'!H56</f>
        <v>77014</v>
      </c>
      <c r="S40" s="291">
        <f>'[5]NIFTY-I'!C56</f>
        <v>42849</v>
      </c>
      <c r="T40" s="9">
        <f>'[5]NIFTY-I'!D56</f>
        <v>9140.15</v>
      </c>
      <c r="U40" s="9">
        <f>'[5]NIFTY-I'!E56</f>
        <v>9234.5</v>
      </c>
      <c r="V40" s="9">
        <f>'[5]NIFTY-I'!F56</f>
        <v>9129.7999999999993</v>
      </c>
      <c r="W40" s="9">
        <f>'[5]NIFTY-I'!G56</f>
        <v>9224.4500000000007</v>
      </c>
      <c r="X40" s="12">
        <f>'[5]NIFTY-I'!H56</f>
        <v>171698</v>
      </c>
      <c r="Y40" s="115"/>
      <c r="Z40" s="122">
        <f t="shared" si="36"/>
        <v>1.3313055733481302E-2</v>
      </c>
      <c r="AA40" s="19">
        <f t="shared" si="169"/>
        <v>7.7485600742275285E-3</v>
      </c>
      <c r="AB40" s="305">
        <f>IF(OR(SUM(Z20:Z40)=0,SUM('BNF-Nifty'!AA20:AA40)=0),0,(_xlfn.COVARIANCE.P(Z20:Z40,'BNF-Nifty'!AA20:AA40)/_xlfn.VAR.P('BNF-Nifty'!AA20:AA40)))</f>
        <v>0.89479324600898524</v>
      </c>
      <c r="AC40" s="306">
        <f>IF(OR(SUM(AA20:AA40)=0,SUM('BNF-Nifty'!AA20:AA40)=0),0,(_xlfn.COVARIANCE.P(AA20:AA40,'BNF-Nifty'!AA20:AA40)/_xlfn.VAR.P('BNF-Nifty'!AA20:AA40)))</f>
        <v>1.0000000000000002</v>
      </c>
      <c r="AD40" s="122">
        <f t="shared" si="151"/>
        <v>7.5231129843799181E-3</v>
      </c>
      <c r="AE40" s="364">
        <f t="shared" si="124"/>
        <v>9.5179238581080322E-2</v>
      </c>
      <c r="AF40" s="513">
        <f t="shared" si="152"/>
        <v>7.5007034220259759E-3</v>
      </c>
      <c r="AG40" s="522">
        <f t="shared" si="125"/>
        <v>0.232563162079227</v>
      </c>
      <c r="AH40" s="466">
        <f t="shared" si="170"/>
        <v>1.3313055733481302E-2</v>
      </c>
      <c r="AI40" s="17">
        <f t="shared" si="38"/>
        <v>5.1324515689961285E-3</v>
      </c>
      <c r="AJ40" s="17">
        <f t="shared" si="39"/>
        <v>5.9494354975385801E-3</v>
      </c>
      <c r="AK40" s="314">
        <f t="shared" si="40"/>
        <v>0.11366380558414726</v>
      </c>
      <c r="AL40" s="467">
        <f t="shared" si="171"/>
        <v>7.7485600742275285E-3</v>
      </c>
      <c r="AM40" s="18">
        <f t="shared" ref="AM40:AM67" si="198">AN39</f>
        <v>4.2142039395774312E-3</v>
      </c>
      <c r="AN40" s="18">
        <f t="shared" ref="AN40:AN67" si="199">SQRT((0.94*(AM40^2))+(0.06*(AL40^2)))</f>
        <v>4.5051476054757313E-3</v>
      </c>
      <c r="AO40" s="385">
        <f t="shared" ref="AO40:AO67" si="200">AN40*SQRT(365)</f>
        <v>8.6070724149969566E-2</v>
      </c>
      <c r="AP40" s="10">
        <f t="shared" si="153"/>
        <v>1.2882866933379124E-2</v>
      </c>
      <c r="AQ40" s="17">
        <f t="shared" ref="AQ40:AQ53" si="201">AR39</f>
        <v>9.5100026116333117E-3</v>
      </c>
      <c r="AR40" s="17">
        <f t="shared" ref="AR40:AR53" si="202">SQRT((0.94*(AQ40^2))+(0.06*(AP40^2)))</f>
        <v>9.7453494713255536E-3</v>
      </c>
      <c r="AS40" s="314">
        <f t="shared" ref="AS40:AS53" si="203">AR40*SQRT(365)</f>
        <v>0.18618464022621956</v>
      </c>
      <c r="AT40" s="448">
        <f t="shared" si="154"/>
        <v>1.1402681771925948E-2</v>
      </c>
      <c r="AU40" s="18">
        <f t="shared" ref="AU40:AU53" si="204">AV39</f>
        <v>7.0474495529433629E-3</v>
      </c>
      <c r="AV40" s="18">
        <f t="shared" ref="AV40:AV53" si="205">SQRT((0.94*(AU40^2))+(0.06*(AT40^2)))</f>
        <v>7.3815866576714684E-3</v>
      </c>
      <c r="AW40" s="385">
        <f t="shared" ref="AW40:AW53" si="206">AV40*SQRT(365)</f>
        <v>0.14102501508037643</v>
      </c>
      <c r="AX40" s="6">
        <f t="shared" si="155"/>
        <v>1662736110.7</v>
      </c>
      <c r="AY40" s="319">
        <v>0</v>
      </c>
      <c r="AZ40" s="140">
        <f t="shared" si="156"/>
        <v>1569345474.7</v>
      </c>
      <c r="BA40" s="481">
        <v>0</v>
      </c>
      <c r="BB40" s="135">
        <f t="shared" si="98"/>
        <v>1528796839.1856046</v>
      </c>
      <c r="BC40" s="21">
        <f t="shared" si="99"/>
        <v>70850.021533759093</v>
      </c>
      <c r="BD40" s="319">
        <f t="shared" si="100"/>
        <v>21577.930480333773</v>
      </c>
      <c r="BE40" s="21">
        <f t="shared" si="157"/>
        <v>21748.333333333332</v>
      </c>
      <c r="BF40" s="21">
        <f t="shared" si="158"/>
        <v>1674926143.3333333</v>
      </c>
      <c r="BG40" s="21">
        <f t="shared" si="59"/>
        <v>1638636936.002126</v>
      </c>
      <c r="BH40" s="21">
        <f t="shared" si="55"/>
        <v>75684.246684452417</v>
      </c>
      <c r="BI40" s="332">
        <f t="shared" si="56"/>
        <v>21650.96447129923</v>
      </c>
      <c r="BJ40" s="141">
        <f t="shared" si="101"/>
        <v>950382296.1401571</v>
      </c>
      <c r="BK40" s="118">
        <f t="shared" si="102"/>
        <v>103700.59913478715</v>
      </c>
      <c r="BL40" s="329">
        <f t="shared" si="107"/>
        <v>9164.6750748747054</v>
      </c>
      <c r="BM40" s="118">
        <f t="shared" si="159"/>
        <v>9196.25</v>
      </c>
      <c r="BN40" s="118">
        <f t="shared" si="160"/>
        <v>1578977732.5</v>
      </c>
      <c r="BO40" s="118">
        <f t="shared" si="60"/>
        <v>947920043.28317332</v>
      </c>
      <c r="BP40" s="118">
        <f t="shared" si="57"/>
        <v>103243.74301406062</v>
      </c>
      <c r="BQ40" s="325">
        <f t="shared" si="61"/>
        <v>9181.3800585869649</v>
      </c>
      <c r="BR40" s="6">
        <f t="shared" si="161"/>
        <v>1661007146.3999999</v>
      </c>
      <c r="BS40" s="8">
        <f t="shared" si="162"/>
        <v>1682544111.5</v>
      </c>
      <c r="BT40" s="331">
        <f t="shared" si="86"/>
        <v>21619.78520942539</v>
      </c>
      <c r="BU40" s="319">
        <f t="shared" ref="BU40:BU67" si="207">AVERAGE(BR36:BR40)/AVERAGE(R36:R40)</f>
        <v>21534.241197494557</v>
      </c>
      <c r="BV40" s="319">
        <f t="shared" ref="BV40:BV67" si="208">AVERAGE(BS36:BS40)/AVERAGE(R36:R40)</f>
        <v>21776.438247799189</v>
      </c>
      <c r="BW40" s="331">
        <f t="shared" si="172"/>
        <v>21299.294717424444</v>
      </c>
      <c r="BX40" s="319">
        <f t="shared" si="87"/>
        <v>21524.364437648412</v>
      </c>
      <c r="BY40" s="332">
        <f t="shared" si="88"/>
        <v>21751.785262342179</v>
      </c>
      <c r="BZ40" s="140">
        <f t="shared" si="163"/>
        <v>1567568400.3999999</v>
      </c>
      <c r="CA40" s="142">
        <f t="shared" si="164"/>
        <v>1585545181</v>
      </c>
      <c r="CB40" s="339">
        <f t="shared" si="89"/>
        <v>9196.7254895731749</v>
      </c>
      <c r="CC40" s="329">
        <f t="shared" ref="CC40:CC67" si="209">AVERAGE(BZ36:BZ40)/AVERAGE(X36:X40)</f>
        <v>9117.4791499381899</v>
      </c>
      <c r="CD40" s="329">
        <f t="shared" ref="CD40:CD67" si="210">AVERAGE(CA36:CA40)/AVERAGE(X36:X40)</f>
        <v>9211.7203267746208</v>
      </c>
      <c r="CE40" s="339">
        <f t="shared" si="173"/>
        <v>9128.8766069721551</v>
      </c>
      <c r="CF40" s="329">
        <f t="shared" si="90"/>
        <v>9163.9610024303965</v>
      </c>
      <c r="CG40" s="325">
        <f t="shared" si="91"/>
        <v>9239.6611327137853</v>
      </c>
      <c r="CH40" s="20">
        <f t="shared" si="92"/>
        <v>1540973141.2620924</v>
      </c>
      <c r="CI40" s="21">
        <f t="shared" si="93"/>
        <v>71301.084141112296</v>
      </c>
      <c r="CJ40" s="21">
        <f t="shared" si="94"/>
        <v>21612.197904485511</v>
      </c>
      <c r="CK40" s="21">
        <f t="shared" si="142"/>
        <v>1441366111.1935306</v>
      </c>
      <c r="CL40" s="21">
        <f t="shared" si="143"/>
        <v>67267.372813954498</v>
      </c>
      <c r="CM40" s="21">
        <f t="shared" si="148"/>
        <v>21427.417942722474</v>
      </c>
      <c r="CN40" s="342">
        <f t="shared" si="144"/>
        <v>184.77996176303714</v>
      </c>
      <c r="CO40" s="342">
        <f t="shared" ref="CO40:CO55" si="211">((CN40-CO39)*(2/(1+9)))+CO39</f>
        <v>229.28676850658491</v>
      </c>
      <c r="CP40" s="343">
        <f t="shared" ref="CP40:CP67" si="212">(CN40-CO40)</f>
        <v>-44.50680674354777</v>
      </c>
      <c r="CQ40" s="141">
        <f t="shared" si="95"/>
        <v>948671616.04889131</v>
      </c>
      <c r="CR40" s="118">
        <f t="shared" si="96"/>
        <v>103346.13459820057</v>
      </c>
      <c r="CS40" s="118">
        <f t="shared" si="104"/>
        <v>9179.5558657053953</v>
      </c>
      <c r="CT40" s="118">
        <f t="shared" si="145"/>
        <v>972348825.83918381</v>
      </c>
      <c r="CU40" s="118">
        <f t="shared" si="146"/>
        <v>106388.65394309691</v>
      </c>
      <c r="CV40" s="118">
        <f t="shared" si="149"/>
        <v>9139.5913925112236</v>
      </c>
      <c r="CW40" s="350">
        <f t="shared" si="150"/>
        <v>39.96447319417166</v>
      </c>
      <c r="CX40" s="350">
        <f t="shared" ref="CX40:CX55" si="213">((CW40-CX39)*(2/(1+9)))+CX39</f>
        <v>55.835390317909422</v>
      </c>
      <c r="CY40" s="351">
        <f t="shared" ref="CY40:CY67" si="214">(CW40-CX40)</f>
        <v>-15.870917123737762</v>
      </c>
      <c r="CZ40" s="20">
        <f t="shared" si="174"/>
        <v>220.71666666666351</v>
      </c>
      <c r="DA40" s="21">
        <f t="shared" si="175"/>
        <v>1674926143.3333333</v>
      </c>
      <c r="DB40" s="21">
        <f t="shared" si="176"/>
        <v>0</v>
      </c>
      <c r="DC40" s="21">
        <f t="shared" ref="DC40:DC53" si="215">((DA40-DC39)*(2/(1+14)))+DC39</f>
        <v>814592214.20518732</v>
      </c>
      <c r="DD40" s="21">
        <f t="shared" ref="DD40:DD53" si="216">((DB40-DD39)*(2/(1+14)))+DD39</f>
        <v>708876872.97880554</v>
      </c>
      <c r="DE40" s="21">
        <f t="shared" ref="DE40:DE53" si="217">IF(DD40=0,100000,(DC40/DD40))</f>
        <v>1.1491307521179952</v>
      </c>
      <c r="DF40" s="342">
        <f t="shared" ref="DF40:DF53" si="218">100-(100/(1+DE40))</f>
        <v>53.469559773667207</v>
      </c>
      <c r="DG40" s="342">
        <v>0</v>
      </c>
      <c r="DH40" s="355">
        <f t="shared" si="195"/>
        <v>62.284795638549028</v>
      </c>
      <c r="DI40" s="141">
        <f t="shared" si="177"/>
        <v>29.533333333332848</v>
      </c>
      <c r="DJ40" s="118">
        <f t="shared" si="178"/>
        <v>1578977732.5</v>
      </c>
      <c r="DK40" s="118">
        <f t="shared" si="179"/>
        <v>0</v>
      </c>
      <c r="DL40" s="118">
        <f t="shared" ref="DL40:DL53" si="219">((DJ40-DL39)*(2/(1+14)))+DL39</f>
        <v>483295133.20413625</v>
      </c>
      <c r="DM40" s="118">
        <f t="shared" ref="DM40:DM53" si="220">((DK40-DM39)*(2/(1+14)))+DM39</f>
        <v>472810752.81361747</v>
      </c>
      <c r="DN40" s="118">
        <f t="shared" ref="DN40:DN53" si="221">IF(DM40=0,100000,(DL40/DM40))</f>
        <v>1.0221745811154421</v>
      </c>
      <c r="DO40" s="350">
        <f t="shared" ref="DO40:DO53" si="222">100-(100/(1+DN40))</f>
        <v>50.548285526940276</v>
      </c>
      <c r="DP40" s="350">
        <v>0</v>
      </c>
      <c r="DQ40" s="351">
        <f t="shared" si="196"/>
        <v>55.25708553011544</v>
      </c>
      <c r="DR40" s="135">
        <f t="shared" si="180"/>
        <v>305.79999999999927</v>
      </c>
      <c r="DS40" s="20">
        <f t="shared" si="181"/>
        <v>23550881.199999943</v>
      </c>
      <c r="DT40" s="21">
        <f t="shared" si="140"/>
        <v>16020226.569863286</v>
      </c>
      <c r="DU40" s="21">
        <f t="shared" si="135"/>
        <v>68211.030492047168</v>
      </c>
      <c r="DV40" s="319">
        <f t="shared" si="136"/>
        <v>234.86269675593172</v>
      </c>
      <c r="DW40" s="21">
        <f t="shared" si="137"/>
        <v>4697.2539351186342</v>
      </c>
      <c r="DX40" s="21">
        <f>DW40*'Base Data'!$D$10</f>
        <v>9394.5078702372684</v>
      </c>
      <c r="DY40" s="363">
        <f>IF(INT(('Base Data'!$D$7)/DX40)=0,0,INT(('Base Data'!$D$7)/DX40))</f>
        <v>1</v>
      </c>
      <c r="DZ40" s="364">
        <f t="shared" si="126"/>
        <v>1.0758638706373145E-2</v>
      </c>
      <c r="EA40" s="141">
        <f t="shared" si="182"/>
        <v>104.70000000000073</v>
      </c>
      <c r="EB40" s="143">
        <f t="shared" si="183"/>
        <v>17976780.600000124</v>
      </c>
      <c r="EC40" s="118">
        <f t="shared" si="141"/>
        <v>8221677.2900370844</v>
      </c>
      <c r="ED40" s="118">
        <f t="shared" si="138"/>
        <v>104893.42924225345</v>
      </c>
      <c r="EE40" s="329">
        <f t="shared" si="139"/>
        <v>78.381242270656998</v>
      </c>
      <c r="EF40" s="118">
        <f t="shared" si="127"/>
        <v>5878.5931702992748</v>
      </c>
      <c r="EG40" s="118">
        <f>EF40*'Base Data'!$D$10</f>
        <v>11757.18634059855</v>
      </c>
      <c r="EH40" s="375">
        <f>IF(INT(('Base Data'!$D$7)/EG40)=0,0,INT(('Base Data'!$D$7)/EG40))</f>
        <v>0</v>
      </c>
      <c r="EI40" s="376">
        <f t="shared" si="128"/>
        <v>8.4971182315104962E-3</v>
      </c>
      <c r="EJ40" s="135">
        <f t="shared" si="184"/>
        <v>305.79999999999927</v>
      </c>
      <c r="EK40" s="21">
        <f t="shared" si="185"/>
        <v>23550881.199999943</v>
      </c>
      <c r="EL40" s="21">
        <f t="shared" si="78"/>
        <v>17930602.836654548</v>
      </c>
      <c r="EM40" s="21">
        <f t="shared" si="74"/>
        <v>73585.768103358598</v>
      </c>
      <c r="EN40" s="319">
        <f t="shared" si="75"/>
        <v>243.66943906149373</v>
      </c>
      <c r="EO40" s="21">
        <f t="shared" si="64"/>
        <v>4873.3887812298744</v>
      </c>
      <c r="EP40" s="21">
        <f>EO40*'Base Data'!$D$13</f>
        <v>3655.0415859224058</v>
      </c>
      <c r="EQ40" s="363">
        <f>IF(INT(('Base Data'!$D$7)/EP40)=0,0,INT(('Base Data'!$D$7)/EP40))</f>
        <v>2</v>
      </c>
      <c r="ER40" s="314">
        <f t="shared" si="65"/>
        <v>1.1162059768782795E-2</v>
      </c>
      <c r="ES40" s="143">
        <f t="shared" si="186"/>
        <v>104.70000000000073</v>
      </c>
      <c r="ET40" s="118">
        <f t="shared" si="187"/>
        <v>17976780.600000124</v>
      </c>
      <c r="EU40" s="118">
        <f t="shared" si="79"/>
        <v>8700892.7652878705</v>
      </c>
      <c r="EV40" s="118">
        <f t="shared" si="76"/>
        <v>102111.42769048145</v>
      </c>
      <c r="EW40" s="329">
        <f t="shared" si="77"/>
        <v>85.209784664473403</v>
      </c>
      <c r="EX40" s="118">
        <f t="shared" si="66"/>
        <v>6390.7338498355057</v>
      </c>
      <c r="EY40" s="118">
        <f>EX40*'Base Data'!$D$13</f>
        <v>4793.0503873766293</v>
      </c>
      <c r="EZ40" s="375">
        <f>IF(INT(('Base Data'!$D$7)/EY40)=0,0,INT(('Base Data'!$D$7)/EY40))</f>
        <v>2</v>
      </c>
      <c r="FA40" s="385">
        <f t="shared" si="67"/>
        <v>9.2373837642865855E-3</v>
      </c>
      <c r="FB40" s="397">
        <f t="shared" si="129"/>
        <v>1.5609153718939273</v>
      </c>
      <c r="FC40" s="403">
        <f t="shared" si="68"/>
        <v>0.69886345748796241</v>
      </c>
      <c r="FD40" s="510">
        <f t="shared" si="130"/>
        <v>0.66496311375953809</v>
      </c>
      <c r="FE40" s="509">
        <f t="shared" si="69"/>
        <v>0.54654325810955662</v>
      </c>
      <c r="FF40" s="20">
        <f t="shared" si="165"/>
        <v>279.65000000000146</v>
      </c>
      <c r="FG40" s="17">
        <f t="shared" si="166"/>
        <v>1.2952725908462531E-2</v>
      </c>
      <c r="FH40" s="388">
        <f t="shared" si="70"/>
        <v>9.8381557589175047E-3</v>
      </c>
      <c r="FI40" s="388">
        <f t="shared" si="105"/>
        <v>1.0136223146494892E-2</v>
      </c>
      <c r="FJ40" s="314">
        <f t="shared" si="131"/>
        <v>9.4958376321385637E-3</v>
      </c>
      <c r="FK40" s="442">
        <f t="shared" si="167"/>
        <v>104.70000000000073</v>
      </c>
      <c r="FL40" s="18">
        <f t="shared" si="168"/>
        <v>1.1454954240357185E-2</v>
      </c>
      <c r="FM40" s="394">
        <f t="shared" si="71"/>
        <v>8.3555734636978317E-3</v>
      </c>
      <c r="FN40" s="394">
        <f t="shared" si="106"/>
        <v>7.6834554313290719E-3</v>
      </c>
      <c r="FO40" s="385">
        <f t="shared" si="132"/>
        <v>6.8159773863457141E-3</v>
      </c>
      <c r="FP40" s="416">
        <f t="shared" si="188"/>
        <v>1</v>
      </c>
      <c r="FQ40" s="417">
        <f t="shared" si="189"/>
        <v>2</v>
      </c>
      <c r="FR40" s="415">
        <f t="shared" si="122"/>
        <v>76.229365768896741</v>
      </c>
      <c r="FS40" s="413" t="str">
        <f t="shared" si="133"/>
        <v>T-R</v>
      </c>
      <c r="FT40" s="404">
        <f t="shared" si="123"/>
        <v>44.99229583975383</v>
      </c>
      <c r="FU40" s="414" t="str">
        <f t="shared" si="134"/>
        <v>T-R</v>
      </c>
      <c r="FV40" s="415">
        <f t="shared" si="62"/>
        <v>20.244725738396745</v>
      </c>
      <c r="FW40" s="413" t="str">
        <f t="shared" si="72"/>
        <v>C-D</v>
      </c>
      <c r="FX40" s="404">
        <f t="shared" si="63"/>
        <v>0.75551526140827718</v>
      </c>
      <c r="FY40" s="414" t="str">
        <f t="shared" si="73"/>
        <v>C-D</v>
      </c>
    </row>
    <row r="41" spans="1:181" x14ac:dyDescent="0.3">
      <c r="A41" s="94">
        <v>75</v>
      </c>
      <c r="B41" s="24">
        <f t="shared" si="197"/>
        <v>0.41666666666666669</v>
      </c>
      <c r="C41" s="25">
        <f t="shared" ca="1" si="190"/>
        <v>86.476678128998827</v>
      </c>
      <c r="D41" s="26" t="s">
        <v>38</v>
      </c>
      <c r="E41" s="270">
        <f t="shared" ca="1" si="191"/>
        <v>10643.556949220418</v>
      </c>
      <c r="F41" s="265">
        <f t="shared" ca="1" si="192"/>
        <v>10577.66153486023</v>
      </c>
      <c r="G41" s="26" t="s">
        <v>39</v>
      </c>
      <c r="H41" s="25">
        <f t="shared" ca="1" si="193"/>
        <v>71.672316335452749</v>
      </c>
      <c r="I41" s="24">
        <f t="shared" si="194"/>
        <v>0.41666666666666669</v>
      </c>
      <c r="J41" s="95">
        <v>75</v>
      </c>
      <c r="L41" s="283">
        <f t="shared" si="35"/>
        <v>38</v>
      </c>
      <c r="M41" s="290">
        <f>'[4]BANKNIFTY-I'!C57</f>
        <v>42850</v>
      </c>
      <c r="N41" s="7">
        <f>'[4]BANKNIFTY-I'!D57</f>
        <v>21965</v>
      </c>
      <c r="O41" s="7">
        <f>'[4]BANKNIFTY-I'!E57</f>
        <v>22023.85</v>
      </c>
      <c r="P41" s="7">
        <f>'[4]BANKNIFTY-I'!F57</f>
        <v>21860.1</v>
      </c>
      <c r="Q41" s="7">
        <f>'[4]BANKNIFTY-I'!G57</f>
        <v>21995</v>
      </c>
      <c r="R41" s="11">
        <f>'[4]BANKNIFTY-I'!H57</f>
        <v>68528</v>
      </c>
      <c r="S41" s="291">
        <f>'[5]NIFTY-I'!C57</f>
        <v>42850</v>
      </c>
      <c r="T41" s="9">
        <f>'[5]NIFTY-I'!D57</f>
        <v>9264.7999999999993</v>
      </c>
      <c r="U41" s="9">
        <f>'[5]NIFTY-I'!E57</f>
        <v>9297.9500000000007</v>
      </c>
      <c r="V41" s="9">
        <f>'[5]NIFTY-I'!F57</f>
        <v>9244.15</v>
      </c>
      <c r="W41" s="9">
        <f>'[5]NIFTY-I'!G57</f>
        <v>9293.9</v>
      </c>
      <c r="X41" s="12">
        <f>'[5]NIFTY-I'!H57</f>
        <v>173277</v>
      </c>
      <c r="Y41" s="115"/>
      <c r="Z41" s="122">
        <f t="shared" si="36"/>
        <v>7.5231129843799181E-3</v>
      </c>
      <c r="AA41" s="19">
        <f t="shared" si="169"/>
        <v>7.5007034220259759E-3</v>
      </c>
      <c r="AB41" s="305">
        <f>IF(OR(SUM(Z21:Z41)=0,SUM('BNF-Nifty'!AA21:AA41)=0),0,(_xlfn.COVARIANCE.P(Z21:Z41,'BNF-Nifty'!AA21:AA41)/_xlfn.VAR.P('BNF-Nifty'!AA21:AA41)))</f>
        <v>0.91320010552103803</v>
      </c>
      <c r="AC41" s="306">
        <f>IF(OR(SUM(AA21:AA41)=0,SUM('BNF-Nifty'!AA21:AA41)=0),0,(_xlfn.COVARIANCE.P(AA21:AA41,'BNF-Nifty'!AA21:AA41)/_xlfn.VAR.P('BNF-Nifty'!AA21:AA41)))</f>
        <v>1</v>
      </c>
      <c r="AD41" s="122">
        <f t="shared" si="151"/>
        <v>9.7544975989301962E-3</v>
      </c>
      <c r="AE41" s="364">
        <f t="shared" si="124"/>
        <v>0.12296428201115064</v>
      </c>
      <c r="AF41" s="513">
        <f t="shared" si="152"/>
        <v>5.1727953935571417E-3</v>
      </c>
      <c r="AG41" s="522">
        <f t="shared" si="125"/>
        <v>0.28880374635214962</v>
      </c>
      <c r="AH41" s="466">
        <f t="shared" si="170"/>
        <v>7.5231129843799181E-3</v>
      </c>
      <c r="AI41" s="17">
        <f t="shared" si="38"/>
        <v>5.9494354975385801E-3</v>
      </c>
      <c r="AJ41" s="17">
        <f t="shared" si="39"/>
        <v>6.0554000291933273E-3</v>
      </c>
      <c r="AK41" s="314">
        <f t="shared" si="40"/>
        <v>0.1156882551188642</v>
      </c>
      <c r="AL41" s="467">
        <f t="shared" si="171"/>
        <v>7.5007034220259759E-3</v>
      </c>
      <c r="AM41" s="18">
        <f t="shared" si="198"/>
        <v>4.5051476054757313E-3</v>
      </c>
      <c r="AN41" s="18">
        <f t="shared" si="199"/>
        <v>4.7385870003417499E-3</v>
      </c>
      <c r="AO41" s="385">
        <f t="shared" si="200"/>
        <v>9.0530577526766368E-2</v>
      </c>
      <c r="AP41" s="10">
        <f t="shared" si="153"/>
        <v>7.462899761860502E-3</v>
      </c>
      <c r="AQ41" s="17">
        <f t="shared" si="201"/>
        <v>9.7453494713255536E-3</v>
      </c>
      <c r="AR41" s="17">
        <f t="shared" si="202"/>
        <v>9.6236800918621558E-3</v>
      </c>
      <c r="AS41" s="314">
        <f t="shared" si="203"/>
        <v>0.18386014999540806</v>
      </c>
      <c r="AT41" s="448">
        <f t="shared" si="154"/>
        <v>5.8030267312442043E-3</v>
      </c>
      <c r="AU41" s="18">
        <f t="shared" si="204"/>
        <v>7.3815866576714684E-3</v>
      </c>
      <c r="AV41" s="18">
        <f t="shared" si="205"/>
        <v>7.2965100866265314E-3</v>
      </c>
      <c r="AW41" s="385">
        <f t="shared" si="206"/>
        <v>0.13939962947278084</v>
      </c>
      <c r="AX41" s="6">
        <f t="shared" si="155"/>
        <v>1505217520</v>
      </c>
      <c r="AY41" s="319">
        <v>0</v>
      </c>
      <c r="AZ41" s="140">
        <f t="shared" si="156"/>
        <v>1605376749.5999999</v>
      </c>
      <c r="BA41" s="481">
        <v>0</v>
      </c>
      <c r="BB41" s="135">
        <f t="shared" si="98"/>
        <v>1525428365.0162325</v>
      </c>
      <c r="BC41" s="21">
        <f t="shared" si="99"/>
        <v>70518.304171793512</v>
      </c>
      <c r="BD41" s="319">
        <f t="shared" si="100"/>
        <v>21631.665465182668</v>
      </c>
      <c r="BE41" s="21">
        <f t="shared" si="157"/>
        <v>21959.649999999998</v>
      </c>
      <c r="BF41" s="21">
        <f t="shared" si="158"/>
        <v>1504850895.1999998</v>
      </c>
      <c r="BG41" s="21">
        <f t="shared" si="59"/>
        <v>1594041589.068084</v>
      </c>
      <c r="BH41" s="21">
        <f t="shared" ref="BH41:BH67" si="223">((R41-BH40)*(2/(1+5)))+BH40</f>
        <v>73298.831122968273</v>
      </c>
      <c r="BI41" s="332">
        <f t="shared" si="56"/>
        <v>21747.162466941292</v>
      </c>
      <c r="BJ41" s="141">
        <f t="shared" si="101"/>
        <v>1043952932.348706</v>
      </c>
      <c r="BK41" s="118">
        <f t="shared" si="102"/>
        <v>113640.0849726747</v>
      </c>
      <c r="BL41" s="329">
        <f t="shared" si="107"/>
        <v>9186.4849678678911</v>
      </c>
      <c r="BM41" s="118">
        <f t="shared" si="159"/>
        <v>9278.6666666666661</v>
      </c>
      <c r="BN41" s="118">
        <f t="shared" si="160"/>
        <v>1607779524</v>
      </c>
      <c r="BO41" s="118">
        <f t="shared" si="60"/>
        <v>1167873203.5221155</v>
      </c>
      <c r="BP41" s="118">
        <f t="shared" ref="BP41:BP67" si="224">((X41-BP40)*(2/(1+5)))+BP40</f>
        <v>126588.16200937374</v>
      </c>
      <c r="BQ41" s="325">
        <f t="shared" si="61"/>
        <v>9225.7694952205366</v>
      </c>
      <c r="BR41" s="6">
        <f t="shared" si="161"/>
        <v>1498028932.8</v>
      </c>
      <c r="BS41" s="8">
        <f t="shared" si="162"/>
        <v>1509250392.8</v>
      </c>
      <c r="BT41" s="331">
        <f t="shared" si="86"/>
        <v>21646.977835347672</v>
      </c>
      <c r="BU41" s="319">
        <f t="shared" si="207"/>
        <v>21558.262923722596</v>
      </c>
      <c r="BV41" s="319">
        <f t="shared" si="208"/>
        <v>21770.374963758153</v>
      </c>
      <c r="BW41" s="331">
        <f t="shared" si="172"/>
        <v>21339.575797477708</v>
      </c>
      <c r="BX41" s="319">
        <f t="shared" si="87"/>
        <v>21548.80716043905</v>
      </c>
      <c r="BY41" s="332">
        <f t="shared" si="88"/>
        <v>21773.424254392325</v>
      </c>
      <c r="BZ41" s="140">
        <f t="shared" si="163"/>
        <v>1601798579.55</v>
      </c>
      <c r="CA41" s="142">
        <f t="shared" si="164"/>
        <v>1611120882.1500001</v>
      </c>
      <c r="CB41" s="339">
        <f t="shared" si="89"/>
        <v>9199.7134806718277</v>
      </c>
      <c r="CC41" s="329">
        <f t="shared" si="209"/>
        <v>9159.7659707060284</v>
      </c>
      <c r="CD41" s="329">
        <f t="shared" si="210"/>
        <v>9228.918702032779</v>
      </c>
      <c r="CE41" s="339">
        <f t="shared" si="173"/>
        <v>9142.3421547787912</v>
      </c>
      <c r="CF41" s="329">
        <f t="shared" si="90"/>
        <v>9168.4024228153539</v>
      </c>
      <c r="CG41" s="325">
        <f t="shared" si="91"/>
        <v>9243.2652241911619</v>
      </c>
      <c r="CH41" s="20">
        <f t="shared" si="92"/>
        <v>1535415872.6371551</v>
      </c>
      <c r="CI41" s="21">
        <f t="shared" si="93"/>
        <v>70874.455811710402</v>
      </c>
      <c r="CJ41" s="21">
        <f t="shared" si="94"/>
        <v>21663.882354401969</v>
      </c>
      <c r="CK41" s="21">
        <f t="shared" si="142"/>
        <v>1446068687.7866023</v>
      </c>
      <c r="CL41" s="21">
        <f t="shared" si="143"/>
        <v>67360.752605513422</v>
      </c>
      <c r="CM41" s="21">
        <f t="shared" si="148"/>
        <v>21467.525700837297</v>
      </c>
      <c r="CN41" s="342">
        <f t="shared" si="144"/>
        <v>196.35665356467143</v>
      </c>
      <c r="CO41" s="342">
        <f t="shared" si="211"/>
        <v>222.70074551820221</v>
      </c>
      <c r="CP41" s="343">
        <f t="shared" si="212"/>
        <v>-26.344091953530778</v>
      </c>
      <c r="CQ41" s="141">
        <f t="shared" si="95"/>
        <v>1050072832.6567541</v>
      </c>
      <c r="CR41" s="118">
        <f t="shared" si="96"/>
        <v>114104.72927540049</v>
      </c>
      <c r="CS41" s="118">
        <f t="shared" si="104"/>
        <v>9202.7108720649358</v>
      </c>
      <c r="CT41" s="118">
        <f t="shared" si="145"/>
        <v>1019417766.4436888</v>
      </c>
      <c r="CU41" s="118">
        <f t="shared" si="146"/>
        <v>111343.34624360825</v>
      </c>
      <c r="CV41" s="118">
        <f t="shared" si="149"/>
        <v>9155.6235808945712</v>
      </c>
      <c r="CW41" s="350">
        <f t="shared" si="150"/>
        <v>47.087291170364551</v>
      </c>
      <c r="CX41" s="350">
        <f t="shared" si="213"/>
        <v>54.085770488400449</v>
      </c>
      <c r="CY41" s="351">
        <f t="shared" si="214"/>
        <v>-6.9984793180358977</v>
      </c>
      <c r="CZ41" s="20">
        <f t="shared" si="174"/>
        <v>211.3166666666657</v>
      </c>
      <c r="DA41" s="21">
        <f t="shared" si="175"/>
        <v>1504850895.1999998</v>
      </c>
      <c r="DB41" s="21">
        <f t="shared" si="176"/>
        <v>0</v>
      </c>
      <c r="DC41" s="21">
        <f t="shared" si="215"/>
        <v>906626705.00449562</v>
      </c>
      <c r="DD41" s="21">
        <f t="shared" si="216"/>
        <v>614359956.58163142</v>
      </c>
      <c r="DE41" s="21">
        <f t="shared" si="217"/>
        <v>1.4757255828473417</v>
      </c>
      <c r="DF41" s="342">
        <f t="shared" si="218"/>
        <v>59.607801166319248</v>
      </c>
      <c r="DG41" s="342">
        <v>0</v>
      </c>
      <c r="DH41" s="355">
        <f t="shared" si="195"/>
        <v>62.455921039483862</v>
      </c>
      <c r="DI41" s="141">
        <f t="shared" si="177"/>
        <v>82.41666666666606</v>
      </c>
      <c r="DJ41" s="118">
        <f t="shared" si="178"/>
        <v>1607779524</v>
      </c>
      <c r="DK41" s="118">
        <f t="shared" si="179"/>
        <v>0</v>
      </c>
      <c r="DL41" s="118">
        <f t="shared" si="219"/>
        <v>633226385.31025147</v>
      </c>
      <c r="DM41" s="118">
        <f t="shared" si="220"/>
        <v>409769319.10513514</v>
      </c>
      <c r="DN41" s="118">
        <f t="shared" si="221"/>
        <v>1.5453240537703206</v>
      </c>
      <c r="DO41" s="350">
        <f t="shared" si="222"/>
        <v>60.71227164499048</v>
      </c>
      <c r="DP41" s="350">
        <v>0</v>
      </c>
      <c r="DQ41" s="351">
        <f t="shared" si="196"/>
        <v>55.376654152260457</v>
      </c>
      <c r="DR41" s="135">
        <f t="shared" si="180"/>
        <v>193.69999999999709</v>
      </c>
      <c r="DS41" s="20">
        <f t="shared" si="181"/>
        <v>13273873.5999998</v>
      </c>
      <c r="DT41" s="21">
        <f t="shared" si="140"/>
        <v>15770558.118057514</v>
      </c>
      <c r="DU41" s="21">
        <f t="shared" si="135"/>
        <v>68239.845901861059</v>
      </c>
      <c r="DV41" s="319">
        <f t="shared" si="136"/>
        <v>231.10483192968954</v>
      </c>
      <c r="DW41" s="21">
        <f t="shared" si="137"/>
        <v>4622.0966385937909</v>
      </c>
      <c r="DX41" s="21">
        <f>DW41*'Base Data'!$D$10</f>
        <v>9244.1932771875818</v>
      </c>
      <c r="DY41" s="363">
        <f>IF(INT(('Base Data'!$D$7)/DX41)=0,0,INT(('Base Data'!$D$7)/DX41))</f>
        <v>1</v>
      </c>
      <c r="DZ41" s="364">
        <f t="shared" si="126"/>
        <v>1.0507153077048853E-2</v>
      </c>
      <c r="EA41" s="141">
        <f t="shared" si="182"/>
        <v>73.5</v>
      </c>
      <c r="EB41" s="143">
        <f t="shared" si="183"/>
        <v>12735859.5</v>
      </c>
      <c r="EC41" s="118">
        <f t="shared" si="141"/>
        <v>8632057.4909428041</v>
      </c>
      <c r="ED41" s="118">
        <f t="shared" si="138"/>
        <v>111110.11749295768</v>
      </c>
      <c r="EE41" s="329">
        <f t="shared" si="139"/>
        <v>77.689212159188983</v>
      </c>
      <c r="EF41" s="118">
        <f t="shared" si="127"/>
        <v>5826.6909119391739</v>
      </c>
      <c r="EG41" s="118">
        <f>EF41*'Base Data'!$D$10</f>
        <v>11653.381823878348</v>
      </c>
      <c r="EH41" s="375">
        <f>IF(INT(('Base Data'!$D$7)/EG41)=0,0,INT(('Base Data'!$D$7)/EG41))</f>
        <v>0</v>
      </c>
      <c r="EI41" s="376">
        <f t="shared" si="128"/>
        <v>8.3591616177480909E-3</v>
      </c>
      <c r="EJ41" s="135">
        <f t="shared" si="184"/>
        <v>193.69999999999709</v>
      </c>
      <c r="EK41" s="21">
        <f t="shared" si="185"/>
        <v>13273873.5999998</v>
      </c>
      <c r="EL41" s="21">
        <f t="shared" si="78"/>
        <v>16895774.117397938</v>
      </c>
      <c r="EM41" s="21">
        <f t="shared" si="74"/>
        <v>72461.819635945576</v>
      </c>
      <c r="EN41" s="319">
        <f t="shared" si="75"/>
        <v>233.16795247875035</v>
      </c>
      <c r="EO41" s="21">
        <f t="shared" si="64"/>
        <v>4663.3590495750068</v>
      </c>
      <c r="EP41" s="21">
        <f>EO41*'Base Data'!$D$13</f>
        <v>3497.5192871812551</v>
      </c>
      <c r="EQ41" s="363">
        <f>IF(INT(('Base Data'!$D$7)/EP41)=0,0,INT(('Base Data'!$D$7)/EP41))</f>
        <v>3</v>
      </c>
      <c r="ER41" s="314">
        <f t="shared" si="65"/>
        <v>1.0600952601898174E-2</v>
      </c>
      <c r="ES41" s="143">
        <f t="shared" si="186"/>
        <v>73.5</v>
      </c>
      <c r="ET41" s="118">
        <f t="shared" si="187"/>
        <v>12735859.5</v>
      </c>
      <c r="EU41" s="118">
        <f t="shared" si="79"/>
        <v>9597552.039668344</v>
      </c>
      <c r="EV41" s="118">
        <f t="shared" si="76"/>
        <v>117925.99931481891</v>
      </c>
      <c r="EW41" s="329">
        <f t="shared" si="77"/>
        <v>81.386226069167506</v>
      </c>
      <c r="EX41" s="118">
        <f t="shared" si="66"/>
        <v>6103.9669551875631</v>
      </c>
      <c r="EY41" s="118">
        <f>EX41*'Base Data'!$D$13</f>
        <v>4577.9752163906724</v>
      </c>
      <c r="EZ41" s="375">
        <f>IF(INT(('Base Data'!$D$7)/EY41)=0,0,INT(('Base Data'!$D$7)/EY41))</f>
        <v>2</v>
      </c>
      <c r="FA41" s="385">
        <f t="shared" si="67"/>
        <v>8.7569509107228941E-3</v>
      </c>
      <c r="FB41" s="397">
        <f t="shared" si="129"/>
        <v>2.124381207460571</v>
      </c>
      <c r="FC41" s="403">
        <f t="shared" si="68"/>
        <v>1.4008142908479964</v>
      </c>
      <c r="FD41" s="510">
        <f t="shared" si="130"/>
        <v>1.490595301261229</v>
      </c>
      <c r="FE41" s="509">
        <f t="shared" si="69"/>
        <v>1.4937519431115298</v>
      </c>
      <c r="FF41" s="20">
        <f t="shared" si="165"/>
        <v>163.75</v>
      </c>
      <c r="FG41" s="17">
        <f t="shared" si="166"/>
        <v>7.4550421124516273E-3</v>
      </c>
      <c r="FH41" s="388">
        <f t="shared" si="70"/>
        <v>9.2966196292899751E-3</v>
      </c>
      <c r="FI41" s="388">
        <f t="shared" si="105"/>
        <v>1.0016722529368582E-2</v>
      </c>
      <c r="FJ41" s="314">
        <f t="shared" si="131"/>
        <v>9.468657886227097E-3</v>
      </c>
      <c r="FK41" s="442">
        <f t="shared" si="167"/>
        <v>53.800000000001091</v>
      </c>
      <c r="FL41" s="18">
        <f t="shared" si="168"/>
        <v>5.8069251359987367E-3</v>
      </c>
      <c r="FM41" s="394">
        <f t="shared" si="71"/>
        <v>7.8398022527269365E-3</v>
      </c>
      <c r="FN41" s="394">
        <f t="shared" si="106"/>
        <v>7.7405531208356061E-3</v>
      </c>
      <c r="FO41" s="385">
        <f t="shared" si="132"/>
        <v>6.7755886877572061E-3</v>
      </c>
      <c r="FP41" s="416">
        <f t="shared" si="188"/>
        <v>2</v>
      </c>
      <c r="FQ41" s="417">
        <f t="shared" si="189"/>
        <v>2</v>
      </c>
      <c r="FR41" s="415">
        <f t="shared" si="122"/>
        <v>80.530681496842334</v>
      </c>
      <c r="FS41" s="413" t="str">
        <f t="shared" si="133"/>
        <v>T-R</v>
      </c>
      <c r="FT41" s="404">
        <f t="shared" si="123"/>
        <v>66.844309097830177</v>
      </c>
      <c r="FU41" s="414" t="str">
        <f t="shared" si="134"/>
        <v>T-R</v>
      </c>
      <c r="FV41" s="415">
        <f t="shared" si="62"/>
        <v>40.756008400093421</v>
      </c>
      <c r="FW41" s="413" t="str">
        <f t="shared" si="72"/>
        <v>T-R</v>
      </c>
      <c r="FX41" s="404">
        <f t="shared" si="63"/>
        <v>55.436941410128512</v>
      </c>
      <c r="FY41" s="414" t="str">
        <f t="shared" si="73"/>
        <v>T-R</v>
      </c>
    </row>
    <row r="42" spans="1:181" x14ac:dyDescent="0.3">
      <c r="A42" s="94">
        <v>71.25</v>
      </c>
      <c r="B42" s="24">
        <f t="shared" si="197"/>
        <v>0.39583333333333331</v>
      </c>
      <c r="C42" s="25">
        <f t="shared" ca="1" si="190"/>
        <v>86.089642000826856</v>
      </c>
      <c r="D42" s="26" t="s">
        <v>40</v>
      </c>
      <c r="E42" s="270">
        <f t="shared" ca="1" si="191"/>
        <v>10641.602149958662</v>
      </c>
      <c r="F42" s="265">
        <f t="shared" ca="1" si="192"/>
        <v>10579.014906924122</v>
      </c>
      <c r="G42" s="26" t="s">
        <v>41</v>
      </c>
      <c r="H42" s="25">
        <f t="shared" ca="1" si="193"/>
        <v>72.025498296958048</v>
      </c>
      <c r="I42" s="24">
        <f t="shared" si="194"/>
        <v>0.39583333333333331</v>
      </c>
      <c r="J42" s="95">
        <v>71.25</v>
      </c>
      <c r="L42" s="283">
        <f t="shared" si="35"/>
        <v>39</v>
      </c>
      <c r="M42" s="290">
        <f>'[4]BANKNIFTY-I'!C58</f>
        <v>42851</v>
      </c>
      <c r="N42" s="7">
        <f>'[4]BANKNIFTY-I'!D58</f>
        <v>22050.15</v>
      </c>
      <c r="O42" s="7">
        <f>'[4]BANKNIFTY-I'!E58</f>
        <v>22244</v>
      </c>
      <c r="P42" s="7">
        <f>'[4]BANKNIFTY-I'!F58</f>
        <v>22027.55</v>
      </c>
      <c r="Q42" s="7">
        <f>'[4]BANKNIFTY-I'!G58</f>
        <v>22210.6</v>
      </c>
      <c r="R42" s="11">
        <f>'[4]BANKNIFTY-I'!H58</f>
        <v>84104</v>
      </c>
      <c r="S42" s="291">
        <f>'[5]NIFTY-I'!C58</f>
        <v>42851</v>
      </c>
      <c r="T42" s="9">
        <f>'[5]NIFTY-I'!D58</f>
        <v>9308.25</v>
      </c>
      <c r="U42" s="9">
        <f>'[5]NIFTY-I'!E58</f>
        <v>9357.4500000000007</v>
      </c>
      <c r="V42" s="9">
        <f>'[5]NIFTY-I'!F58</f>
        <v>9297.6</v>
      </c>
      <c r="W42" s="9">
        <f>'[5]NIFTY-I'!G58</f>
        <v>9342.1</v>
      </c>
      <c r="X42" s="12">
        <f>'[5]NIFTY-I'!H58</f>
        <v>178016</v>
      </c>
      <c r="Y42" s="115"/>
      <c r="Z42" s="122">
        <f t="shared" si="36"/>
        <v>9.7544975989301962E-3</v>
      </c>
      <c r="AA42" s="19">
        <f t="shared" si="169"/>
        <v>5.1727953935571417E-3</v>
      </c>
      <c r="AB42" s="305">
        <f>IF(OR(SUM(Z22:Z42)=0,SUM('BNF-Nifty'!AA22:AA42)=0),0,(_xlfn.COVARIANCE.P(Z22:Z42,'BNF-Nifty'!AA22:AA42)/_xlfn.VAR.P('BNF-Nifty'!AA22:AA42)))</f>
        <v>0.94792222360257272</v>
      </c>
      <c r="AC42" s="306">
        <f>IF(OR(SUM(AA22:AA42)=0,SUM('BNF-Nifty'!AA22:AA42)=0),0,(_xlfn.COVARIANCE.P(AA22:AA42,'BNF-Nifty'!AA22:AA42)/_xlfn.VAR.P('BNF-Nifty'!AA22:AA42)))</f>
        <v>1.0000000000000002</v>
      </c>
      <c r="AD42" s="122">
        <f t="shared" si="151"/>
        <v>5.3390218000602943E-3</v>
      </c>
      <c r="AE42" s="364">
        <f t="shared" si="124"/>
        <v>0.19274342910580375</v>
      </c>
      <c r="AF42" s="513">
        <f t="shared" si="152"/>
        <v>3.9062814035984486E-4</v>
      </c>
      <c r="AG42" s="522">
        <f t="shared" si="125"/>
        <v>0.29232605494934599</v>
      </c>
      <c r="AH42" s="466">
        <f t="shared" si="170"/>
        <v>9.7544975989301962E-3</v>
      </c>
      <c r="AI42" s="17">
        <f t="shared" si="38"/>
        <v>6.0554000291933273E-3</v>
      </c>
      <c r="AJ42" s="17">
        <f t="shared" si="39"/>
        <v>6.3385180245222441E-3</v>
      </c>
      <c r="AK42" s="314">
        <f t="shared" si="40"/>
        <v>0.12109721682485348</v>
      </c>
      <c r="AL42" s="467">
        <f t="shared" si="171"/>
        <v>5.1727953935571417E-3</v>
      </c>
      <c r="AM42" s="18">
        <f t="shared" si="198"/>
        <v>4.7385870003417499E-3</v>
      </c>
      <c r="AN42" s="18">
        <f t="shared" si="199"/>
        <v>4.7657552481464791E-3</v>
      </c>
      <c r="AO42" s="385">
        <f t="shared" si="200"/>
        <v>9.104962617227505E-2</v>
      </c>
      <c r="AP42" s="10">
        <f t="shared" si="153"/>
        <v>9.7783666792355776E-3</v>
      </c>
      <c r="AQ42" s="17">
        <f t="shared" si="201"/>
        <v>9.6236800918621558E-3</v>
      </c>
      <c r="AR42" s="17">
        <f t="shared" si="202"/>
        <v>9.6330313346676515E-3</v>
      </c>
      <c r="AS42" s="314">
        <f t="shared" si="203"/>
        <v>0.1840388052383557</v>
      </c>
      <c r="AT42" s="448">
        <f t="shared" si="154"/>
        <v>6.4165151359600325E-3</v>
      </c>
      <c r="AU42" s="18">
        <f t="shared" si="204"/>
        <v>7.2965100866265314E-3</v>
      </c>
      <c r="AV42" s="18">
        <f t="shared" si="205"/>
        <v>7.2467244922784528E-3</v>
      </c>
      <c r="AW42" s="385">
        <f t="shared" si="206"/>
        <v>0.13844847702828211</v>
      </c>
      <c r="AX42" s="6">
        <f t="shared" si="155"/>
        <v>1854505815.6000001</v>
      </c>
      <c r="AY42" s="319">
        <v>0</v>
      </c>
      <c r="AZ42" s="140">
        <f t="shared" si="156"/>
        <v>1657017432</v>
      </c>
      <c r="BA42" s="481">
        <v>0</v>
      </c>
      <c r="BB42" s="135">
        <f t="shared" si="98"/>
        <v>1572439429.3853421</v>
      </c>
      <c r="BC42" s="21">
        <f t="shared" si="99"/>
        <v>72459.117861537292</v>
      </c>
      <c r="BD42" s="319">
        <f t="shared" si="100"/>
        <v>21701.056758517669</v>
      </c>
      <c r="BE42" s="21">
        <f t="shared" si="157"/>
        <v>22160.716666666664</v>
      </c>
      <c r="BF42" s="21">
        <f t="shared" si="158"/>
        <v>1863804914.5333331</v>
      </c>
      <c r="BG42" s="21">
        <f t="shared" si="59"/>
        <v>1683962697.5565004</v>
      </c>
      <c r="BH42" s="21">
        <f t="shared" si="223"/>
        <v>76900.554081978844</v>
      </c>
      <c r="BI42" s="332">
        <f t="shared" si="56"/>
        <v>21897.926714043359</v>
      </c>
      <c r="BJ42" s="141">
        <f t="shared" si="101"/>
        <v>1131533575.1560338</v>
      </c>
      <c r="BK42" s="118">
        <f t="shared" si="102"/>
        <v>122836.6442622926</v>
      </c>
      <c r="BL42" s="329">
        <f t="shared" si="107"/>
        <v>9211.6939692676278</v>
      </c>
      <c r="BM42" s="118">
        <f t="shared" si="159"/>
        <v>9332.3833333333332</v>
      </c>
      <c r="BN42" s="118">
        <f t="shared" si="160"/>
        <v>1661313551.4666667</v>
      </c>
      <c r="BO42" s="118">
        <f t="shared" si="60"/>
        <v>1332353319.5036325</v>
      </c>
      <c r="BP42" s="118">
        <f t="shared" si="224"/>
        <v>143730.77467291584</v>
      </c>
      <c r="BQ42" s="325">
        <f t="shared" si="61"/>
        <v>9269.7845853515519</v>
      </c>
      <c r="BR42" s="6">
        <f t="shared" si="161"/>
        <v>1852605065.2</v>
      </c>
      <c r="BS42" s="8">
        <f t="shared" si="162"/>
        <v>1870809376</v>
      </c>
      <c r="BT42" s="331">
        <f t="shared" si="86"/>
        <v>21688.076555038933</v>
      </c>
      <c r="BU42" s="319">
        <f t="shared" si="207"/>
        <v>21668.793902922876</v>
      </c>
      <c r="BV42" s="319">
        <f t="shared" si="208"/>
        <v>21881.241255544111</v>
      </c>
      <c r="BW42" s="331">
        <f t="shared" si="172"/>
        <v>21386.19404614851</v>
      </c>
      <c r="BX42" s="319">
        <f t="shared" si="87"/>
        <v>21596.350551990414</v>
      </c>
      <c r="BY42" s="332">
        <f t="shared" si="88"/>
        <v>21820.421903336497</v>
      </c>
      <c r="BZ42" s="140">
        <f t="shared" si="163"/>
        <v>1655121561.6000001</v>
      </c>
      <c r="CA42" s="142">
        <f t="shared" si="164"/>
        <v>1665775819.2</v>
      </c>
      <c r="CB42" s="339">
        <f t="shared" si="89"/>
        <v>9208.9005223401018</v>
      </c>
      <c r="CC42" s="329">
        <f t="shared" si="209"/>
        <v>9209.923861904279</v>
      </c>
      <c r="CD42" s="329">
        <f t="shared" si="210"/>
        <v>9279.3041589498844</v>
      </c>
      <c r="CE42" s="339">
        <f t="shared" si="173"/>
        <v>9154.9959501098456</v>
      </c>
      <c r="CF42" s="329">
        <f t="shared" si="90"/>
        <v>9179.5473203841375</v>
      </c>
      <c r="CG42" s="325">
        <f t="shared" si="91"/>
        <v>9254.2101856488425</v>
      </c>
      <c r="CH42" s="20">
        <f t="shared" si="92"/>
        <v>1585937263.6981056</v>
      </c>
      <c r="CI42" s="21">
        <f t="shared" si="93"/>
        <v>72909.770302216493</v>
      </c>
      <c r="CJ42" s="21">
        <f t="shared" si="94"/>
        <v>21752.054040552812</v>
      </c>
      <c r="CK42" s="21">
        <f t="shared" si="142"/>
        <v>1477012111.9900639</v>
      </c>
      <c r="CL42" s="21">
        <f t="shared" si="143"/>
        <v>68600.993153253163</v>
      </c>
      <c r="CM42" s="21">
        <f t="shared" si="148"/>
        <v>21530.477098056734</v>
      </c>
      <c r="CN42" s="342">
        <f t="shared" si="144"/>
        <v>221.57694249607812</v>
      </c>
      <c r="CO42" s="342">
        <f t="shared" si="211"/>
        <v>222.47598491377738</v>
      </c>
      <c r="CP42" s="343">
        <f t="shared" si="212"/>
        <v>-0.8990424176992633</v>
      </c>
      <c r="CQ42" s="141">
        <f t="shared" si="95"/>
        <v>1144109866.3198175</v>
      </c>
      <c r="CR42" s="118">
        <f t="shared" si="96"/>
        <v>123937.23246380041</v>
      </c>
      <c r="CS42" s="118">
        <f t="shared" si="104"/>
        <v>9231.3652933470912</v>
      </c>
      <c r="CT42" s="118">
        <f t="shared" si="145"/>
        <v>1066965602.3713168</v>
      </c>
      <c r="CU42" s="118">
        <f t="shared" si="146"/>
        <v>116282.06133667431</v>
      </c>
      <c r="CV42" s="118">
        <f t="shared" si="149"/>
        <v>9175.6681134341525</v>
      </c>
      <c r="CW42" s="350">
        <f t="shared" si="150"/>
        <v>55.697179912938736</v>
      </c>
      <c r="CX42" s="350">
        <f t="shared" si="213"/>
        <v>54.408052373308109</v>
      </c>
      <c r="CY42" s="351">
        <f t="shared" si="214"/>
        <v>1.289127539630627</v>
      </c>
      <c r="CZ42" s="20">
        <f t="shared" si="174"/>
        <v>201.0666666666657</v>
      </c>
      <c r="DA42" s="21">
        <f t="shared" si="175"/>
        <v>1863804914.5333331</v>
      </c>
      <c r="DB42" s="21">
        <f t="shared" si="176"/>
        <v>0</v>
      </c>
      <c r="DC42" s="21">
        <f t="shared" si="215"/>
        <v>1034250466.2750072</v>
      </c>
      <c r="DD42" s="21">
        <f t="shared" si="216"/>
        <v>532445295.70408058</v>
      </c>
      <c r="DE42" s="21">
        <f t="shared" si="217"/>
        <v>1.9424539471371667</v>
      </c>
      <c r="DF42" s="342">
        <f t="shared" si="218"/>
        <v>66.014761217488527</v>
      </c>
      <c r="DG42" s="342">
        <v>0</v>
      </c>
      <c r="DH42" s="355">
        <f t="shared" si="195"/>
        <v>62.622250616932789</v>
      </c>
      <c r="DI42" s="141">
        <f t="shared" si="177"/>
        <v>53.716666666667152</v>
      </c>
      <c r="DJ42" s="118">
        <f t="shared" si="178"/>
        <v>1661313551.4666667</v>
      </c>
      <c r="DK42" s="118">
        <f t="shared" si="179"/>
        <v>0</v>
      </c>
      <c r="DL42" s="118">
        <f t="shared" si="219"/>
        <v>770304674.13110685</v>
      </c>
      <c r="DM42" s="118">
        <f t="shared" si="220"/>
        <v>355133409.8911171</v>
      </c>
      <c r="DN42" s="118">
        <f t="shared" si="221"/>
        <v>2.1690571843614492</v>
      </c>
      <c r="DO42" s="350">
        <f t="shared" si="222"/>
        <v>68.44487360673817</v>
      </c>
      <c r="DP42" s="350">
        <v>0</v>
      </c>
      <c r="DQ42" s="351">
        <f t="shared" si="196"/>
        <v>55.631207615806552</v>
      </c>
      <c r="DR42" s="135">
        <f t="shared" si="180"/>
        <v>249</v>
      </c>
      <c r="DS42" s="20">
        <f t="shared" si="181"/>
        <v>20941896</v>
      </c>
      <c r="DT42" s="21">
        <f t="shared" si="140"/>
        <v>16240679.743688649</v>
      </c>
      <c r="DU42" s="21">
        <f t="shared" si="135"/>
        <v>69682.041728964599</v>
      </c>
      <c r="DV42" s="319">
        <f t="shared" si="136"/>
        <v>233.06836798580653</v>
      </c>
      <c r="DW42" s="21">
        <f t="shared" si="137"/>
        <v>4661.3673597161305</v>
      </c>
      <c r="DX42" s="21">
        <f>DW42*'Base Data'!$D$10</f>
        <v>9322.734719432261</v>
      </c>
      <c r="DY42" s="363">
        <f>IF(INT(('Base Data'!$D$7)/DX42)=0,0,INT(('Base Data'!$D$7)/DX42))</f>
        <v>1</v>
      </c>
      <c r="DZ42" s="364">
        <f t="shared" si="126"/>
        <v>1.0493564693696097E-2</v>
      </c>
      <c r="EA42" s="141">
        <f t="shared" si="182"/>
        <v>63.550000000001091</v>
      </c>
      <c r="EB42" s="143">
        <f t="shared" si="183"/>
        <v>11312916.800000194</v>
      </c>
      <c r="EC42" s="118">
        <f t="shared" si="141"/>
        <v>8875771.9735843856</v>
      </c>
      <c r="ED42" s="118">
        <f t="shared" si="138"/>
        <v>117192.47044814334</v>
      </c>
      <c r="EE42" s="329">
        <f t="shared" si="139"/>
        <v>75.73670850732546</v>
      </c>
      <c r="EF42" s="118">
        <f t="shared" si="127"/>
        <v>5680.2531380494092</v>
      </c>
      <c r="EG42" s="118">
        <f>EF42*'Base Data'!$D$10</f>
        <v>11360.506276098818</v>
      </c>
      <c r="EH42" s="375">
        <f>IF(INT(('Base Data'!$D$7)/EG42)=0,0,INT(('Base Data'!$D$7)/EG42))</f>
        <v>0</v>
      </c>
      <c r="EI42" s="376">
        <f t="shared" si="128"/>
        <v>8.1070325202390742E-3</v>
      </c>
      <c r="EJ42" s="135">
        <f t="shared" si="184"/>
        <v>249</v>
      </c>
      <c r="EK42" s="21">
        <f t="shared" si="185"/>
        <v>20941896</v>
      </c>
      <c r="EL42" s="21">
        <f t="shared" si="78"/>
        <v>17794912.31353173</v>
      </c>
      <c r="EM42" s="21">
        <f t="shared" si="74"/>
        <v>75048.970827957673</v>
      </c>
      <c r="EN42" s="319">
        <f t="shared" si="75"/>
        <v>237.11067743120427</v>
      </c>
      <c r="EO42" s="21">
        <f t="shared" si="64"/>
        <v>4742.213548624085</v>
      </c>
      <c r="EP42" s="21">
        <f>EO42*'Base Data'!$D$13</f>
        <v>3556.660161468064</v>
      </c>
      <c r="EQ42" s="363">
        <f>IF(INT(('Base Data'!$D$7)/EP42)=0,0,INT(('Base Data'!$D$7)/EP42))</f>
        <v>2</v>
      </c>
      <c r="ER42" s="314">
        <f t="shared" si="65"/>
        <v>1.0675563804273827E-2</v>
      </c>
      <c r="ES42" s="143">
        <f t="shared" si="186"/>
        <v>63.550000000001091</v>
      </c>
      <c r="ET42" s="118">
        <f t="shared" si="187"/>
        <v>11312916.800000194</v>
      </c>
      <c r="EU42" s="118">
        <f t="shared" si="79"/>
        <v>9978744.2086309772</v>
      </c>
      <c r="EV42" s="118">
        <f t="shared" si="76"/>
        <v>131279.3328004147</v>
      </c>
      <c r="EW42" s="329">
        <f t="shared" si="77"/>
        <v>76.011539636644585</v>
      </c>
      <c r="EX42" s="118">
        <f t="shared" si="66"/>
        <v>5700.8654727483436</v>
      </c>
      <c r="EY42" s="118">
        <f>EX42*'Base Data'!$D$13</f>
        <v>4275.6491045612574</v>
      </c>
      <c r="EZ42" s="375">
        <f>IF(INT(('Base Data'!$D$7)/EY42)=0,0,INT(('Base Data'!$D$7)/EY42))</f>
        <v>2</v>
      </c>
      <c r="FA42" s="385">
        <f t="shared" si="67"/>
        <v>8.1364510802329863E-3</v>
      </c>
      <c r="FB42" s="397">
        <f t="shared" si="129"/>
        <v>2.8194772120297862</v>
      </c>
      <c r="FC42" s="403">
        <f t="shared" si="68"/>
        <v>2.1464220373669067</v>
      </c>
      <c r="FD42" s="510">
        <f t="shared" si="130"/>
        <v>2.0510278080420261</v>
      </c>
      <c r="FE42" s="509">
        <f t="shared" si="69"/>
        <v>2.1344346850784128</v>
      </c>
      <c r="FF42" s="20">
        <f t="shared" si="165"/>
        <v>216.45000000000073</v>
      </c>
      <c r="FG42" s="17">
        <f t="shared" si="166"/>
        <v>9.8162597533350444E-3</v>
      </c>
      <c r="FH42" s="388">
        <f t="shared" si="70"/>
        <v>9.7805731016711046E-3</v>
      </c>
      <c r="FI42" s="388">
        <f t="shared" si="105"/>
        <v>9.9801109104485017E-3</v>
      </c>
      <c r="FJ42" s="314">
        <f t="shared" si="131"/>
        <v>9.383334694255431E-3</v>
      </c>
      <c r="FK42" s="442">
        <f t="shared" si="167"/>
        <v>59.850000000000364</v>
      </c>
      <c r="FL42" s="18">
        <f t="shared" si="168"/>
        <v>6.4297800338409868E-3</v>
      </c>
      <c r="FM42" s="394">
        <f t="shared" si="71"/>
        <v>8.0392828429359329E-3</v>
      </c>
      <c r="FN42" s="394">
        <f t="shared" si="106"/>
        <v>7.802943433531483E-3</v>
      </c>
      <c r="FO42" s="385">
        <f t="shared" si="132"/>
        <v>6.8357833811154029E-3</v>
      </c>
      <c r="FP42" s="416">
        <f t="shared" si="188"/>
        <v>2</v>
      </c>
      <c r="FQ42" s="417">
        <f t="shared" si="189"/>
        <v>2</v>
      </c>
      <c r="FR42" s="415">
        <f t="shared" si="122"/>
        <v>88.568004793289219</v>
      </c>
      <c r="FS42" s="413" t="str">
        <f t="shared" si="133"/>
        <v>T-R</v>
      </c>
      <c r="FT42" s="404">
        <f t="shared" si="123"/>
        <v>85.0869025450028</v>
      </c>
      <c r="FU42" s="414" t="str">
        <f t="shared" si="134"/>
        <v>T-R</v>
      </c>
      <c r="FV42" s="415">
        <f t="shared" si="62"/>
        <v>58.928157589802929</v>
      </c>
      <c r="FW42" s="413" t="str">
        <f t="shared" si="72"/>
        <v>T-R</v>
      </c>
      <c r="FX42" s="404">
        <f t="shared" si="63"/>
        <v>66.596397087006139</v>
      </c>
      <c r="FY42" s="414" t="str">
        <f t="shared" si="73"/>
        <v>T-R</v>
      </c>
    </row>
    <row r="43" spans="1:181" x14ac:dyDescent="0.3">
      <c r="A43" s="94">
        <v>63.75</v>
      </c>
      <c r="B43" s="24">
        <f t="shared" si="197"/>
        <v>0.35416666666666669</v>
      </c>
      <c r="C43" s="25">
        <f t="shared" ca="1" si="190"/>
        <v>85.318173911149529</v>
      </c>
      <c r="D43" s="26" t="s">
        <v>42</v>
      </c>
      <c r="E43" s="270">
        <f t="shared" ca="1" si="191"/>
        <v>10637.741853260201</v>
      </c>
      <c r="F43" s="265">
        <f t="shared" ca="1" si="192"/>
        <v>10581.764876488069</v>
      </c>
      <c r="G43" s="26" t="s">
        <v>43</v>
      </c>
      <c r="H43" s="25">
        <f t="shared" ca="1" si="193"/>
        <v>72.734466386635376</v>
      </c>
      <c r="I43" s="24">
        <f t="shared" si="194"/>
        <v>0.35416666666666669</v>
      </c>
      <c r="J43" s="95">
        <v>63.75</v>
      </c>
      <c r="L43" s="283">
        <f t="shared" si="35"/>
        <v>40</v>
      </c>
      <c r="M43" s="290">
        <f>'[4]BANKNIFTY-I'!C59</f>
        <v>42852</v>
      </c>
      <c r="N43" s="7">
        <f>'[4]BANKNIFTY-I'!D59</f>
        <v>22245.95</v>
      </c>
      <c r="O43" s="7">
        <f>'[4]BANKNIFTY-I'!E59</f>
        <v>22374.9</v>
      </c>
      <c r="P43" s="7">
        <f>'[4]BANKNIFTY-I'!F59</f>
        <v>22163.25</v>
      </c>
      <c r="Q43" s="7">
        <f>'[4]BANKNIFTY-I'!G59</f>
        <v>22329.5</v>
      </c>
      <c r="R43" s="11">
        <f>'[4]BANKNIFTY-I'!H59</f>
        <v>79573</v>
      </c>
      <c r="S43" s="291">
        <f>'[5]NIFTY-I'!C59</f>
        <v>42852</v>
      </c>
      <c r="T43" s="9">
        <f>'[5]NIFTY-I'!D59</f>
        <v>9344.7000000000007</v>
      </c>
      <c r="U43" s="9">
        <f>'[5]NIFTY-I'!E59</f>
        <v>9366</v>
      </c>
      <c r="V43" s="9">
        <f>'[5]NIFTY-I'!F59</f>
        <v>9325</v>
      </c>
      <c r="W43" s="9">
        <f>'[5]NIFTY-I'!G59</f>
        <v>9345.75</v>
      </c>
      <c r="X43" s="12">
        <f>'[5]NIFTY-I'!H59</f>
        <v>174725</v>
      </c>
      <c r="Y43" s="115"/>
      <c r="Z43" s="122">
        <f t="shared" si="36"/>
        <v>5.3390218000602943E-3</v>
      </c>
      <c r="AA43" s="19">
        <f t="shared" si="169"/>
        <v>3.9062814035984486E-4</v>
      </c>
      <c r="AB43" s="305">
        <f>IF(OR(SUM(Z23:Z43)=0,SUM('BNF-Nifty'!AA23:AA43)=0),0,(_xlfn.COVARIANCE.P(Z23:Z43,'BNF-Nifty'!AA23:AA43)/_xlfn.VAR.P('BNF-Nifty'!AA23:AA43)))</f>
        <v>0.97829762736027548</v>
      </c>
      <c r="AC43" s="306">
        <f>IF(OR(SUM(AA23:AA43)=0,SUM('BNF-Nifty'!AA23:AA43)=0),0,(_xlfn.COVARIANCE.P(AA23:AA43,'BNF-Nifty'!AA23:AA43)/_xlfn.VAR.P('BNF-Nifty'!AA23:AA43)))</f>
        <v>1</v>
      </c>
      <c r="AD43" s="122">
        <f t="shared" si="151"/>
        <v>1.6511585350535349E-3</v>
      </c>
      <c r="AE43" s="364">
        <f t="shared" si="124"/>
        <v>0.21539122262703389</v>
      </c>
      <c r="AF43" s="513">
        <f t="shared" si="152"/>
        <v>-1.2901880592329946E-3</v>
      </c>
      <c r="AG43" s="522">
        <f t="shared" si="125"/>
        <v>0.37948396066306844</v>
      </c>
      <c r="AH43" s="466">
        <f t="shared" si="170"/>
        <v>5.3390218000602943E-3</v>
      </c>
      <c r="AI43" s="17">
        <f t="shared" si="38"/>
        <v>6.3385180245222441E-3</v>
      </c>
      <c r="AJ43" s="17">
        <f t="shared" si="39"/>
        <v>6.2830336087954294E-3</v>
      </c>
      <c r="AK43" s="314">
        <f t="shared" si="40"/>
        <v>0.12003718855078752</v>
      </c>
      <c r="AL43" s="467">
        <f t="shared" si="171"/>
        <v>3.9062814035984486E-4</v>
      </c>
      <c r="AM43" s="18">
        <f t="shared" si="198"/>
        <v>4.7657552481464791E-3</v>
      </c>
      <c r="AN43" s="18">
        <f t="shared" si="199"/>
        <v>4.6215617620847639E-3</v>
      </c>
      <c r="AO43" s="385">
        <f t="shared" si="200"/>
        <v>8.8294813489122159E-2</v>
      </c>
      <c r="AP43" s="10">
        <f t="shared" si="153"/>
        <v>9.5042831019080138E-3</v>
      </c>
      <c r="AQ43" s="17">
        <f t="shared" si="201"/>
        <v>9.6330313346676515E-3</v>
      </c>
      <c r="AR43" s="17">
        <f t="shared" si="202"/>
        <v>9.6253550048754234E-3</v>
      </c>
      <c r="AS43" s="314">
        <f t="shared" si="203"/>
        <v>0.18389214916359622</v>
      </c>
      <c r="AT43" s="448">
        <f t="shared" si="154"/>
        <v>4.3871452314707066E-3</v>
      </c>
      <c r="AU43" s="18">
        <f t="shared" si="204"/>
        <v>7.2467244922784528E-3</v>
      </c>
      <c r="AV43" s="18">
        <f t="shared" si="205"/>
        <v>7.1076675155700743E-3</v>
      </c>
      <c r="AW43" s="385">
        <f t="shared" si="206"/>
        <v>0.13579179721853554</v>
      </c>
      <c r="AX43" s="6">
        <f t="shared" si="155"/>
        <v>1770176979.3500001</v>
      </c>
      <c r="AY43" s="319">
        <v>0</v>
      </c>
      <c r="AZ43" s="140">
        <f t="shared" si="156"/>
        <v>1632752707.5000002</v>
      </c>
      <c r="BA43" s="481">
        <v>0</v>
      </c>
      <c r="BB43" s="135">
        <f t="shared" si="98"/>
        <v>1600687650.8088646</v>
      </c>
      <c r="BC43" s="21">
        <f t="shared" si="99"/>
        <v>73475.38673846054</v>
      </c>
      <c r="BD43" s="319">
        <f t="shared" si="100"/>
        <v>21785.358633178694</v>
      </c>
      <c r="BE43" s="21">
        <f t="shared" si="157"/>
        <v>22289.216666666664</v>
      </c>
      <c r="BF43" s="21">
        <f t="shared" si="158"/>
        <v>1773619837.8166664</v>
      </c>
      <c r="BG43" s="21">
        <f t="shared" si="59"/>
        <v>1713848410.9765558</v>
      </c>
      <c r="BH43" s="21">
        <f t="shared" si="223"/>
        <v>77791.369387985891</v>
      </c>
      <c r="BI43" s="332">
        <f t="shared" si="56"/>
        <v>22031.343894059832</v>
      </c>
      <c r="BJ43" s="141">
        <f t="shared" si="101"/>
        <v>1203136308.3480289</v>
      </c>
      <c r="BK43" s="118">
        <f t="shared" si="102"/>
        <v>130249.26651053652</v>
      </c>
      <c r="BL43" s="329">
        <f t="shared" si="107"/>
        <v>9237.1829844485237</v>
      </c>
      <c r="BM43" s="118">
        <f t="shared" si="159"/>
        <v>9345.5833333333339</v>
      </c>
      <c r="BN43" s="118">
        <f t="shared" si="160"/>
        <v>1632907047.9166667</v>
      </c>
      <c r="BO43" s="118">
        <f t="shared" si="60"/>
        <v>1432537895.6413107</v>
      </c>
      <c r="BP43" s="118">
        <f t="shared" si="224"/>
        <v>154062.18311527724</v>
      </c>
      <c r="BQ43" s="325">
        <f t="shared" si="61"/>
        <v>9298.4395435277729</v>
      </c>
      <c r="BR43" s="6">
        <f t="shared" si="161"/>
        <v>1763596292.25</v>
      </c>
      <c r="BS43" s="8">
        <f t="shared" si="162"/>
        <v>1780437917.7</v>
      </c>
      <c r="BT43" s="331">
        <f t="shared" si="86"/>
        <v>21743.597510989035</v>
      </c>
      <c r="BU43" s="319">
        <f t="shared" si="207"/>
        <v>21802.612573410195</v>
      </c>
      <c r="BV43" s="319">
        <f t="shared" si="208"/>
        <v>22034.166812672102</v>
      </c>
      <c r="BW43" s="331">
        <f t="shared" si="172"/>
        <v>21427.883258958784</v>
      </c>
      <c r="BX43" s="319">
        <f t="shared" si="87"/>
        <v>21655.994535366252</v>
      </c>
      <c r="BY43" s="332">
        <f t="shared" si="88"/>
        <v>21879.981325582725</v>
      </c>
      <c r="BZ43" s="140">
        <f t="shared" si="163"/>
        <v>1629310625</v>
      </c>
      <c r="CA43" s="142">
        <f t="shared" si="164"/>
        <v>1636474350</v>
      </c>
      <c r="CB43" s="339">
        <f t="shared" si="89"/>
        <v>9222.4573037388254</v>
      </c>
      <c r="CC43" s="329">
        <f t="shared" si="209"/>
        <v>9249.6360840778216</v>
      </c>
      <c r="CD43" s="329">
        <f t="shared" si="210"/>
        <v>9314.3737261456245</v>
      </c>
      <c r="CE43" s="339">
        <f t="shared" si="173"/>
        <v>9165.8566789671349</v>
      </c>
      <c r="CF43" s="329">
        <f t="shared" si="90"/>
        <v>9194.5352027025274</v>
      </c>
      <c r="CG43" s="325">
        <f t="shared" si="91"/>
        <v>9265.7623819515629</v>
      </c>
      <c r="CH43" s="20">
        <f t="shared" si="92"/>
        <v>1614811505.8701918</v>
      </c>
      <c r="CI43" s="21">
        <f t="shared" si="93"/>
        <v>73934.88256341395</v>
      </c>
      <c r="CJ43" s="21">
        <f t="shared" si="94"/>
        <v>21840.996426621332</v>
      </c>
      <c r="CK43" s="21">
        <f t="shared" si="142"/>
        <v>1498983054.6438863</v>
      </c>
      <c r="CL43" s="21">
        <f t="shared" si="143"/>
        <v>69413.734401160342</v>
      </c>
      <c r="CM43" s="21">
        <f t="shared" si="148"/>
        <v>21594.905785948162</v>
      </c>
      <c r="CN43" s="342">
        <f t="shared" si="144"/>
        <v>246.09064067317013</v>
      </c>
      <c r="CO43" s="342">
        <f t="shared" si="211"/>
        <v>227.19891606565594</v>
      </c>
      <c r="CP43" s="343">
        <f t="shared" si="212"/>
        <v>18.891724607514192</v>
      </c>
      <c r="CQ43" s="141">
        <f t="shared" si="95"/>
        <v>1219309432.7193327</v>
      </c>
      <c r="CR43" s="118">
        <f t="shared" si="96"/>
        <v>131750.73516167726</v>
      </c>
      <c r="CS43" s="118">
        <f t="shared" si="104"/>
        <v>9254.668911130273</v>
      </c>
      <c r="CT43" s="118">
        <f t="shared" si="145"/>
        <v>1108887190.9302316</v>
      </c>
      <c r="CU43" s="118">
        <f t="shared" si="146"/>
        <v>120611.16790432806</v>
      </c>
      <c r="CV43" s="118">
        <f t="shared" si="149"/>
        <v>9193.9014454269272</v>
      </c>
      <c r="CW43" s="350">
        <f t="shared" si="150"/>
        <v>60.767465703345806</v>
      </c>
      <c r="CX43" s="350">
        <f t="shared" si="213"/>
        <v>55.679935039315652</v>
      </c>
      <c r="CY43" s="351">
        <f t="shared" si="214"/>
        <v>5.0875306640301545</v>
      </c>
      <c r="CZ43" s="20">
        <f t="shared" si="174"/>
        <v>128.5</v>
      </c>
      <c r="DA43" s="21">
        <f t="shared" si="175"/>
        <v>1773619837.8166664</v>
      </c>
      <c r="DB43" s="21">
        <f t="shared" si="176"/>
        <v>0</v>
      </c>
      <c r="DC43" s="21">
        <f t="shared" si="215"/>
        <v>1132833049.1472285</v>
      </c>
      <c r="DD43" s="21">
        <f t="shared" si="216"/>
        <v>461452589.61020315</v>
      </c>
      <c r="DE43" s="21">
        <f t="shared" si="217"/>
        <v>2.4549283602550629</v>
      </c>
      <c r="DF43" s="342">
        <f t="shared" si="218"/>
        <v>71.05583978227051</v>
      </c>
      <c r="DG43" s="342">
        <v>0</v>
      </c>
      <c r="DH43" s="355">
        <f t="shared" si="195"/>
        <v>63.424183030844794</v>
      </c>
      <c r="DI43" s="141">
        <f t="shared" si="177"/>
        <v>13.200000000000728</v>
      </c>
      <c r="DJ43" s="118">
        <f t="shared" si="178"/>
        <v>1632907047.9166667</v>
      </c>
      <c r="DK43" s="118">
        <f t="shared" si="179"/>
        <v>0</v>
      </c>
      <c r="DL43" s="118">
        <f t="shared" si="219"/>
        <v>885318323.96918154</v>
      </c>
      <c r="DM43" s="118">
        <f t="shared" si="220"/>
        <v>307782288.57230151</v>
      </c>
      <c r="DN43" s="118">
        <f t="shared" si="221"/>
        <v>2.876443371955792</v>
      </c>
      <c r="DO43" s="350">
        <f t="shared" si="222"/>
        <v>74.203157274667802</v>
      </c>
      <c r="DP43" s="350">
        <v>0</v>
      </c>
      <c r="DQ43" s="351">
        <f t="shared" si="196"/>
        <v>56.752814331182286</v>
      </c>
      <c r="DR43" s="135">
        <f t="shared" si="180"/>
        <v>211.65000000000146</v>
      </c>
      <c r="DS43" s="20">
        <f t="shared" si="181"/>
        <v>16841625.450000115</v>
      </c>
      <c r="DT43" s="21">
        <f t="shared" si="140"/>
        <v>16295311.171535145</v>
      </c>
      <c r="DU43" s="21">
        <f t="shared" si="135"/>
        <v>70581.219753604179</v>
      </c>
      <c r="DV43" s="319">
        <f t="shared" si="136"/>
        <v>230.87318734957165</v>
      </c>
      <c r="DW43" s="21">
        <f t="shared" si="137"/>
        <v>4617.4637469914333</v>
      </c>
      <c r="DX43" s="21">
        <f>DW43*'Base Data'!$D$10</f>
        <v>9234.9274939828665</v>
      </c>
      <c r="DY43" s="363">
        <f>IF(INT(('Base Data'!$D$7)/DX43)=0,0,INT(('Base Data'!$D$7)/DX43))</f>
        <v>1</v>
      </c>
      <c r="DZ43" s="364">
        <f t="shared" si="126"/>
        <v>1.0339380073426259E-2</v>
      </c>
      <c r="EA43" s="141">
        <f t="shared" si="182"/>
        <v>41</v>
      </c>
      <c r="EB43" s="143">
        <f t="shared" si="183"/>
        <v>7163725</v>
      </c>
      <c r="EC43" s="118">
        <f t="shared" si="141"/>
        <v>8720131.3396221679</v>
      </c>
      <c r="ED43" s="118">
        <f t="shared" si="138"/>
        <v>122422.70040740304</v>
      </c>
      <c r="EE43" s="329">
        <f t="shared" si="139"/>
        <v>71.229692782490289</v>
      </c>
      <c r="EF43" s="118">
        <f t="shared" si="127"/>
        <v>5342.2269586867715</v>
      </c>
      <c r="EG43" s="118">
        <f>EF43*'Base Data'!$D$10</f>
        <v>10684.453917373543</v>
      </c>
      <c r="EH43" s="375">
        <f>IF(INT(('Base Data'!$D$7)/EG43)=0,0,INT(('Base Data'!$D$7)/EG43))</f>
        <v>0</v>
      </c>
      <c r="EI43" s="376">
        <f t="shared" si="128"/>
        <v>7.6216133303897799E-3</v>
      </c>
      <c r="EJ43" s="135">
        <f t="shared" si="184"/>
        <v>211.65000000000146</v>
      </c>
      <c r="EK43" s="21">
        <f t="shared" si="185"/>
        <v>16841625.450000115</v>
      </c>
      <c r="EL43" s="21">
        <f t="shared" si="78"/>
        <v>17583070.788302481</v>
      </c>
      <c r="EM43" s="21">
        <f t="shared" si="74"/>
        <v>76054.310643967081</v>
      </c>
      <c r="EN43" s="319">
        <f t="shared" si="75"/>
        <v>231.1909823312196</v>
      </c>
      <c r="EO43" s="21">
        <f t="shared" si="64"/>
        <v>4623.8196466243917</v>
      </c>
      <c r="EP43" s="21">
        <f>EO43*'Base Data'!$D$13</f>
        <v>3467.8647349682938</v>
      </c>
      <c r="EQ43" s="363">
        <f>IF(INT(('Base Data'!$D$7)/EP43)=0,0,INT(('Base Data'!$D$7)/EP43))</f>
        <v>3</v>
      </c>
      <c r="ER43" s="314">
        <f t="shared" si="65"/>
        <v>1.0353612142287987E-2</v>
      </c>
      <c r="ES43" s="143">
        <f t="shared" si="186"/>
        <v>41</v>
      </c>
      <c r="ET43" s="118">
        <f t="shared" si="187"/>
        <v>7163725</v>
      </c>
      <c r="EU43" s="118">
        <f t="shared" si="79"/>
        <v>9353184.38449076</v>
      </c>
      <c r="EV43" s="118">
        <f t="shared" si="76"/>
        <v>140933.92551143366</v>
      </c>
      <c r="EW43" s="329">
        <f t="shared" si="77"/>
        <v>66.365740899851374</v>
      </c>
      <c r="EX43" s="118">
        <f t="shared" si="66"/>
        <v>4977.4305674888528</v>
      </c>
      <c r="EY43" s="118">
        <f>EX43*'Base Data'!$D$13</f>
        <v>3733.0729256166396</v>
      </c>
      <c r="EZ43" s="375">
        <f>IF(INT(('Base Data'!$D$7)/EY43)=0,0,INT(('Base Data'!$D$7)/EY43))</f>
        <v>2</v>
      </c>
      <c r="FA43" s="385">
        <f t="shared" si="67"/>
        <v>7.1011680068321292E-3</v>
      </c>
      <c r="FB43" s="397">
        <f t="shared" si="129"/>
        <v>3.1432083907767101</v>
      </c>
      <c r="FC43" s="403">
        <f t="shared" si="68"/>
        <v>2.4817144432476503</v>
      </c>
      <c r="FD43" s="510">
        <f t="shared" si="130"/>
        <v>2.0910443191053698</v>
      </c>
      <c r="FE43" s="509">
        <f t="shared" si="69"/>
        <v>2.2388559416153027</v>
      </c>
      <c r="FF43" s="20">
        <f t="shared" si="165"/>
        <v>211.65000000000146</v>
      </c>
      <c r="FG43" s="17">
        <f t="shared" si="166"/>
        <v>9.5140913289835424E-3</v>
      </c>
      <c r="FH43" s="388">
        <f t="shared" si="70"/>
        <v>1.0188516270981385E-2</v>
      </c>
      <c r="FI43" s="388">
        <f t="shared" si="105"/>
        <v>9.9661203395843539E-3</v>
      </c>
      <c r="FJ43" s="314">
        <f t="shared" si="131"/>
        <v>9.4220171671528258E-3</v>
      </c>
      <c r="FK43" s="442">
        <f t="shared" si="167"/>
        <v>41</v>
      </c>
      <c r="FL43" s="18">
        <f t="shared" si="168"/>
        <v>4.3875137778633874E-3</v>
      </c>
      <c r="FM43" s="394">
        <f t="shared" si="71"/>
        <v>8.0405553394472563E-3</v>
      </c>
      <c r="FN43" s="394">
        <f t="shared" si="106"/>
        <v>7.5627800734971353E-3</v>
      </c>
      <c r="FO43" s="385">
        <f t="shared" si="132"/>
        <v>6.6484535451214796E-3</v>
      </c>
      <c r="FP43" s="416">
        <f t="shared" si="188"/>
        <v>2</v>
      </c>
      <c r="FQ43" s="417">
        <f t="shared" si="189"/>
        <v>2</v>
      </c>
      <c r="FR43" s="415">
        <f t="shared" si="122"/>
        <v>89.346069066862611</v>
      </c>
      <c r="FS43" s="413" t="str">
        <f t="shared" si="133"/>
        <v>T-R</v>
      </c>
      <c r="FT43" s="404">
        <f t="shared" si="123"/>
        <v>84.158945117604887</v>
      </c>
      <c r="FU43" s="414" t="str">
        <f t="shared" si="134"/>
        <v>T-D</v>
      </c>
      <c r="FV43" s="415">
        <f t="shared" ref="FV43:FV67" si="225">ABS(Q43-Q36)/(MAX(O36:O43)-MIN(P36:P43))*100</f>
        <v>64.045678639702018</v>
      </c>
      <c r="FW43" s="413" t="str">
        <f t="shared" si="72"/>
        <v>T-R</v>
      </c>
      <c r="FX43" s="404">
        <f t="shared" ref="FX43:FX67" si="226">ABS(W43-W36)/(MAX(U36:U43)-MIN(V36:V43))*100</f>
        <v>82.538504360734478</v>
      </c>
      <c r="FY43" s="414" t="str">
        <f t="shared" si="73"/>
        <v>T-R</v>
      </c>
    </row>
    <row r="44" spans="1:181" x14ac:dyDescent="0.3">
      <c r="A44" s="96">
        <v>45</v>
      </c>
      <c r="B44" s="27">
        <f t="shared" si="197"/>
        <v>0.25</v>
      </c>
      <c r="C44" s="28">
        <f t="shared" ca="1" si="190"/>
        <v>83.404694659178503</v>
      </c>
      <c r="D44" s="29" t="s">
        <v>44</v>
      </c>
      <c r="E44" s="271">
        <f t="shared" ca="1" si="191"/>
        <v>10628.376173664796</v>
      </c>
      <c r="F44" s="266">
        <f t="shared" ca="1" si="192"/>
        <v>10588.894480604238</v>
      </c>
      <c r="G44" s="30" t="s">
        <v>44</v>
      </c>
      <c r="H44" s="31">
        <f t="shared" ca="1" si="193"/>
        <v>74.522077583050844</v>
      </c>
      <c r="I44" s="32">
        <f t="shared" si="194"/>
        <v>0.25</v>
      </c>
      <c r="J44" s="97">
        <v>45</v>
      </c>
      <c r="L44" s="283">
        <f t="shared" si="35"/>
        <v>41</v>
      </c>
      <c r="M44" s="290">
        <f>'[4]BANKNIFTY-I'!C60</f>
        <v>42853</v>
      </c>
      <c r="N44" s="7">
        <f>'[4]BANKNIFTY-I'!D60</f>
        <v>22275</v>
      </c>
      <c r="O44" s="7">
        <f>'[4]BANKNIFTY-I'!E60</f>
        <v>22391.9</v>
      </c>
      <c r="P44" s="7">
        <f>'[4]BANKNIFTY-I'!F60</f>
        <v>22203.8</v>
      </c>
      <c r="Q44" s="7">
        <f>'[4]BANKNIFTY-I'!G60</f>
        <v>22366.400000000001</v>
      </c>
      <c r="R44" s="11">
        <f>'[4]BANKNIFTY-I'!H60</f>
        <v>60731</v>
      </c>
      <c r="S44" s="291">
        <f>'[5]NIFTY-I'!C60</f>
        <v>42853</v>
      </c>
      <c r="T44" s="9">
        <f>'[5]NIFTY-I'!D60</f>
        <v>9353.15</v>
      </c>
      <c r="U44" s="9">
        <f>'[5]NIFTY-I'!E60</f>
        <v>9358.7000000000007</v>
      </c>
      <c r="V44" s="9">
        <f>'[5]NIFTY-I'!F60</f>
        <v>9313</v>
      </c>
      <c r="W44" s="9">
        <f>'[5]NIFTY-I'!G60</f>
        <v>9333.7000000000007</v>
      </c>
      <c r="X44" s="12">
        <f>'[5]NIFTY-I'!H60</f>
        <v>98148</v>
      </c>
      <c r="Y44" s="115"/>
      <c r="Z44" s="122">
        <f t="shared" si="36"/>
        <v>1.6511585350535349E-3</v>
      </c>
      <c r="AA44" s="19">
        <f t="shared" si="169"/>
        <v>-1.2901880592329946E-3</v>
      </c>
      <c r="AB44" s="305">
        <f>IF(OR(SUM(Z24:Z44)=0,SUM('BNF-Nifty'!AA24:AA44)=0),0,(_xlfn.COVARIANCE.P(Z24:Z44,'BNF-Nifty'!AA24:AA44)/_xlfn.VAR.P('BNF-Nifty'!AA24:AA44)))</f>
        <v>0.96246504536045741</v>
      </c>
      <c r="AC44" s="306">
        <f>IF(OR(SUM(AA24:AA44)=0,SUM('BNF-Nifty'!AA24:AA44)=0),0,(_xlfn.COVARIANCE.P(AA24:AA44,'BNF-Nifty'!AA24:AA44)/_xlfn.VAR.P('BNF-Nifty'!AA24:AA44)))</f>
        <v>1.0000000000000002</v>
      </c>
      <c r="AD44" s="122">
        <f t="shared" si="151"/>
        <v>1.2488621675327953E-3</v>
      </c>
      <c r="AE44" s="364">
        <f t="shared" si="124"/>
        <v>0.19318241012049248</v>
      </c>
      <c r="AF44" s="513">
        <f t="shared" si="152"/>
        <v>5.9979651559843253E-4</v>
      </c>
      <c r="AG44" s="522">
        <f t="shared" si="125"/>
        <v>0.36514686696736298</v>
      </c>
      <c r="AH44" s="466">
        <f t="shared" si="170"/>
        <v>1.6511585350535349E-3</v>
      </c>
      <c r="AI44" s="17">
        <f t="shared" si="38"/>
        <v>6.2830336087954294E-3</v>
      </c>
      <c r="AJ44" s="17">
        <f t="shared" si="39"/>
        <v>6.1050389122404907E-3</v>
      </c>
      <c r="AK44" s="314">
        <f t="shared" si="40"/>
        <v>0.11663660464789452</v>
      </c>
      <c r="AL44" s="467">
        <f t="shared" si="171"/>
        <v>-1.2901880592329946E-3</v>
      </c>
      <c r="AM44" s="18">
        <f t="shared" si="198"/>
        <v>4.6215617620847639E-3</v>
      </c>
      <c r="AN44" s="18">
        <f t="shared" si="199"/>
        <v>4.4919014066661603E-3</v>
      </c>
      <c r="AO44" s="385">
        <f t="shared" si="200"/>
        <v>8.5817655877048052E-2</v>
      </c>
      <c r="AP44" s="10">
        <f t="shared" si="153"/>
        <v>8.43584092121712E-3</v>
      </c>
      <c r="AQ44" s="17">
        <f t="shared" si="201"/>
        <v>9.6253550048754234E-3</v>
      </c>
      <c r="AR44" s="17">
        <f t="shared" si="202"/>
        <v>9.5581596635844306E-3</v>
      </c>
      <c r="AS44" s="314">
        <f t="shared" si="203"/>
        <v>0.18260838397077758</v>
      </c>
      <c r="AT44" s="448">
        <f t="shared" si="154"/>
        <v>4.8951184151361507E-3</v>
      </c>
      <c r="AU44" s="18">
        <f t="shared" si="204"/>
        <v>7.1076675155700743E-3</v>
      </c>
      <c r="AV44" s="18">
        <f t="shared" si="205"/>
        <v>6.9946788574650779E-3</v>
      </c>
      <c r="AW44" s="385">
        <f t="shared" si="206"/>
        <v>0.13363315193641198</v>
      </c>
      <c r="AX44" s="6">
        <f t="shared" si="155"/>
        <v>1352783025</v>
      </c>
      <c r="AY44" s="319">
        <v>0</v>
      </c>
      <c r="AZ44" s="140">
        <f t="shared" si="156"/>
        <v>917992966.19999993</v>
      </c>
      <c r="BA44" s="481">
        <v>0</v>
      </c>
      <c r="BB44" s="135">
        <f t="shared" si="98"/>
        <v>1565272704.2647412</v>
      </c>
      <c r="BC44" s="21">
        <f t="shared" si="99"/>
        <v>71654.7600615376</v>
      </c>
      <c r="BD44" s="319">
        <f t="shared" si="100"/>
        <v>21844.643718302515</v>
      </c>
      <c r="BE44" s="21">
        <f t="shared" si="157"/>
        <v>22320.7</v>
      </c>
      <c r="BF44" s="21">
        <f t="shared" si="158"/>
        <v>1355558431.7</v>
      </c>
      <c r="BG44" s="21">
        <f t="shared" si="59"/>
        <v>1594418417.8843706</v>
      </c>
      <c r="BH44" s="21">
        <f t="shared" si="223"/>
        <v>72104.579591990594</v>
      </c>
      <c r="BI44" s="332">
        <f t="shared" si="56"/>
        <v>22112.581848566511</v>
      </c>
      <c r="BJ44" s="141">
        <f t="shared" si="101"/>
        <v>1162401545.1840248</v>
      </c>
      <c r="BK44" s="118">
        <f t="shared" si="102"/>
        <v>125663.37129474558</v>
      </c>
      <c r="BL44" s="329">
        <f t="shared" si="107"/>
        <v>9250.1222369531388</v>
      </c>
      <c r="BM44" s="118">
        <f t="shared" si="159"/>
        <v>9335.1333333333332</v>
      </c>
      <c r="BN44" s="118">
        <f t="shared" si="160"/>
        <v>916224666.39999998</v>
      </c>
      <c r="BO44" s="118">
        <f t="shared" si="60"/>
        <v>1260433485.894207</v>
      </c>
      <c r="BP44" s="118">
        <f t="shared" si="224"/>
        <v>135424.12207685149</v>
      </c>
      <c r="BQ44" s="325">
        <f t="shared" si="61"/>
        <v>9307.3040944576096</v>
      </c>
      <c r="BR44" s="6">
        <f t="shared" si="161"/>
        <v>1348458977.8</v>
      </c>
      <c r="BS44" s="8">
        <f t="shared" si="162"/>
        <v>1359882478.9000001</v>
      </c>
      <c r="BT44" s="331">
        <f t="shared" si="86"/>
        <v>21798.791049682557</v>
      </c>
      <c r="BU44" s="319">
        <f t="shared" si="207"/>
        <v>21958.903674685767</v>
      </c>
      <c r="BV44" s="319">
        <f t="shared" si="208"/>
        <v>22173.061972969317</v>
      </c>
      <c r="BW44" s="331">
        <f t="shared" si="172"/>
        <v>21480.037551838974</v>
      </c>
      <c r="BX44" s="319">
        <f t="shared" si="87"/>
        <v>21707.426633548461</v>
      </c>
      <c r="BY44" s="332">
        <f t="shared" si="88"/>
        <v>21928.769741110857</v>
      </c>
      <c r="BZ44" s="140">
        <f t="shared" si="163"/>
        <v>914052324</v>
      </c>
      <c r="CA44" s="142">
        <f t="shared" si="164"/>
        <v>918537687.60000002</v>
      </c>
      <c r="CB44" s="339">
        <f t="shared" si="89"/>
        <v>9230.5105727634364</v>
      </c>
      <c r="CC44" s="329">
        <f t="shared" si="209"/>
        <v>9257.6765509559445</v>
      </c>
      <c r="CD44" s="329">
        <f t="shared" si="210"/>
        <v>9320.0018092915398</v>
      </c>
      <c r="CE44" s="339">
        <f t="shared" si="173"/>
        <v>9176.292482897039</v>
      </c>
      <c r="CF44" s="329">
        <f t="shared" si="90"/>
        <v>9202.0299065144591</v>
      </c>
      <c r="CG44" s="325">
        <f t="shared" si="91"/>
        <v>9272.6237818088684</v>
      </c>
      <c r="CH44" s="20">
        <f t="shared" si="92"/>
        <v>1574926417.5363162</v>
      </c>
      <c r="CI44" s="21">
        <f t="shared" si="93"/>
        <v>71903.516015196423</v>
      </c>
      <c r="CJ44" s="21">
        <f t="shared" si="94"/>
        <v>21903.329695358207</v>
      </c>
      <c r="CK44" s="21">
        <f t="shared" si="142"/>
        <v>1488359008.4998949</v>
      </c>
      <c r="CL44" s="21">
        <f t="shared" si="143"/>
        <v>68770.568889963281</v>
      </c>
      <c r="CM44" s="21">
        <f t="shared" si="148"/>
        <v>21642.383253821146</v>
      </c>
      <c r="CN44" s="342">
        <f t="shared" si="144"/>
        <v>260.94644153706031</v>
      </c>
      <c r="CO44" s="342">
        <f t="shared" si="211"/>
        <v>233.9484211599368</v>
      </c>
      <c r="CP44" s="343">
        <f t="shared" si="212"/>
        <v>26.99802037712351</v>
      </c>
      <c r="CQ44" s="141">
        <f t="shared" si="95"/>
        <v>1172681007.131743</v>
      </c>
      <c r="CR44" s="118">
        <f t="shared" si="96"/>
        <v>126581.0835983423</v>
      </c>
      <c r="CS44" s="118">
        <f t="shared" si="104"/>
        <v>9264.2674070701378</v>
      </c>
      <c r="CT44" s="118">
        <f t="shared" si="145"/>
        <v>1094615892.8168812</v>
      </c>
      <c r="CU44" s="118">
        <f t="shared" si="146"/>
        <v>118947.22954104449</v>
      </c>
      <c r="CV44" s="118">
        <f t="shared" si="149"/>
        <v>9202.5337373592865</v>
      </c>
      <c r="CW44" s="350">
        <f t="shared" si="150"/>
        <v>61.733669710851245</v>
      </c>
      <c r="CX44" s="350">
        <f t="shared" si="213"/>
        <v>56.890681973622769</v>
      </c>
      <c r="CY44" s="351">
        <f t="shared" si="214"/>
        <v>4.8429877372284764</v>
      </c>
      <c r="CZ44" s="20">
        <f t="shared" si="174"/>
        <v>31.483333333337214</v>
      </c>
      <c r="DA44" s="21">
        <f t="shared" si="175"/>
        <v>1355558431.7</v>
      </c>
      <c r="DB44" s="21">
        <f t="shared" si="176"/>
        <v>0</v>
      </c>
      <c r="DC44" s="21">
        <f t="shared" si="215"/>
        <v>1162529766.8209314</v>
      </c>
      <c r="DD44" s="21">
        <f t="shared" si="216"/>
        <v>399925577.66217607</v>
      </c>
      <c r="DE44" s="21">
        <f t="shared" si="217"/>
        <v>2.9068652563226154</v>
      </c>
      <c r="DF44" s="342">
        <f t="shared" si="218"/>
        <v>74.404031508850593</v>
      </c>
      <c r="DG44" s="342">
        <v>0</v>
      </c>
      <c r="DH44" s="355">
        <f t="shared" si="195"/>
        <v>64.091919918350243</v>
      </c>
      <c r="DI44" s="141">
        <f t="shared" si="177"/>
        <v>-10.450000000000728</v>
      </c>
      <c r="DJ44" s="118">
        <f t="shared" si="178"/>
        <v>0</v>
      </c>
      <c r="DK44" s="118">
        <f t="shared" si="179"/>
        <v>916224666.39999998</v>
      </c>
      <c r="DL44" s="118">
        <f t="shared" si="219"/>
        <v>767275880.77329063</v>
      </c>
      <c r="DM44" s="118">
        <f t="shared" si="220"/>
        <v>388907938.94932795</v>
      </c>
      <c r="DN44" s="118">
        <f t="shared" si="221"/>
        <v>1.9728984778406939</v>
      </c>
      <c r="DO44" s="350">
        <f t="shared" si="222"/>
        <v>66.362793500895791</v>
      </c>
      <c r="DP44" s="350">
        <v>0</v>
      </c>
      <c r="DQ44" s="351">
        <f t="shared" si="196"/>
        <v>57.13899198062164</v>
      </c>
      <c r="DR44" s="135">
        <f t="shared" si="180"/>
        <v>188.10000000000218</v>
      </c>
      <c r="DS44" s="20">
        <f t="shared" si="181"/>
        <v>11423501.100000132</v>
      </c>
      <c r="DT44" s="21">
        <f t="shared" si="140"/>
        <v>15852419.346850144</v>
      </c>
      <c r="DU44" s="21">
        <f t="shared" si="135"/>
        <v>69685.745230549248</v>
      </c>
      <c r="DV44" s="319">
        <f t="shared" si="136"/>
        <v>227.48439145486338</v>
      </c>
      <c r="DW44" s="21">
        <f t="shared" si="137"/>
        <v>4549.6878290972672</v>
      </c>
      <c r="DX44" s="21">
        <f>DW44*'Base Data'!$D$10</f>
        <v>9099.3756581945345</v>
      </c>
      <c r="DY44" s="363">
        <f>IF(INT(('Base Data'!$D$7)/DX44)=0,0,INT(('Base Data'!$D$7)/DX44))</f>
        <v>1</v>
      </c>
      <c r="DZ44" s="364">
        <f t="shared" si="126"/>
        <v>1.0170809404055341E-2</v>
      </c>
      <c r="EA44" s="141">
        <f t="shared" si="182"/>
        <v>45.700000000000728</v>
      </c>
      <c r="EB44" s="143">
        <f t="shared" si="183"/>
        <v>4485363.6000000713</v>
      </c>
      <c r="EC44" s="118">
        <f t="shared" si="141"/>
        <v>8335152.4542019777</v>
      </c>
      <c r="ED44" s="118">
        <f t="shared" si="138"/>
        <v>120215.90946127549</v>
      </c>
      <c r="EE44" s="329">
        <f t="shared" si="139"/>
        <v>69.334853361375906</v>
      </c>
      <c r="EF44" s="118">
        <f t="shared" si="127"/>
        <v>5200.1140021031933</v>
      </c>
      <c r="EG44" s="118">
        <f>EF44*'Base Data'!$D$10</f>
        <v>10400.228004206387</v>
      </c>
      <c r="EH44" s="375">
        <f>IF(INT(('Base Data'!$D$7)/EG44)=0,0,INT(('Base Data'!$D$7)/EG44))</f>
        <v>1</v>
      </c>
      <c r="EI44" s="376">
        <f t="shared" si="128"/>
        <v>7.4284424570508906E-3</v>
      </c>
      <c r="EJ44" s="135">
        <f t="shared" si="184"/>
        <v>188.10000000000218</v>
      </c>
      <c r="EK44" s="21">
        <f t="shared" si="185"/>
        <v>11423501.100000132</v>
      </c>
      <c r="EL44" s="21">
        <f t="shared" si="78"/>
        <v>16214277.524235293</v>
      </c>
      <c r="EM44" s="21">
        <f t="shared" si="74"/>
        <v>72649.130500863292</v>
      </c>
      <c r="EN44" s="319">
        <f t="shared" si="75"/>
        <v>223.18611953714461</v>
      </c>
      <c r="EO44" s="21">
        <f t="shared" si="64"/>
        <v>4463.7223907428925</v>
      </c>
      <c r="EP44" s="21">
        <f>EO44*'Base Data'!$D$13</f>
        <v>3347.7917930571693</v>
      </c>
      <c r="EQ44" s="363">
        <f>IF(INT(('Base Data'!$D$7)/EP44)=0,0,INT(('Base Data'!$D$7)/EP44))</f>
        <v>3</v>
      </c>
      <c r="ER44" s="314">
        <f t="shared" ref="ER44:ER67" si="227">(EN44/Q44)</f>
        <v>9.9786340017680355E-3</v>
      </c>
      <c r="ES44" s="143">
        <f t="shared" si="186"/>
        <v>45.700000000000728</v>
      </c>
      <c r="ET44" s="118">
        <f t="shared" si="187"/>
        <v>4485363.6000000713</v>
      </c>
      <c r="EU44" s="118">
        <f t="shared" si="79"/>
        <v>8271446.4323817184</v>
      </c>
      <c r="EV44" s="118">
        <f t="shared" si="76"/>
        <v>131425.94206444841</v>
      </c>
      <c r="EW44" s="329">
        <f t="shared" si="77"/>
        <v>62.936177610395838</v>
      </c>
      <c r="EX44" s="118">
        <f t="shared" si="66"/>
        <v>4720.2133207796878</v>
      </c>
      <c r="EY44" s="118">
        <f>EX44*'Base Data'!$D$13</f>
        <v>3540.1599905847661</v>
      </c>
      <c r="EZ44" s="375">
        <f>IF(INT(('Base Data'!$D$7)/EY44)=0,0,INT(('Base Data'!$D$7)/EY44))</f>
        <v>2</v>
      </c>
      <c r="FA44" s="385">
        <f t="shared" ref="FA44:FA67" si="228">(EW44/W44)</f>
        <v>6.7428969873036234E-3</v>
      </c>
      <c r="FB44" s="397">
        <f t="shared" si="129"/>
        <v>3.1011546823170306</v>
      </c>
      <c r="FC44" s="403">
        <f t="shared" ref="FC44:FC67" si="229">(Q44-AVERAGE(BE36:BE43))/EN44</f>
        <v>2.402320468877106</v>
      </c>
      <c r="FD44" s="510">
        <f t="shared" si="130"/>
        <v>1.7860986630120408</v>
      </c>
      <c r="FE44" s="509">
        <f t="shared" ref="FE44:FE67" si="230">(W44-AVERAGE(BM36:BM43))/EW44</f>
        <v>1.8094057767264908</v>
      </c>
      <c r="FF44" s="20">
        <f t="shared" si="165"/>
        <v>188.10000000000218</v>
      </c>
      <c r="FG44" s="17">
        <f t="shared" si="166"/>
        <v>8.4444444444445425E-3</v>
      </c>
      <c r="FH44" s="388">
        <f t="shared" si="70"/>
        <v>9.5045914862288451E-3</v>
      </c>
      <c r="FI44" s="388">
        <f t="shared" si="105"/>
        <v>9.785605982206895E-3</v>
      </c>
      <c r="FJ44" s="314">
        <f t="shared" si="131"/>
        <v>9.5661299897500038E-3</v>
      </c>
      <c r="FK44" s="442">
        <f t="shared" si="167"/>
        <v>45.700000000000728</v>
      </c>
      <c r="FL44" s="18">
        <f t="shared" si="168"/>
        <v>4.8860544308602693E-3</v>
      </c>
      <c r="FM44" s="394">
        <f t="shared" si="71"/>
        <v>6.8597274801963197E-3</v>
      </c>
      <c r="FN44" s="394">
        <f t="shared" si="106"/>
        <v>7.4858768723490348E-3</v>
      </c>
      <c r="FO44" s="385">
        <f t="shared" si="132"/>
        <v>6.6800737359811249E-3</v>
      </c>
      <c r="FP44" s="416">
        <f t="shared" si="188"/>
        <v>2</v>
      </c>
      <c r="FQ44" s="417">
        <f t="shared" si="189"/>
        <v>2</v>
      </c>
      <c r="FR44" s="415">
        <f t="shared" si="122"/>
        <v>84.835939220436217</v>
      </c>
      <c r="FS44" s="413" t="str">
        <f t="shared" si="133"/>
        <v>T-D</v>
      </c>
      <c r="FT44" s="404">
        <f t="shared" si="123"/>
        <v>70.829467433661108</v>
      </c>
      <c r="FU44" s="414" t="str">
        <f t="shared" si="134"/>
        <v>T-D</v>
      </c>
      <c r="FV44" s="415">
        <f t="shared" si="225"/>
        <v>74.112177267781149</v>
      </c>
      <c r="FW44" s="413" t="str">
        <f t="shared" si="72"/>
        <v>T-R</v>
      </c>
      <c r="FX44" s="404">
        <f t="shared" si="226"/>
        <v>73.742809426609838</v>
      </c>
      <c r="FY44" s="414" t="str">
        <f t="shared" si="73"/>
        <v>T-D</v>
      </c>
    </row>
    <row r="45" spans="1:181" x14ac:dyDescent="0.3">
      <c r="A45" s="98">
        <f>90-A43</f>
        <v>26.25</v>
      </c>
      <c r="B45" s="33">
        <f t="shared" si="197"/>
        <v>0.14583333333333334</v>
      </c>
      <c r="C45" s="34">
        <f t="shared" ca="1" si="190"/>
        <v>81.512916796096363</v>
      </c>
      <c r="D45" s="26" t="s">
        <v>43</v>
      </c>
      <c r="E45" s="272">
        <f t="shared" ca="1" si="191"/>
        <v>10619.412300366099</v>
      </c>
      <c r="F45" s="267">
        <f t="shared" ca="1" si="192"/>
        <v>10596.393338933784</v>
      </c>
      <c r="G45" s="26" t="s">
        <v>42</v>
      </c>
      <c r="H45" s="34">
        <f t="shared" ca="1" si="193"/>
        <v>76.331390168355213</v>
      </c>
      <c r="I45" s="33">
        <f t="shared" si="194"/>
        <v>0.14583333333333334</v>
      </c>
      <c r="J45" s="99">
        <f>90-J43</f>
        <v>26.25</v>
      </c>
      <c r="L45" s="283">
        <f t="shared" si="35"/>
        <v>42</v>
      </c>
      <c r="M45" s="290">
        <f>'[4]BANKNIFTY-I'!C61</f>
        <v>42857</v>
      </c>
      <c r="N45" s="7">
        <f>'[4]BANKNIFTY-I'!D61</f>
        <v>22369.95</v>
      </c>
      <c r="O45" s="7">
        <f>'[4]BANKNIFTY-I'!E61</f>
        <v>22485.3</v>
      </c>
      <c r="P45" s="7">
        <f>'[4]BANKNIFTY-I'!F61</f>
        <v>22291.9</v>
      </c>
      <c r="Q45" s="7">
        <f>'[4]BANKNIFTY-I'!G61</f>
        <v>22394.35</v>
      </c>
      <c r="R45" s="11">
        <f>'[4]BANKNIFTY-I'!H61</f>
        <v>61972</v>
      </c>
      <c r="S45" s="291">
        <f>'[5]NIFTY-I'!C61</f>
        <v>42857</v>
      </c>
      <c r="T45" s="9">
        <f>'[5]NIFTY-I'!D61</f>
        <v>9337</v>
      </c>
      <c r="U45" s="9">
        <f>'[5]NIFTY-I'!E61</f>
        <v>9372</v>
      </c>
      <c r="V45" s="9">
        <f>'[5]NIFTY-I'!F61</f>
        <v>9281</v>
      </c>
      <c r="W45" s="9">
        <f>'[5]NIFTY-I'!G61</f>
        <v>9339.2999999999993</v>
      </c>
      <c r="X45" s="12">
        <f>'[5]NIFTY-I'!H61</f>
        <v>114045</v>
      </c>
      <c r="Y45" s="115"/>
      <c r="Z45" s="122">
        <f t="shared" si="36"/>
        <v>1.2488621675327953E-3</v>
      </c>
      <c r="AA45" s="19">
        <f t="shared" si="169"/>
        <v>5.9979651559843253E-4</v>
      </c>
      <c r="AB45" s="305">
        <f>IF(OR(SUM(Z25:Z45)=0,SUM('BNF-Nifty'!AA25:AA45)=0),0,(_xlfn.COVARIANCE.P(Z25:Z45,'BNF-Nifty'!AA25:AA45)/_xlfn.VAR.P('BNF-Nifty'!AA25:AA45)))</f>
        <v>0.94100168402689932</v>
      </c>
      <c r="AC45" s="306">
        <f>IF(OR(SUM(AA25:AA45)=0,SUM('BNF-Nifty'!AA25:AA45)=0),0,(_xlfn.COVARIANCE.P(AA25:AA45,'BNF-Nifty'!AA25:AA45)/_xlfn.VAR.P('BNF-Nifty'!AA25:AA45)))</f>
        <v>1.0000000000000004</v>
      </c>
      <c r="AD45" s="122">
        <f t="shared" si="151"/>
        <v>-2.0584393754124112E-3</v>
      </c>
      <c r="AE45" s="364">
        <f t="shared" si="124"/>
        <v>0.14383397647264506</v>
      </c>
      <c r="AF45" s="513">
        <f t="shared" si="152"/>
        <v>1.0171551250643713E-4</v>
      </c>
      <c r="AG45" s="522">
        <f t="shared" si="125"/>
        <v>0.35562456473179715</v>
      </c>
      <c r="AH45" s="466">
        <f t="shared" si="170"/>
        <v>1.2488621675327953E-3</v>
      </c>
      <c r="AI45" s="17">
        <f t="shared" si="38"/>
        <v>6.1050389122404907E-3</v>
      </c>
      <c r="AJ45" s="17">
        <f t="shared" si="39"/>
        <v>5.9269544890763253E-3</v>
      </c>
      <c r="AK45" s="314">
        <f t="shared" si="40"/>
        <v>0.11323430652053922</v>
      </c>
      <c r="AL45" s="467">
        <f t="shared" si="171"/>
        <v>5.9979651559843253E-4</v>
      </c>
      <c r="AM45" s="18">
        <f t="shared" si="198"/>
        <v>4.4919014066661603E-3</v>
      </c>
      <c r="AN45" s="18">
        <f t="shared" si="199"/>
        <v>4.3575374816499637E-3</v>
      </c>
      <c r="AO45" s="385">
        <f t="shared" si="200"/>
        <v>8.3250636693987343E-2</v>
      </c>
      <c r="AP45" s="10">
        <f t="shared" si="153"/>
        <v>8.6383785788170329E-3</v>
      </c>
      <c r="AQ45" s="17">
        <f t="shared" si="201"/>
        <v>9.5581596635844306E-3</v>
      </c>
      <c r="AR45" s="17">
        <f t="shared" si="202"/>
        <v>9.5054829574070555E-3</v>
      </c>
      <c r="AS45" s="314">
        <f t="shared" si="203"/>
        <v>0.18160199691233556</v>
      </c>
      <c r="AT45" s="448">
        <f t="shared" si="154"/>
        <v>9.7572210322934873E-3</v>
      </c>
      <c r="AU45" s="18">
        <f t="shared" si="204"/>
        <v>6.9946788574650779E-3</v>
      </c>
      <c r="AV45" s="18">
        <f t="shared" si="205"/>
        <v>7.1904243349267399E-3</v>
      </c>
      <c r="AW45" s="385">
        <f t="shared" si="206"/>
        <v>0.1373728640323551</v>
      </c>
      <c r="AX45" s="6">
        <f t="shared" si="155"/>
        <v>1386310541.4000001</v>
      </c>
      <c r="AY45" s="319">
        <v>0</v>
      </c>
      <c r="AZ45" s="140">
        <f t="shared" si="156"/>
        <v>1064838165</v>
      </c>
      <c r="BA45" s="481">
        <v>0</v>
      </c>
      <c r="BB45" s="135">
        <f t="shared" si="98"/>
        <v>1539706680.9983497</v>
      </c>
      <c r="BC45" s="21">
        <f t="shared" si="99"/>
        <v>70271.508624175083</v>
      </c>
      <c r="BD45" s="319">
        <f t="shared" si="100"/>
        <v>21910.824331849533</v>
      </c>
      <c r="BE45" s="21">
        <f t="shared" si="157"/>
        <v>22390.516666666663</v>
      </c>
      <c r="BF45" s="21">
        <f t="shared" si="158"/>
        <v>1387585098.8666663</v>
      </c>
      <c r="BG45" s="21">
        <f t="shared" si="59"/>
        <v>1525473978.2118025</v>
      </c>
      <c r="BH45" s="21">
        <f t="shared" si="223"/>
        <v>68727.053061327068</v>
      </c>
      <c r="BI45" s="332">
        <f t="shared" si="56"/>
        <v>22196.120890715036</v>
      </c>
      <c r="BJ45" s="141">
        <f t="shared" si="101"/>
        <v>1148463919.4434497</v>
      </c>
      <c r="BK45" s="118">
        <f t="shared" si="102"/>
        <v>124003.60396692478</v>
      </c>
      <c r="BL45" s="329">
        <f t="shared" si="107"/>
        <v>9261.5366223531455</v>
      </c>
      <c r="BM45" s="118">
        <f t="shared" si="159"/>
        <v>9330.7666666666664</v>
      </c>
      <c r="BN45" s="118">
        <f t="shared" si="160"/>
        <v>1064127284.5</v>
      </c>
      <c r="BO45" s="118">
        <f t="shared" si="60"/>
        <v>1194998085.4294713</v>
      </c>
      <c r="BP45" s="118">
        <f t="shared" si="224"/>
        <v>128297.74805123433</v>
      </c>
      <c r="BQ45" s="325">
        <f t="shared" si="61"/>
        <v>9314.2561235935464</v>
      </c>
      <c r="BR45" s="6">
        <f t="shared" si="161"/>
        <v>1381473626.8000002</v>
      </c>
      <c r="BS45" s="8">
        <f t="shared" si="162"/>
        <v>1393459011.5999999</v>
      </c>
      <c r="BT45" s="331">
        <f t="shared" si="86"/>
        <v>21857.430162043565</v>
      </c>
      <c r="BU45" s="319">
        <f t="shared" si="207"/>
        <v>22101.961338854013</v>
      </c>
      <c r="BV45" s="319">
        <f t="shared" si="208"/>
        <v>22298.283434016703</v>
      </c>
      <c r="BW45" s="331">
        <f t="shared" si="172"/>
        <v>21527.773025408602</v>
      </c>
      <c r="BX45" s="319">
        <f t="shared" si="87"/>
        <v>21760.471066666247</v>
      </c>
      <c r="BY45" s="332">
        <f t="shared" si="88"/>
        <v>21975.448873709076</v>
      </c>
      <c r="BZ45" s="140">
        <f t="shared" si="163"/>
        <v>1058451645</v>
      </c>
      <c r="CA45" s="142">
        <f t="shared" si="164"/>
        <v>1068829740</v>
      </c>
      <c r="CB45" s="339">
        <f t="shared" si="89"/>
        <v>9240.6692608490775</v>
      </c>
      <c r="CC45" s="329">
        <f t="shared" si="209"/>
        <v>9291.0221266683911</v>
      </c>
      <c r="CD45" s="329">
        <f t="shared" si="210"/>
        <v>9347.9215006956019</v>
      </c>
      <c r="CE45" s="339">
        <f t="shared" si="173"/>
        <v>9186.8540116048353</v>
      </c>
      <c r="CF45" s="329">
        <f t="shared" si="90"/>
        <v>9208.756543988824</v>
      </c>
      <c r="CG45" s="325">
        <f t="shared" si="91"/>
        <v>9280.0402166431722</v>
      </c>
      <c r="CH45" s="20">
        <f t="shared" si="92"/>
        <v>1546104676.2025239</v>
      </c>
      <c r="CI45" s="21">
        <f t="shared" si="93"/>
        <v>70375.590474396973</v>
      </c>
      <c r="CJ45" s="21">
        <f t="shared" si="94"/>
        <v>21969.331493779868</v>
      </c>
      <c r="CK45" s="21">
        <f t="shared" si="142"/>
        <v>1480894274.4529891</v>
      </c>
      <c r="CL45" s="21">
        <f t="shared" si="143"/>
        <v>68266.971194410449</v>
      </c>
      <c r="CM45" s="21">
        <f t="shared" si="148"/>
        <v>21692.690455472286</v>
      </c>
      <c r="CN45" s="342">
        <f t="shared" si="144"/>
        <v>276.64103830758177</v>
      </c>
      <c r="CO45" s="342">
        <f t="shared" si="211"/>
        <v>242.48694458946579</v>
      </c>
      <c r="CP45" s="343">
        <f t="shared" si="212"/>
        <v>34.154093718115973</v>
      </c>
      <c r="CQ45" s="141">
        <f t="shared" si="95"/>
        <v>1155980434.419167</v>
      </c>
      <c r="CR45" s="118">
        <f t="shared" si="96"/>
        <v>124652.45535244349</v>
      </c>
      <c r="CS45" s="118">
        <f t="shared" si="104"/>
        <v>9273.627472084183</v>
      </c>
      <c r="CT45" s="118">
        <f t="shared" si="145"/>
        <v>1092357477.3860011</v>
      </c>
      <c r="CU45" s="118">
        <f t="shared" si="146"/>
        <v>118584.10142689304</v>
      </c>
      <c r="CV45" s="118">
        <f t="shared" si="149"/>
        <v>9211.6688851366653</v>
      </c>
      <c r="CW45" s="350">
        <f t="shared" si="150"/>
        <v>61.958586947517688</v>
      </c>
      <c r="CX45" s="350">
        <f t="shared" si="213"/>
        <v>57.904262968401753</v>
      </c>
      <c r="CY45" s="351">
        <f t="shared" si="214"/>
        <v>4.0543239791159351</v>
      </c>
      <c r="CZ45" s="20">
        <f t="shared" si="174"/>
        <v>69.816666666662059</v>
      </c>
      <c r="DA45" s="21">
        <f t="shared" si="175"/>
        <v>1387585098.8666663</v>
      </c>
      <c r="DB45" s="21">
        <f t="shared" si="176"/>
        <v>0</v>
      </c>
      <c r="DC45" s="21">
        <f t="shared" si="215"/>
        <v>1192537144.4270294</v>
      </c>
      <c r="DD45" s="21">
        <f t="shared" si="216"/>
        <v>346602167.30721927</v>
      </c>
      <c r="DE45" s="21">
        <f t="shared" si="217"/>
        <v>3.4406511467944605</v>
      </c>
      <c r="DF45" s="342">
        <f t="shared" si="218"/>
        <v>77.48078002655393</v>
      </c>
      <c r="DG45" s="342">
        <v>0</v>
      </c>
      <c r="DH45" s="355">
        <f t="shared" si="195"/>
        <v>64.645680947397636</v>
      </c>
      <c r="DI45" s="141">
        <f t="shared" si="177"/>
        <v>-4.3666666666667879</v>
      </c>
      <c r="DJ45" s="118">
        <f t="shared" si="178"/>
        <v>0</v>
      </c>
      <c r="DK45" s="118">
        <f t="shared" si="179"/>
        <v>1064127284.5</v>
      </c>
      <c r="DL45" s="118">
        <f t="shared" si="219"/>
        <v>664972430.00351858</v>
      </c>
      <c r="DM45" s="118">
        <f t="shared" si="220"/>
        <v>478937185.02275085</v>
      </c>
      <c r="DN45" s="118">
        <f t="shared" si="221"/>
        <v>1.388433495661713</v>
      </c>
      <c r="DO45" s="350">
        <f t="shared" si="222"/>
        <v>58.13155351336458</v>
      </c>
      <c r="DP45" s="350">
        <v>0</v>
      </c>
      <c r="DQ45" s="351">
        <f t="shared" si="196"/>
        <v>56.82412730666632</v>
      </c>
      <c r="DR45" s="135">
        <f t="shared" si="180"/>
        <v>193.39999999999782</v>
      </c>
      <c r="DS45" s="20">
        <f t="shared" si="181"/>
        <v>11985384.799999865</v>
      </c>
      <c r="DT45" s="21">
        <f t="shared" si="140"/>
        <v>15500870.751681937</v>
      </c>
      <c r="DU45" s="21">
        <f t="shared" si="135"/>
        <v>68984.495664135684</v>
      </c>
      <c r="DV45" s="319">
        <f t="shared" si="136"/>
        <v>224.70079113357463</v>
      </c>
      <c r="DW45" s="21">
        <f t="shared" si="137"/>
        <v>4494.0158226714921</v>
      </c>
      <c r="DX45" s="21">
        <f>DW45*'Base Data'!$D$10</f>
        <v>8988.0316453429841</v>
      </c>
      <c r="DY45" s="363">
        <f>IF(INT(('Base Data'!$D$7)/DX45)=0,0,INT(('Base Data'!$D$7)/DX45))</f>
        <v>1</v>
      </c>
      <c r="DZ45" s="364">
        <f t="shared" si="126"/>
        <v>1.00338161694166E-2</v>
      </c>
      <c r="EA45" s="141">
        <f t="shared" si="182"/>
        <v>91</v>
      </c>
      <c r="EB45" s="143">
        <f t="shared" si="183"/>
        <v>10378095</v>
      </c>
      <c r="EC45" s="118">
        <f t="shared" si="141"/>
        <v>8520874.5038199797</v>
      </c>
      <c r="ED45" s="118">
        <f t="shared" si="138"/>
        <v>119654.91769206863</v>
      </c>
      <c r="EE45" s="329">
        <f t="shared" si="139"/>
        <v>71.212071080508451</v>
      </c>
      <c r="EF45" s="118">
        <f t="shared" si="127"/>
        <v>5340.9053310381341</v>
      </c>
      <c r="EG45" s="118">
        <f>EF45*'Base Data'!$D$10</f>
        <v>10681.810662076268</v>
      </c>
      <c r="EH45" s="375">
        <f>IF(INT(('Base Data'!$D$7)/EG45)=0,0,INT(('Base Data'!$D$7)/EG45))</f>
        <v>0</v>
      </c>
      <c r="EI45" s="376">
        <f t="shared" si="128"/>
        <v>7.6249902113122454E-3</v>
      </c>
      <c r="EJ45" s="135">
        <f t="shared" si="184"/>
        <v>193.39999999999782</v>
      </c>
      <c r="EK45" s="21">
        <f t="shared" si="185"/>
        <v>11985384.799999865</v>
      </c>
      <c r="EL45" s="21">
        <f t="shared" si="78"/>
        <v>15274523.585516309</v>
      </c>
      <c r="EM45" s="21">
        <f t="shared" ref="EM45:EM67" si="231">((R45-EM44)*(2/(1+8)))+EM44</f>
        <v>70276.434834004787</v>
      </c>
      <c r="EN45" s="319">
        <f t="shared" si="75"/>
        <v>217.34915297845185</v>
      </c>
      <c r="EO45" s="21">
        <f t="shared" si="64"/>
        <v>4346.9830595690373</v>
      </c>
      <c r="EP45" s="21">
        <f>EO45*'Base Data'!$D$13</f>
        <v>3260.2372946767782</v>
      </c>
      <c r="EQ45" s="363">
        <f>IF(INT(('Base Data'!$D$7)/EP45)=0,0,INT(('Base Data'!$D$7)/EP45))</f>
        <v>3</v>
      </c>
      <c r="ER45" s="314">
        <f t="shared" si="227"/>
        <v>9.7055352344878002E-3</v>
      </c>
      <c r="ES45" s="143">
        <f t="shared" si="186"/>
        <v>91</v>
      </c>
      <c r="ET45" s="118">
        <f t="shared" si="187"/>
        <v>10378095</v>
      </c>
      <c r="EU45" s="118">
        <f t="shared" si="79"/>
        <v>8739590.5585191138</v>
      </c>
      <c r="EV45" s="118">
        <f t="shared" ref="EV45:EV67" si="232">((X45-EV44)*(2/(1+8)))+EV44</f>
        <v>127563.51049457098</v>
      </c>
      <c r="EW45" s="329">
        <f t="shared" si="77"/>
        <v>68.511681158939766</v>
      </c>
      <c r="EX45" s="118">
        <f t="shared" si="66"/>
        <v>5138.3760869204825</v>
      </c>
      <c r="EY45" s="118">
        <f>EX45*'Base Data'!$D$13</f>
        <v>3853.7820651903621</v>
      </c>
      <c r="EZ45" s="375">
        <f>IF(INT(('Base Data'!$D$7)/EY45)=0,0,INT(('Base Data'!$D$7)/EY45))</f>
        <v>2</v>
      </c>
      <c r="FA45" s="385">
        <f t="shared" si="228"/>
        <v>7.3358475644791123E-3</v>
      </c>
      <c r="FB45" s="397">
        <f t="shared" si="129"/>
        <v>3.0299975968403468</v>
      </c>
      <c r="FC45" s="403">
        <f t="shared" si="229"/>
        <v>2.283959517964532</v>
      </c>
      <c r="FD45" s="510">
        <f t="shared" si="130"/>
        <v>1.6646121140959411</v>
      </c>
      <c r="FE45" s="509">
        <f t="shared" si="230"/>
        <v>1.4275242072434591</v>
      </c>
      <c r="FF45" s="20">
        <f t="shared" si="165"/>
        <v>193.39999999999782</v>
      </c>
      <c r="FG45" s="17">
        <f t="shared" si="166"/>
        <v>8.6455266998807685E-3</v>
      </c>
      <c r="FH45" s="388">
        <f t="shared" si="70"/>
        <v>9.3459532837259131E-3</v>
      </c>
      <c r="FI45" s="388">
        <f t="shared" si="105"/>
        <v>9.4292777238796574E-3</v>
      </c>
      <c r="FJ45" s="314">
        <f t="shared" si="131"/>
        <v>9.6064317260426448E-3</v>
      </c>
      <c r="FK45" s="442">
        <f t="shared" si="167"/>
        <v>91</v>
      </c>
      <c r="FL45" s="18">
        <f t="shared" si="168"/>
        <v>9.7461711470493741E-3</v>
      </c>
      <c r="FM45" s="394">
        <f t="shared" si="71"/>
        <v>7.3865203018747862E-3</v>
      </c>
      <c r="FN45" s="394">
        <f t="shared" si="106"/>
        <v>7.5462332488611845E-3</v>
      </c>
      <c r="FO45" s="385">
        <f t="shared" si="132"/>
        <v>6.974342600588687E-3</v>
      </c>
      <c r="FP45" s="416">
        <f t="shared" si="188"/>
        <v>2</v>
      </c>
      <c r="FQ45" s="417">
        <f t="shared" si="189"/>
        <v>1</v>
      </c>
      <c r="FR45" s="415">
        <f t="shared" si="122"/>
        <v>69.481324128164317</v>
      </c>
      <c r="FS45" s="413" t="str">
        <f t="shared" si="133"/>
        <v>T-D</v>
      </c>
      <c r="FT45" s="404">
        <f t="shared" si="123"/>
        <v>60.755127972408097</v>
      </c>
      <c r="FU45" s="414" t="str">
        <f t="shared" si="134"/>
        <v>T-D</v>
      </c>
      <c r="FV45" s="415">
        <f t="shared" si="225"/>
        <v>75.790093271755651</v>
      </c>
      <c r="FW45" s="413" t="str">
        <f t="shared" si="72"/>
        <v>T-R</v>
      </c>
      <c r="FX45" s="404">
        <f t="shared" si="226"/>
        <v>70.286396181383921</v>
      </c>
      <c r="FY45" s="414" t="str">
        <f t="shared" si="73"/>
        <v>T-D</v>
      </c>
    </row>
    <row r="46" spans="1:181" x14ac:dyDescent="0.3">
      <c r="A46" s="100">
        <f>90-A42</f>
        <v>18.75</v>
      </c>
      <c r="B46" s="35">
        <f t="shared" si="197"/>
        <v>0.10416666666666667</v>
      </c>
      <c r="C46" s="36">
        <f t="shared" ca="1" si="190"/>
        <v>80.762282039752364</v>
      </c>
      <c r="D46" s="37" t="s">
        <v>41</v>
      </c>
      <c r="E46" s="270">
        <f t="shared" ca="1" si="191"/>
        <v>10615.937737712477</v>
      </c>
      <c r="F46" s="265">
        <f t="shared" ca="1" si="192"/>
        <v>10599.497792542568</v>
      </c>
      <c r="G46" s="37" t="s">
        <v>40</v>
      </c>
      <c r="H46" s="36">
        <f t="shared" ca="1" si="193"/>
        <v>77.061191591365869</v>
      </c>
      <c r="I46" s="35">
        <f t="shared" si="194"/>
        <v>0.10416666666666667</v>
      </c>
      <c r="J46" s="101">
        <f>90-J42</f>
        <v>18.75</v>
      </c>
      <c r="L46" s="283">
        <f t="shared" si="35"/>
        <v>43</v>
      </c>
      <c r="M46" s="290">
        <f>'[4]BANKNIFTY-I'!C62</f>
        <v>42858</v>
      </c>
      <c r="N46" s="7">
        <f>'[4]BANKNIFTY-I'!D62</f>
        <v>22487.8</v>
      </c>
      <c r="O46" s="7">
        <f>'[4]BANKNIFTY-I'!E62</f>
        <v>22487.8</v>
      </c>
      <c r="P46" s="7">
        <f>'[4]BANKNIFTY-I'!F62</f>
        <v>22301.200000000001</v>
      </c>
      <c r="Q46" s="7">
        <f>'[4]BANKNIFTY-I'!G62</f>
        <v>22348.3</v>
      </c>
      <c r="R46" s="11">
        <f>'[4]BANKNIFTY-I'!H62</f>
        <v>51788</v>
      </c>
      <c r="S46" s="291">
        <f>'[5]NIFTY-I'!C62</f>
        <v>42858</v>
      </c>
      <c r="T46" s="9">
        <f>'[5]NIFTY-I'!D62</f>
        <v>9342.0499999999993</v>
      </c>
      <c r="U46" s="9">
        <f>'[5]NIFTY-I'!E62</f>
        <v>9366</v>
      </c>
      <c r="V46" s="9">
        <f>'[5]NIFTY-I'!F62</f>
        <v>9315.1</v>
      </c>
      <c r="W46" s="9">
        <f>'[5]NIFTY-I'!G62</f>
        <v>9340.25</v>
      </c>
      <c r="X46" s="12">
        <f>'[5]NIFTY-I'!H62</f>
        <v>69777</v>
      </c>
      <c r="Y46" s="115"/>
      <c r="Z46" s="122">
        <f t="shared" si="36"/>
        <v>-2.0584393754124112E-3</v>
      </c>
      <c r="AA46" s="19">
        <f t="shared" si="169"/>
        <v>1.0171551250643713E-4</v>
      </c>
      <c r="AB46" s="305">
        <f>IF(OR(SUM(Z26:Z46)=0,SUM('BNF-Nifty'!AA26:AA46)=0),0,(_xlfn.COVARIANCE.P(Z26:Z46,'BNF-Nifty'!AA26:AA46)/_xlfn.VAR.P('BNF-Nifty'!AA26:AA46)))</f>
        <v>0.91300845532882657</v>
      </c>
      <c r="AC46" s="306">
        <f>IF(OR(SUM(AA26:AA46)=0,SUM('BNF-Nifty'!AA26:AA46)=0),0,(_xlfn.COVARIANCE.P(AA26:AA46,'BNF-Nifty'!AA26:AA46)/_xlfn.VAR.P('BNF-Nifty'!AA26:AA46)))</f>
        <v>1.0000000000000002</v>
      </c>
      <c r="AD46" s="122">
        <f t="shared" si="151"/>
        <v>1.6941981523924766E-2</v>
      </c>
      <c r="AE46" s="364">
        <f t="shared" si="124"/>
        <v>0.13495556169136083</v>
      </c>
      <c r="AF46" s="513">
        <f t="shared" si="152"/>
        <v>3.9215317496524536E-3</v>
      </c>
      <c r="AG46" s="522">
        <f t="shared" si="125"/>
        <v>0.33585992507084611</v>
      </c>
      <c r="AH46" s="466">
        <f t="shared" si="170"/>
        <v>-2.0584393754124112E-3</v>
      </c>
      <c r="AI46" s="17">
        <f t="shared" si="38"/>
        <v>5.9269544890763253E-3</v>
      </c>
      <c r="AJ46" s="17">
        <f t="shared" si="39"/>
        <v>5.7684740186969711E-3</v>
      </c>
      <c r="AK46" s="314">
        <f t="shared" si="40"/>
        <v>0.11020654138525272</v>
      </c>
      <c r="AL46" s="467">
        <f t="shared" si="171"/>
        <v>1.0171551250643713E-4</v>
      </c>
      <c r="AM46" s="18">
        <f t="shared" si="198"/>
        <v>4.3575374816499637E-3</v>
      </c>
      <c r="AN46" s="18">
        <f t="shared" si="199"/>
        <v>4.224862801615493E-3</v>
      </c>
      <c r="AO46" s="385">
        <f t="shared" si="200"/>
        <v>8.0715890490987735E-2</v>
      </c>
      <c r="AP46" s="10">
        <f t="shared" si="153"/>
        <v>8.3324512550521455E-3</v>
      </c>
      <c r="AQ46" s="17">
        <f t="shared" si="201"/>
        <v>9.5054829574070555E-3</v>
      </c>
      <c r="AR46" s="17">
        <f t="shared" si="202"/>
        <v>9.4392128121688103E-3</v>
      </c>
      <c r="AS46" s="314">
        <f t="shared" si="203"/>
        <v>0.18033590756528581</v>
      </c>
      <c r="AT46" s="448">
        <f t="shared" si="154"/>
        <v>5.4493713923676407E-3</v>
      </c>
      <c r="AU46" s="18">
        <f t="shared" si="204"/>
        <v>7.1904243349267399E-3</v>
      </c>
      <c r="AV46" s="18">
        <f t="shared" si="205"/>
        <v>7.0980144338854039E-3</v>
      </c>
      <c r="AW46" s="385">
        <f t="shared" si="206"/>
        <v>0.13560737535189823</v>
      </c>
      <c r="AX46" s="6">
        <f t="shared" si="155"/>
        <v>1164598186.3999999</v>
      </c>
      <c r="AY46" s="319">
        <v>0</v>
      </c>
      <c r="AZ46" s="140">
        <f t="shared" si="156"/>
        <v>651860222.8499999</v>
      </c>
      <c r="BA46" s="481">
        <v>0</v>
      </c>
      <c r="BB46" s="135">
        <f t="shared" si="98"/>
        <v>1486119753.1985855</v>
      </c>
      <c r="BC46" s="21">
        <f t="shared" si="99"/>
        <v>67631.007392150073</v>
      </c>
      <c r="BD46" s="319">
        <f t="shared" si="100"/>
        <v>21973.940807675732</v>
      </c>
      <c r="BE46" s="21">
        <f t="shared" si="157"/>
        <v>22379.100000000002</v>
      </c>
      <c r="BF46" s="21">
        <f t="shared" si="158"/>
        <v>1158968830.8000002</v>
      </c>
      <c r="BG46" s="21">
        <f t="shared" si="59"/>
        <v>1403305595.7412016</v>
      </c>
      <c r="BH46" s="21">
        <f t="shared" si="223"/>
        <v>63080.702040884709</v>
      </c>
      <c r="BI46" s="332">
        <f t="shared" si="56"/>
        <v>22246.194958827065</v>
      </c>
      <c r="BJ46" s="141">
        <f t="shared" si="101"/>
        <v>1077520534.2158141</v>
      </c>
      <c r="BK46" s="118">
        <f t="shared" si="102"/>
        <v>116256.94625736411</v>
      </c>
      <c r="BL46" s="329">
        <f t="shared" si="107"/>
        <v>9268.4400279227211</v>
      </c>
      <c r="BM46" s="118">
        <f t="shared" si="159"/>
        <v>9340.4499999999989</v>
      </c>
      <c r="BN46" s="118">
        <f t="shared" si="160"/>
        <v>651748579.64999998</v>
      </c>
      <c r="BO46" s="118">
        <f t="shared" si="60"/>
        <v>1013914916.8363142</v>
      </c>
      <c r="BP46" s="118">
        <f t="shared" si="224"/>
        <v>108790.83203415622</v>
      </c>
      <c r="BQ46" s="325">
        <f t="shared" si="61"/>
        <v>9319.856258825037</v>
      </c>
      <c r="BR46" s="6">
        <f t="shared" si="161"/>
        <v>1154934545.6000001</v>
      </c>
      <c r="BS46" s="8">
        <f t="shared" si="162"/>
        <v>1164598186.3999999</v>
      </c>
      <c r="BT46" s="331">
        <f t="shared" si="86"/>
        <v>21905.616546200847</v>
      </c>
      <c r="BU46" s="319">
        <f t="shared" si="207"/>
        <v>22181.485260728397</v>
      </c>
      <c r="BV46" s="319">
        <f t="shared" si="208"/>
        <v>22382.919053843059</v>
      </c>
      <c r="BW46" s="331">
        <f t="shared" si="172"/>
        <v>21570.062785441911</v>
      </c>
      <c r="BX46" s="319">
        <f t="shared" si="87"/>
        <v>21811.690653004447</v>
      </c>
      <c r="BY46" s="332">
        <f t="shared" si="88"/>
        <v>22020.924274314079</v>
      </c>
      <c r="BZ46" s="140">
        <f t="shared" si="163"/>
        <v>649979732.70000005</v>
      </c>
      <c r="CA46" s="142">
        <f t="shared" si="164"/>
        <v>653531382</v>
      </c>
      <c r="CB46" s="339">
        <f t="shared" si="89"/>
        <v>9244.2975875453412</v>
      </c>
      <c r="CC46" s="329">
        <f t="shared" si="209"/>
        <v>9306.4652862483872</v>
      </c>
      <c r="CD46" s="329">
        <f t="shared" si="210"/>
        <v>9363.5512521446744</v>
      </c>
      <c r="CE46" s="339">
        <f t="shared" si="173"/>
        <v>9195.8300734912482</v>
      </c>
      <c r="CF46" s="329">
        <f t="shared" si="90"/>
        <v>9217.6427442344575</v>
      </c>
      <c r="CG46" s="325">
        <f t="shared" si="91"/>
        <v>9285.8928847187653</v>
      </c>
      <c r="CH46" s="20">
        <f t="shared" si="92"/>
        <v>1486545315.3713665</v>
      </c>
      <c r="CI46" s="21">
        <f t="shared" si="93"/>
        <v>67515.961170643597</v>
      </c>
      <c r="CJ46" s="21">
        <f t="shared" si="94"/>
        <v>22017.687219384898</v>
      </c>
      <c r="CK46" s="21">
        <f t="shared" si="142"/>
        <v>1457047945.2935085</v>
      </c>
      <c r="CL46" s="21">
        <f t="shared" si="143"/>
        <v>67046.306661491151</v>
      </c>
      <c r="CM46" s="21">
        <f t="shared" si="148"/>
        <v>21731.964336976394</v>
      </c>
      <c r="CN46" s="342">
        <f t="shared" si="144"/>
        <v>285.72288240850321</v>
      </c>
      <c r="CO46" s="342">
        <f t="shared" si="211"/>
        <v>251.13413215327327</v>
      </c>
      <c r="CP46" s="343">
        <f t="shared" si="212"/>
        <v>34.58875025522994</v>
      </c>
      <c r="CQ46" s="141">
        <f t="shared" si="95"/>
        <v>1078406302.9162183</v>
      </c>
      <c r="CR46" s="118">
        <f t="shared" si="96"/>
        <v>116210.07760591371</v>
      </c>
      <c r="CS46" s="118">
        <f t="shared" si="104"/>
        <v>9279.8002129665583</v>
      </c>
      <c r="CT46" s="118">
        <f t="shared" si="145"/>
        <v>1059719781.2574084</v>
      </c>
      <c r="CU46" s="118">
        <f t="shared" si="146"/>
        <v>114968.76058045652</v>
      </c>
      <c r="CV46" s="118">
        <f t="shared" si="149"/>
        <v>9217.4585157487509</v>
      </c>
      <c r="CW46" s="350">
        <f t="shared" si="150"/>
        <v>62.34169721780745</v>
      </c>
      <c r="CX46" s="350">
        <f t="shared" si="213"/>
        <v>58.791749818282895</v>
      </c>
      <c r="CY46" s="351">
        <f t="shared" si="214"/>
        <v>3.5499473995245552</v>
      </c>
      <c r="CZ46" s="20">
        <f t="shared" si="174"/>
        <v>-11.416666666660603</v>
      </c>
      <c r="DA46" s="21">
        <f t="shared" si="175"/>
        <v>0</v>
      </c>
      <c r="DB46" s="21">
        <f t="shared" si="176"/>
        <v>1158968830.8000002</v>
      </c>
      <c r="DC46" s="21">
        <f t="shared" si="215"/>
        <v>1033532191.8367589</v>
      </c>
      <c r="DD46" s="21">
        <f t="shared" si="216"/>
        <v>454917722.43959004</v>
      </c>
      <c r="DE46" s="21">
        <f t="shared" si="217"/>
        <v>2.2719101517835565</v>
      </c>
      <c r="DF46" s="342">
        <f t="shared" si="218"/>
        <v>69.436813555076128</v>
      </c>
      <c r="DG46" s="342">
        <v>0</v>
      </c>
      <c r="DH46" s="355">
        <f t="shared" si="195"/>
        <v>64.533855880292109</v>
      </c>
      <c r="DI46" s="141">
        <f t="shared" si="177"/>
        <v>9.6833333333324845</v>
      </c>
      <c r="DJ46" s="118">
        <f t="shared" si="178"/>
        <v>651748579.64999998</v>
      </c>
      <c r="DK46" s="118">
        <f t="shared" si="179"/>
        <v>0</v>
      </c>
      <c r="DL46" s="118">
        <f t="shared" si="219"/>
        <v>663209249.95638275</v>
      </c>
      <c r="DM46" s="118">
        <f t="shared" si="220"/>
        <v>415078893.68638408</v>
      </c>
      <c r="DN46" s="118">
        <f t="shared" si="221"/>
        <v>1.5977908297536212</v>
      </c>
      <c r="DO46" s="350">
        <f t="shared" si="222"/>
        <v>61.505753714018553</v>
      </c>
      <c r="DP46" s="350">
        <v>0</v>
      </c>
      <c r="DQ46" s="351">
        <f t="shared" si="196"/>
        <v>56.390989172921394</v>
      </c>
      <c r="DR46" s="135">
        <f t="shared" si="180"/>
        <v>186.59999999999854</v>
      </c>
      <c r="DS46" s="20">
        <f t="shared" si="181"/>
        <v>9663640.7999999244</v>
      </c>
      <c r="DT46" s="21">
        <f t="shared" si="140"/>
        <v>14970213.483347209</v>
      </c>
      <c r="DU46" s="21">
        <f t="shared" si="135"/>
        <v>67421.177876486981</v>
      </c>
      <c r="DV46" s="319">
        <f t="shared" si="136"/>
        <v>222.04022467201727</v>
      </c>
      <c r="DW46" s="21">
        <f t="shared" si="137"/>
        <v>4440.8044934403451</v>
      </c>
      <c r="DX46" s="21">
        <f>DW46*'Base Data'!$D$10</f>
        <v>8881.6089868806903</v>
      </c>
      <c r="DY46" s="363">
        <f>IF(INT(('Base Data'!$D$7)/DX46)=0,0,INT(('Base Data'!$D$7)/DX46))</f>
        <v>1</v>
      </c>
      <c r="DZ46" s="364">
        <f t="shared" si="126"/>
        <v>9.9354413835511992E-3</v>
      </c>
      <c r="EA46" s="141">
        <f t="shared" si="182"/>
        <v>50.899999999999636</v>
      </c>
      <c r="EB46" s="143">
        <f t="shared" si="183"/>
        <v>3551649.2999999747</v>
      </c>
      <c r="EC46" s="118">
        <f t="shared" si="141"/>
        <v>8069126.7580181612</v>
      </c>
      <c r="ED46" s="118">
        <f t="shared" si="138"/>
        <v>115120.5615382442</v>
      </c>
      <c r="EE46" s="329">
        <f t="shared" si="139"/>
        <v>70.092837024057744</v>
      </c>
      <c r="EF46" s="118">
        <f t="shared" si="127"/>
        <v>5256.962776804331</v>
      </c>
      <c r="EG46" s="118">
        <f>EF46*'Base Data'!$D$10</f>
        <v>10513.925553608662</v>
      </c>
      <c r="EH46" s="375">
        <f>IF(INT(('Base Data'!$D$7)/EG46)=0,0,INT(('Base Data'!$D$7)/EG46))</f>
        <v>0</v>
      </c>
      <c r="EI46" s="376">
        <f t="shared" si="128"/>
        <v>7.5043855382947722E-3</v>
      </c>
      <c r="EJ46" s="135">
        <f t="shared" si="184"/>
        <v>186.59999999999854</v>
      </c>
      <c r="EK46" s="21">
        <f t="shared" si="185"/>
        <v>9663640.7999999244</v>
      </c>
      <c r="EL46" s="21">
        <f t="shared" si="78"/>
        <v>14027660.744290447</v>
      </c>
      <c r="EM46" s="21">
        <f t="shared" si="231"/>
        <v>66167.893759781495</v>
      </c>
      <c r="EN46" s="319">
        <f t="shared" si="75"/>
        <v>212.00101661414544</v>
      </c>
      <c r="EO46" s="21">
        <f t="shared" si="64"/>
        <v>4240.0203322829093</v>
      </c>
      <c r="EP46" s="21">
        <f>EO46*'Base Data'!$D$13</f>
        <v>3180.015249212182</v>
      </c>
      <c r="EQ46" s="363">
        <f>IF(INT(('Base Data'!$D$7)/EP46)=0,0,INT(('Base Data'!$D$7)/EP46))</f>
        <v>3</v>
      </c>
      <c r="ER46" s="314">
        <f t="shared" si="227"/>
        <v>9.4862256464315151E-3</v>
      </c>
      <c r="ES46" s="143">
        <f t="shared" si="186"/>
        <v>50.899999999999636</v>
      </c>
      <c r="ET46" s="118">
        <f t="shared" si="187"/>
        <v>3551649.2999999747</v>
      </c>
      <c r="EU46" s="118">
        <f t="shared" si="79"/>
        <v>7586714.7232926385</v>
      </c>
      <c r="EV46" s="118">
        <f t="shared" si="232"/>
        <v>114722.06371799964</v>
      </c>
      <c r="EW46" s="329">
        <f t="shared" si="77"/>
        <v>66.131260870111944</v>
      </c>
      <c r="EX46" s="118">
        <f t="shared" si="66"/>
        <v>4959.844565258396</v>
      </c>
      <c r="EY46" s="118">
        <f>EX46*'Base Data'!$D$13</f>
        <v>3719.883423943797</v>
      </c>
      <c r="EZ46" s="375">
        <f>IF(INT(('Base Data'!$D$7)/EY46)=0,0,INT(('Base Data'!$D$7)/EY46))</f>
        <v>2</v>
      </c>
      <c r="FA46" s="385">
        <f t="shared" si="228"/>
        <v>7.0802452686075795E-3</v>
      </c>
      <c r="FB46" s="397">
        <f t="shared" si="129"/>
        <v>2.6380855629936142</v>
      </c>
      <c r="FC46" s="403">
        <f t="shared" si="229"/>
        <v>1.6744416560012281</v>
      </c>
      <c r="FD46" s="510">
        <f t="shared" si="130"/>
        <v>1.573570658984403</v>
      </c>
      <c r="FE46" s="509">
        <f t="shared" si="230"/>
        <v>1.1065744959921087</v>
      </c>
      <c r="FF46" s="20">
        <f t="shared" si="165"/>
        <v>186.59999999999854</v>
      </c>
      <c r="FG46" s="17">
        <f t="shared" si="166"/>
        <v>8.2978326025666613E-3</v>
      </c>
      <c r="FH46" s="388">
        <f t="shared" si="70"/>
        <v>9.7568902868532884E-3</v>
      </c>
      <c r="FI46" s="388">
        <f t="shared" si="105"/>
        <v>9.1608547587331036E-3</v>
      </c>
      <c r="FJ46" s="314">
        <f t="shared" si="131"/>
        <v>9.3691965510586585E-3</v>
      </c>
      <c r="FK46" s="442">
        <f t="shared" si="167"/>
        <v>50.899999999999636</v>
      </c>
      <c r="FL46" s="18">
        <f t="shared" si="168"/>
        <v>5.448482934687744E-3</v>
      </c>
      <c r="FM46" s="394">
        <f t="shared" si="71"/>
        <v>7.3909091256256837E-3</v>
      </c>
      <c r="FN46" s="394">
        <f t="shared" si="106"/>
        <v>7.2012631035474808E-3</v>
      </c>
      <c r="FO46" s="385">
        <f t="shared" si="132"/>
        <v>7.036299771737327E-3</v>
      </c>
      <c r="FP46" s="416">
        <f t="shared" si="188"/>
        <v>2</v>
      </c>
      <c r="FQ46" s="417">
        <f t="shared" si="189"/>
        <v>2</v>
      </c>
      <c r="FR46" s="415">
        <f t="shared" si="122"/>
        <v>75.964850304689421</v>
      </c>
      <c r="FS46" s="413" t="str">
        <f t="shared" si="133"/>
        <v>T-R</v>
      </c>
      <c r="FT46" s="404">
        <f t="shared" si="123"/>
        <v>51.733526955890227</v>
      </c>
      <c r="FU46" s="414" t="str">
        <f t="shared" si="134"/>
        <v>T-D</v>
      </c>
      <c r="FV46" s="415">
        <f t="shared" si="225"/>
        <v>72.899349475966673</v>
      </c>
      <c r="FW46" s="413" t="str">
        <f t="shared" si="72"/>
        <v>T-D</v>
      </c>
      <c r="FX46" s="404">
        <f t="shared" si="226"/>
        <v>75.100401606425706</v>
      </c>
      <c r="FY46" s="414" t="str">
        <f t="shared" si="73"/>
        <v>T-R</v>
      </c>
    </row>
    <row r="47" spans="1:181" x14ac:dyDescent="0.3">
      <c r="A47" s="96">
        <f>90-A41</f>
        <v>15</v>
      </c>
      <c r="B47" s="27">
        <f t="shared" si="197"/>
        <v>8.3333333333333329E-2</v>
      </c>
      <c r="C47" s="28">
        <f t="shared" ca="1" si="190"/>
        <v>80.388266744913736</v>
      </c>
      <c r="D47" s="29" t="s">
        <v>39</v>
      </c>
      <c r="E47" s="271">
        <f t="shared" ca="1" si="191"/>
        <v>10614.224022228744</v>
      </c>
      <c r="F47" s="266">
        <f t="shared" ca="1" si="192"/>
        <v>10601.072717134484</v>
      </c>
      <c r="G47" s="30" t="s">
        <v>38</v>
      </c>
      <c r="H47" s="31">
        <f t="shared" ca="1" si="193"/>
        <v>77.427394386204497</v>
      </c>
      <c r="I47" s="32">
        <f t="shared" si="194"/>
        <v>8.3333333333333329E-2</v>
      </c>
      <c r="J47" s="97">
        <f>90-J41</f>
        <v>15</v>
      </c>
      <c r="L47" s="283">
        <f t="shared" si="35"/>
        <v>44</v>
      </c>
      <c r="M47" s="290">
        <f>'[4]BANKNIFTY-I'!C63</f>
        <v>42859</v>
      </c>
      <c r="N47" s="7">
        <f>'[4]BANKNIFTY-I'!D63</f>
        <v>22618</v>
      </c>
      <c r="O47" s="7">
        <f>'[4]BANKNIFTY-I'!E63</f>
        <v>22768.25</v>
      </c>
      <c r="P47" s="7">
        <f>'[4]BANKNIFTY-I'!F63</f>
        <v>22460</v>
      </c>
      <c r="Q47" s="7">
        <f>'[4]BANKNIFTY-I'!G63</f>
        <v>22730.15</v>
      </c>
      <c r="R47" s="11">
        <f>'[4]BANKNIFTY-I'!H63</f>
        <v>95602</v>
      </c>
      <c r="S47" s="291">
        <f>'[5]NIFTY-I'!C63</f>
        <v>42859</v>
      </c>
      <c r="T47" s="9">
        <f>'[5]NIFTY-I'!D63</f>
        <v>9358.25</v>
      </c>
      <c r="U47" s="9">
        <f>'[5]NIFTY-I'!E63</f>
        <v>9384</v>
      </c>
      <c r="V47" s="9">
        <f>'[5]NIFTY-I'!F63</f>
        <v>9332.7999999999993</v>
      </c>
      <c r="W47" s="9">
        <f>'[5]NIFTY-I'!G63</f>
        <v>9376.9500000000007</v>
      </c>
      <c r="X47" s="12">
        <f>'[5]NIFTY-I'!H63</f>
        <v>90338</v>
      </c>
      <c r="Y47" s="115"/>
      <c r="Z47" s="122">
        <f t="shared" si="36"/>
        <v>1.6941981523924766E-2</v>
      </c>
      <c r="AA47" s="19">
        <f t="shared" si="169"/>
        <v>3.9215317496524536E-3</v>
      </c>
      <c r="AB47" s="305">
        <f>IF(OR(SUM(Z27:Z47)=0,SUM('BNF-Nifty'!AA27:AA47)=0),0,(_xlfn.COVARIANCE.P(Z27:Z47,'BNF-Nifty'!AA27:AA47)/_xlfn.VAR.P('BNF-Nifty'!AA27:AA47)))</f>
        <v>1.0654362971073261</v>
      </c>
      <c r="AC47" s="306">
        <f>IF(OR(SUM(AA27:AA47)=0,SUM('BNF-Nifty'!AA27:AA47)=0),0,(_xlfn.COVARIANCE.P(AA27:AA47,'BNF-Nifty'!AA27:AA47)/_xlfn.VAR.P('BNF-Nifty'!AA27:AA47)))</f>
        <v>1.0000000000000007</v>
      </c>
      <c r="AD47" s="122">
        <f t="shared" si="151"/>
        <v>-3.4286377442927225E-3</v>
      </c>
      <c r="AE47" s="364">
        <f t="shared" si="124"/>
        <v>2.3278532074442415E-2</v>
      </c>
      <c r="AF47" s="513">
        <f t="shared" si="152"/>
        <v>-6.4460614833443137E-3</v>
      </c>
      <c r="AG47" s="522">
        <f t="shared" si="125"/>
        <v>0.23669769399772295</v>
      </c>
      <c r="AH47" s="466">
        <f t="shared" si="170"/>
        <v>1.6941981523924766E-2</v>
      </c>
      <c r="AI47" s="17">
        <f t="shared" si="38"/>
        <v>5.7684740186969711E-3</v>
      </c>
      <c r="AJ47" s="17">
        <f t="shared" si="39"/>
        <v>6.9642385966837434E-3</v>
      </c>
      <c r="AK47" s="314">
        <f t="shared" si="40"/>
        <v>0.13305159157075849</v>
      </c>
      <c r="AL47" s="467">
        <f t="shared" si="171"/>
        <v>3.9215317496524536E-3</v>
      </c>
      <c r="AM47" s="18">
        <f t="shared" si="198"/>
        <v>4.224862801615493E-3</v>
      </c>
      <c r="AN47" s="18">
        <f t="shared" si="199"/>
        <v>4.2072796943794675E-3</v>
      </c>
      <c r="AO47" s="385">
        <f t="shared" si="200"/>
        <v>8.0379965698918351E-2</v>
      </c>
      <c r="AP47" s="10">
        <f t="shared" si="153"/>
        <v>1.3631072300176916E-2</v>
      </c>
      <c r="AQ47" s="17">
        <f t="shared" si="201"/>
        <v>9.4392128121688103E-3</v>
      </c>
      <c r="AR47" s="17">
        <f t="shared" si="202"/>
        <v>9.7417237758913137E-3</v>
      </c>
      <c r="AS47" s="314">
        <f t="shared" si="203"/>
        <v>0.18611537141220932</v>
      </c>
      <c r="AT47" s="448">
        <f t="shared" si="154"/>
        <v>5.4710343339383887E-3</v>
      </c>
      <c r="AU47" s="18">
        <f t="shared" si="204"/>
        <v>7.0980144338854039E-3</v>
      </c>
      <c r="AV47" s="18">
        <f t="shared" si="205"/>
        <v>7.0110508035824953E-3</v>
      </c>
      <c r="AW47" s="385">
        <f t="shared" si="206"/>
        <v>0.13394593752780032</v>
      </c>
      <c r="AX47" s="6">
        <f t="shared" si="155"/>
        <v>2162326036</v>
      </c>
      <c r="AY47" s="319">
        <v>0</v>
      </c>
      <c r="AZ47" s="140">
        <f t="shared" si="156"/>
        <v>845405588.5</v>
      </c>
      <c r="BA47" s="481">
        <v>0</v>
      </c>
      <c r="BB47" s="135">
        <f t="shared" si="98"/>
        <v>1582720650.7416446</v>
      </c>
      <c r="BC47" s="21">
        <f t="shared" si="99"/>
        <v>71626.863478985775</v>
      </c>
      <c r="BD47" s="319">
        <f t="shared" si="100"/>
        <v>22096.746581762451</v>
      </c>
      <c r="BE47" s="21">
        <f t="shared" si="157"/>
        <v>22652.799999999999</v>
      </c>
      <c r="BF47" s="21">
        <f t="shared" si="158"/>
        <v>2165652985.5999999</v>
      </c>
      <c r="BG47" s="21">
        <f t="shared" si="59"/>
        <v>1657421392.360801</v>
      </c>
      <c r="BH47" s="21">
        <f t="shared" si="223"/>
        <v>73921.134693923144</v>
      </c>
      <c r="BI47" s="332">
        <f t="shared" si="56"/>
        <v>22421.482018958417</v>
      </c>
      <c r="BJ47" s="141">
        <f t="shared" si="101"/>
        <v>1044361256.2564121</v>
      </c>
      <c r="BK47" s="118">
        <f t="shared" si="102"/>
        <v>112554.23964916923</v>
      </c>
      <c r="BL47" s="329">
        <f t="shared" si="107"/>
        <v>9278.7376069677939</v>
      </c>
      <c r="BM47" s="118">
        <f t="shared" si="159"/>
        <v>9364.5833333333339</v>
      </c>
      <c r="BN47" s="118">
        <f t="shared" si="160"/>
        <v>845977729.16666675</v>
      </c>
      <c r="BO47" s="118">
        <f t="shared" si="60"/>
        <v>957935854.27976501</v>
      </c>
      <c r="BP47" s="118">
        <f t="shared" si="224"/>
        <v>102639.88802277081</v>
      </c>
      <c r="BQ47" s="325">
        <f t="shared" si="61"/>
        <v>9332.9783647780823</v>
      </c>
      <c r="BR47" s="6">
        <f t="shared" si="161"/>
        <v>2147220920</v>
      </c>
      <c r="BS47" s="8">
        <f t="shared" si="162"/>
        <v>2176690236.5</v>
      </c>
      <c r="BT47" s="331">
        <f t="shared" si="86"/>
        <v>21989.626975976029</v>
      </c>
      <c r="BU47" s="319">
        <f t="shared" si="207"/>
        <v>22294.659367653709</v>
      </c>
      <c r="BV47" s="319">
        <f t="shared" si="208"/>
        <v>22521.685926283943</v>
      </c>
      <c r="BW47" s="331">
        <f t="shared" si="172"/>
        <v>21626.859894403271</v>
      </c>
      <c r="BX47" s="319">
        <f t="shared" si="87"/>
        <v>21886.004947261223</v>
      </c>
      <c r="BY47" s="332">
        <f t="shared" si="88"/>
        <v>22109.970652388416</v>
      </c>
      <c r="BZ47" s="140">
        <f t="shared" si="163"/>
        <v>843106486.39999998</v>
      </c>
      <c r="CA47" s="142">
        <f t="shared" si="164"/>
        <v>847731792</v>
      </c>
      <c r="CB47" s="339">
        <f t="shared" si="89"/>
        <v>9253.5019503770091</v>
      </c>
      <c r="CC47" s="329">
        <f t="shared" si="209"/>
        <v>9313.6991974889988</v>
      </c>
      <c r="CD47" s="329">
        <f t="shared" si="210"/>
        <v>9368.9136699248484</v>
      </c>
      <c r="CE47" s="339">
        <f t="shared" si="173"/>
        <v>9202.2021627706254</v>
      </c>
      <c r="CF47" s="329">
        <f t="shared" si="90"/>
        <v>9227.0149037628107</v>
      </c>
      <c r="CG47" s="325">
        <f t="shared" si="91"/>
        <v>9295.6395704299266</v>
      </c>
      <c r="CH47" s="20">
        <f t="shared" si="92"/>
        <v>1591023418.483464</v>
      </c>
      <c r="CI47" s="21">
        <f t="shared" si="93"/>
        <v>71836.890221313806</v>
      </c>
      <c r="CJ47" s="21">
        <f t="shared" si="94"/>
        <v>22147.721227657094</v>
      </c>
      <c r="CK47" s="21">
        <f t="shared" si="142"/>
        <v>1509537207.5384338</v>
      </c>
      <c r="CL47" s="21">
        <f t="shared" si="143"/>
        <v>69161.543205084396</v>
      </c>
      <c r="CM47" s="21">
        <f t="shared" si="148"/>
        <v>21826.251086708842</v>
      </c>
      <c r="CN47" s="342">
        <f t="shared" si="144"/>
        <v>321.47014094825136</v>
      </c>
      <c r="CO47" s="342">
        <f t="shared" si="211"/>
        <v>265.20133391226886</v>
      </c>
      <c r="CP47" s="343">
        <f t="shared" si="212"/>
        <v>56.268807035982491</v>
      </c>
      <c r="CQ47" s="141">
        <f t="shared" si="95"/>
        <v>1042648060.8009026</v>
      </c>
      <c r="CR47" s="118">
        <f t="shared" si="96"/>
        <v>112229.75797423469</v>
      </c>
      <c r="CS47" s="118">
        <f t="shared" si="104"/>
        <v>9290.2994679919921</v>
      </c>
      <c r="CT47" s="118">
        <f t="shared" si="145"/>
        <v>1043887036.6580942</v>
      </c>
      <c r="CU47" s="118">
        <f t="shared" si="146"/>
        <v>113144.25979671901</v>
      </c>
      <c r="CV47" s="118">
        <f t="shared" si="149"/>
        <v>9226.1599354098653</v>
      </c>
      <c r="CW47" s="350">
        <f t="shared" si="150"/>
        <v>64.139532582126776</v>
      </c>
      <c r="CX47" s="350">
        <f t="shared" si="213"/>
        <v>59.861306371051668</v>
      </c>
      <c r="CY47" s="351">
        <f t="shared" si="214"/>
        <v>4.2782262110751077</v>
      </c>
      <c r="CZ47" s="20">
        <f t="shared" si="174"/>
        <v>273.69999999999709</v>
      </c>
      <c r="DA47" s="21">
        <f t="shared" si="175"/>
        <v>2165652985.5999999</v>
      </c>
      <c r="DB47" s="21">
        <f t="shared" si="176"/>
        <v>0</v>
      </c>
      <c r="DC47" s="21">
        <f t="shared" si="215"/>
        <v>1184481631.0051911</v>
      </c>
      <c r="DD47" s="21">
        <f t="shared" si="216"/>
        <v>394262026.11431134</v>
      </c>
      <c r="DE47" s="21">
        <f t="shared" si="217"/>
        <v>3.0043005730959376</v>
      </c>
      <c r="DF47" s="342">
        <f t="shared" si="218"/>
        <v>75.026849714559589</v>
      </c>
      <c r="DG47" s="342">
        <v>0</v>
      </c>
      <c r="DH47" s="355">
        <f t="shared" si="195"/>
        <v>65.038652747978034</v>
      </c>
      <c r="DI47" s="141">
        <f t="shared" si="177"/>
        <v>24.133333333335031</v>
      </c>
      <c r="DJ47" s="118">
        <f t="shared" si="178"/>
        <v>845977729.16666675</v>
      </c>
      <c r="DK47" s="118">
        <f t="shared" si="179"/>
        <v>0</v>
      </c>
      <c r="DL47" s="118">
        <f t="shared" si="219"/>
        <v>687578380.51775396</v>
      </c>
      <c r="DM47" s="118">
        <f t="shared" si="220"/>
        <v>359735041.19486618</v>
      </c>
      <c r="DN47" s="118">
        <f t="shared" si="221"/>
        <v>1.9113466907031087</v>
      </c>
      <c r="DO47" s="350">
        <f t="shared" si="222"/>
        <v>65.651634578824627</v>
      </c>
      <c r="DP47" s="350">
        <v>0</v>
      </c>
      <c r="DQ47" s="351">
        <f t="shared" si="196"/>
        <v>56.006378327880299</v>
      </c>
      <c r="DR47" s="135">
        <f t="shared" si="180"/>
        <v>419.95000000000073</v>
      </c>
      <c r="DS47" s="20">
        <f t="shared" si="181"/>
        <v>40148059.900000073</v>
      </c>
      <c r="DT47" s="21">
        <f t="shared" si="140"/>
        <v>17259108.612133835</v>
      </c>
      <c r="DU47" s="21">
        <f t="shared" si="135"/>
        <v>69983.070796806351</v>
      </c>
      <c r="DV47" s="319">
        <f t="shared" si="136"/>
        <v>246.61833805843008</v>
      </c>
      <c r="DW47" s="21">
        <f t="shared" si="137"/>
        <v>4932.3667611686014</v>
      </c>
      <c r="DX47" s="21">
        <f>DW47*'Base Data'!$D$10</f>
        <v>9864.7335223372029</v>
      </c>
      <c r="DY47" s="363">
        <f>IF(INT(('Base Data'!$D$7)/DX47)=0,0,INT(('Base Data'!$D$7)/DX47))</f>
        <v>1</v>
      </c>
      <c r="DZ47" s="364">
        <f t="shared" si="126"/>
        <v>1.0849833285676956E-2</v>
      </c>
      <c r="EA47" s="141">
        <f t="shared" si="182"/>
        <v>51.200000000000728</v>
      </c>
      <c r="EB47" s="143">
        <f t="shared" si="183"/>
        <v>4625305.6000000658</v>
      </c>
      <c r="EC47" s="118">
        <f t="shared" si="141"/>
        <v>7756052.1072892435</v>
      </c>
      <c r="ED47" s="118">
        <f t="shared" si="138"/>
        <v>112867.60139840383</v>
      </c>
      <c r="EE47" s="329">
        <f t="shared" si="139"/>
        <v>68.718144190126552</v>
      </c>
      <c r="EF47" s="118">
        <f t="shared" si="127"/>
        <v>5153.8608142594912</v>
      </c>
      <c r="EG47" s="118">
        <f>EF47*'Base Data'!$D$10</f>
        <v>10307.721628518982</v>
      </c>
      <c r="EH47" s="375">
        <f>IF(INT(('Base Data'!$D$7)/EG47)=0,0,INT(('Base Data'!$D$7)/EG47))</f>
        <v>1</v>
      </c>
      <c r="EI47" s="376">
        <f t="shared" si="128"/>
        <v>7.3284110707774429E-3</v>
      </c>
      <c r="EJ47" s="135">
        <f t="shared" si="184"/>
        <v>419.95000000000073</v>
      </c>
      <c r="EK47" s="21">
        <f t="shared" si="185"/>
        <v>40148059.900000073</v>
      </c>
      <c r="EL47" s="21">
        <f t="shared" si="78"/>
        <v>19832193.890003696</v>
      </c>
      <c r="EM47" s="21">
        <f t="shared" si="231"/>
        <v>72708.806257607823</v>
      </c>
      <c r="EN47" s="319">
        <f t="shared" si="75"/>
        <v>272.76192404724799</v>
      </c>
      <c r="EO47" s="21">
        <f t="shared" si="64"/>
        <v>5455.2384809449595</v>
      </c>
      <c r="EP47" s="21">
        <f>EO47*'Base Data'!$D$13</f>
        <v>4091.4288607087196</v>
      </c>
      <c r="EQ47" s="363">
        <f>IF(INT(('Base Data'!$D$7)/EP47)=0,0,INT(('Base Data'!$D$7)/EP47))</f>
        <v>2</v>
      </c>
      <c r="ER47" s="314">
        <f t="shared" si="227"/>
        <v>1.2000005457388005E-2</v>
      </c>
      <c r="ES47" s="143">
        <f t="shared" si="186"/>
        <v>51.200000000000728</v>
      </c>
      <c r="ET47" s="118">
        <f t="shared" si="187"/>
        <v>4625305.6000000658</v>
      </c>
      <c r="EU47" s="118">
        <f t="shared" si="79"/>
        <v>6928623.8070053998</v>
      </c>
      <c r="EV47" s="118">
        <f t="shared" si="232"/>
        <v>109303.3828917775</v>
      </c>
      <c r="EW47" s="329">
        <f t="shared" si="77"/>
        <v>63.388923779838613</v>
      </c>
      <c r="EX47" s="118">
        <f t="shared" si="66"/>
        <v>4754.1692834878959</v>
      </c>
      <c r="EY47" s="118">
        <f>EX47*'Base Data'!$D$13</f>
        <v>3565.6269626159219</v>
      </c>
      <c r="EZ47" s="375">
        <f>IF(INT(('Base Data'!$D$7)/EY47)=0,0,INT(('Base Data'!$D$7)/EY47))</f>
        <v>2</v>
      </c>
      <c r="FA47" s="385">
        <f t="shared" si="228"/>
        <v>6.7600791067285856E-3</v>
      </c>
      <c r="FB47" s="397">
        <f t="shared" si="129"/>
        <v>3.7623684228997214</v>
      </c>
      <c r="FC47" s="403">
        <f t="shared" si="229"/>
        <v>2.3213238145743778</v>
      </c>
      <c r="FD47" s="510">
        <f t="shared" si="130"/>
        <v>2.0163801917952915</v>
      </c>
      <c r="FE47" s="509">
        <f t="shared" si="230"/>
        <v>1.359957621293765</v>
      </c>
      <c r="FF47" s="20">
        <f t="shared" si="165"/>
        <v>308.25</v>
      </c>
      <c r="FG47" s="17">
        <f t="shared" si="166"/>
        <v>1.3628525952780971E-2</v>
      </c>
      <c r="FH47" s="388">
        <f t="shared" si="70"/>
        <v>9.8443061003632114E-3</v>
      </c>
      <c r="FI47" s="388">
        <f t="shared" si="105"/>
        <v>9.7519235263096391E-3</v>
      </c>
      <c r="FJ47" s="314">
        <f t="shared" si="131"/>
        <v>9.7129215436906752E-3</v>
      </c>
      <c r="FK47" s="442">
        <f t="shared" si="167"/>
        <v>51.200000000000728</v>
      </c>
      <c r="FL47" s="18">
        <f t="shared" si="168"/>
        <v>5.4711083803062246E-3</v>
      </c>
      <c r="FM47" s="394">
        <f t="shared" si="71"/>
        <v>6.7038737601204882E-3</v>
      </c>
      <c r="FN47" s="394">
        <f t="shared" si="106"/>
        <v>7.2502764164811117E-3</v>
      </c>
      <c r="FO47" s="385">
        <f t="shared" si="132"/>
        <v>7.1288575772780853E-3</v>
      </c>
      <c r="FP47" s="416">
        <f t="shared" si="188"/>
        <v>1</v>
      </c>
      <c r="FQ47" s="417">
        <f t="shared" si="189"/>
        <v>2</v>
      </c>
      <c r="FR47" s="415">
        <f t="shared" si="122"/>
        <v>81.638648026898053</v>
      </c>
      <c r="FS47" s="413" t="str">
        <f t="shared" si="133"/>
        <v>T-R</v>
      </c>
      <c r="FT47" s="404">
        <f t="shared" si="123"/>
        <v>39.554705166116001</v>
      </c>
      <c r="FU47" s="414" t="str">
        <f t="shared" si="134"/>
        <v>T-D</v>
      </c>
      <c r="FV47" s="415">
        <f t="shared" si="225"/>
        <v>74.959396993295201</v>
      </c>
      <c r="FW47" s="413" t="str">
        <f t="shared" si="72"/>
        <v>T-R</v>
      </c>
      <c r="FX47" s="404">
        <f t="shared" si="226"/>
        <v>59.99213217938614</v>
      </c>
      <c r="FY47" s="414" t="str">
        <f t="shared" si="73"/>
        <v>T-D</v>
      </c>
    </row>
    <row r="48" spans="1:181" x14ac:dyDescent="0.3">
      <c r="A48" s="100">
        <f>90-A40</f>
        <v>7.5</v>
      </c>
      <c r="B48" s="35">
        <f t="shared" si="197"/>
        <v>4.1666666666666664E-2</v>
      </c>
      <c r="C48" s="36">
        <f t="shared" ca="1" si="190"/>
        <v>79.64284032190308</v>
      </c>
      <c r="D48" s="37" t="s">
        <v>37</v>
      </c>
      <c r="E48" s="270">
        <f t="shared" ca="1" si="191"/>
        <v>10610.843451680081</v>
      </c>
      <c r="F48" s="265">
        <f t="shared" ca="1" si="192"/>
        <v>10604.268233160728</v>
      </c>
      <c r="G48" s="37" t="s">
        <v>36</v>
      </c>
      <c r="H48" s="36">
        <f t="shared" ca="1" si="193"/>
        <v>78.162404142548496</v>
      </c>
      <c r="I48" s="35">
        <f t="shared" si="194"/>
        <v>4.1666666666666664E-2</v>
      </c>
      <c r="J48" s="101">
        <f>90-J40</f>
        <v>7.5</v>
      </c>
      <c r="L48" s="283">
        <f t="shared" si="35"/>
        <v>45</v>
      </c>
      <c r="M48" s="290">
        <f>'[4]BANKNIFTY-I'!C64</f>
        <v>42860</v>
      </c>
      <c r="N48" s="7">
        <f>'[4]BANKNIFTY-I'!D64</f>
        <v>22799.5</v>
      </c>
      <c r="O48" s="7">
        <f>'[4]BANKNIFTY-I'!E64</f>
        <v>22818</v>
      </c>
      <c r="P48" s="7">
        <f>'[4]BANKNIFTY-I'!F64</f>
        <v>22555</v>
      </c>
      <c r="Q48" s="7">
        <f>'[4]BANKNIFTY-I'!G64</f>
        <v>22652.35</v>
      </c>
      <c r="R48" s="11">
        <f>'[4]BANKNIFTY-I'!H64</f>
        <v>89098</v>
      </c>
      <c r="S48" s="291">
        <f>'[5]NIFTY-I'!C64</f>
        <v>42860</v>
      </c>
      <c r="T48" s="9">
        <f>'[5]NIFTY-I'!D64</f>
        <v>9359.7999999999993</v>
      </c>
      <c r="U48" s="9">
        <f>'[5]NIFTY-I'!E64</f>
        <v>9359.7999999999993</v>
      </c>
      <c r="V48" s="9">
        <f>'[5]NIFTY-I'!F64</f>
        <v>9297</v>
      </c>
      <c r="W48" s="9">
        <f>'[5]NIFTY-I'!G64</f>
        <v>9316.7000000000007</v>
      </c>
      <c r="X48" s="12">
        <f>'[5]NIFTY-I'!H64</f>
        <v>123084</v>
      </c>
      <c r="Y48" s="115"/>
      <c r="Z48" s="122">
        <f t="shared" si="36"/>
        <v>-3.4286377442927225E-3</v>
      </c>
      <c r="AA48" s="19">
        <f t="shared" si="169"/>
        <v>-6.4460614833443137E-3</v>
      </c>
      <c r="AB48" s="305">
        <f>IF(OR(SUM(Z28:Z48)=0,SUM('BNF-Nifty'!AA28:AA48)=0),0,(_xlfn.COVARIANCE.P(Z28:Z48,'BNF-Nifty'!AA28:AA48)/_xlfn.VAR.P('BNF-Nifty'!AA28:AA48)))</f>
        <v>1.1292203402498546</v>
      </c>
      <c r="AC48" s="306">
        <f>IF(OR(SUM(AA28:AA48)=0,SUM('BNF-Nifty'!AA28:AA48)=0),0,(_xlfn.COVARIANCE.P(AA28:AA48,'BNF-Nifty'!AA28:AA48)/_xlfn.VAR.P('BNF-Nifty'!AA28:AA48)))</f>
        <v>1.0000000000000004</v>
      </c>
      <c r="AD48" s="122">
        <f t="shared" si="151"/>
        <v>5.854186274490557E-3</v>
      </c>
      <c r="AE48" s="364">
        <f t="shared" si="124"/>
        <v>-8.0842457272579677E-3</v>
      </c>
      <c r="AF48" s="513">
        <f t="shared" si="152"/>
        <v>2.8831282062658408E-3</v>
      </c>
      <c r="AG48" s="522">
        <f t="shared" si="125"/>
        <v>0.14437934450489254</v>
      </c>
      <c r="AH48" s="466">
        <f t="shared" si="170"/>
        <v>-3.4286377442927225E-3</v>
      </c>
      <c r="AI48" s="17">
        <f t="shared" si="38"/>
        <v>6.9642385966837434E-3</v>
      </c>
      <c r="AJ48" s="17">
        <f t="shared" si="39"/>
        <v>6.8041101905056255E-3</v>
      </c>
      <c r="AK48" s="314">
        <f t="shared" si="40"/>
        <v>0.12999234266624327</v>
      </c>
      <c r="AL48" s="467">
        <f t="shared" si="171"/>
        <v>-6.4460614833443137E-3</v>
      </c>
      <c r="AM48" s="18">
        <f t="shared" si="198"/>
        <v>4.2072796943794675E-3</v>
      </c>
      <c r="AN48" s="18">
        <f t="shared" si="199"/>
        <v>4.3740407862703822E-3</v>
      </c>
      <c r="AO48" s="385">
        <f t="shared" si="200"/>
        <v>8.3565931886051742E-2</v>
      </c>
      <c r="AP48" s="10">
        <f t="shared" si="153"/>
        <v>1.1592927313818304E-2</v>
      </c>
      <c r="AQ48" s="17">
        <f t="shared" si="201"/>
        <v>9.7417237758913137E-3</v>
      </c>
      <c r="AR48" s="17">
        <f t="shared" si="202"/>
        <v>9.8625995062371161E-3</v>
      </c>
      <c r="AS48" s="314">
        <f t="shared" si="203"/>
        <v>0.18842469899791917</v>
      </c>
      <c r="AT48" s="448">
        <f t="shared" si="154"/>
        <v>6.7321552661235209E-3</v>
      </c>
      <c r="AU48" s="18">
        <f t="shared" si="204"/>
        <v>7.0110508035824953E-3</v>
      </c>
      <c r="AV48" s="18">
        <f t="shared" si="205"/>
        <v>6.9946306721528585E-3</v>
      </c>
      <c r="AW48" s="385">
        <f t="shared" si="206"/>
        <v>0.13363223135731464</v>
      </c>
      <c r="AX48" s="6">
        <f t="shared" si="155"/>
        <v>2031389851</v>
      </c>
      <c r="AY48" s="319">
        <v>0</v>
      </c>
      <c r="AZ48" s="140">
        <f t="shared" si="156"/>
        <v>1152041623.1999998</v>
      </c>
      <c r="BA48" s="481">
        <v>0</v>
      </c>
      <c r="BB48" s="135">
        <f t="shared" si="98"/>
        <v>1646816250.7785525</v>
      </c>
      <c r="BC48" s="21">
        <f t="shared" si="99"/>
        <v>74122.740124844946</v>
      </c>
      <c r="BD48" s="319">
        <f t="shared" si="100"/>
        <v>22217.422723509946</v>
      </c>
      <c r="BE48" s="21">
        <f t="shared" si="157"/>
        <v>22675.116666666669</v>
      </c>
      <c r="BF48" s="21">
        <f t="shared" si="158"/>
        <v>2020307544.7666669</v>
      </c>
      <c r="BG48" s="21">
        <f t="shared" si="59"/>
        <v>1778383443.1627562</v>
      </c>
      <c r="BH48" s="21">
        <f t="shared" si="223"/>
        <v>78980.089795948763</v>
      </c>
      <c r="BI48" s="332">
        <f t="shared" si="56"/>
        <v>22516.857701192148</v>
      </c>
      <c r="BJ48" s="141">
        <f t="shared" si="101"/>
        <v>1059744165.8197818</v>
      </c>
      <c r="BK48" s="118">
        <f t="shared" si="102"/>
        <v>114058.49112785935</v>
      </c>
      <c r="BL48" s="329">
        <f t="shared" si="107"/>
        <v>9291.2343074204855</v>
      </c>
      <c r="BM48" s="118">
        <f t="shared" si="159"/>
        <v>9324.5</v>
      </c>
      <c r="BN48" s="118">
        <f t="shared" si="160"/>
        <v>1147696758</v>
      </c>
      <c r="BO48" s="118">
        <f t="shared" si="60"/>
        <v>1021189488.8531767</v>
      </c>
      <c r="BP48" s="118">
        <f t="shared" si="224"/>
        <v>109454.59201518055</v>
      </c>
      <c r="BQ48" s="325">
        <f t="shared" si="61"/>
        <v>9329.80033136979</v>
      </c>
      <c r="BR48" s="6">
        <f t="shared" si="161"/>
        <v>2009605390</v>
      </c>
      <c r="BS48" s="8">
        <f t="shared" si="162"/>
        <v>2033038164</v>
      </c>
      <c r="BT48" s="331">
        <f t="shared" ref="BT48:BT67" si="233">AVERAGE(AX36:AX48)/AVERAGE(R36:R48)</f>
        <v>22072.185399252463</v>
      </c>
      <c r="BU48" s="319">
        <f t="shared" si="207"/>
        <v>22388.34898480196</v>
      </c>
      <c r="BV48" s="319">
        <f t="shared" si="208"/>
        <v>22627.705252637177</v>
      </c>
      <c r="BW48" s="331">
        <f t="shared" si="172"/>
        <v>21685.277007240569</v>
      </c>
      <c r="BX48" s="319">
        <f t="shared" ref="BX48:BX67" si="234">AVERAGE(BR36:BR48)/AVERAGE(R36:R48)</f>
        <v>21957.015982962759</v>
      </c>
      <c r="BY48" s="332">
        <f t="shared" ref="BY48:BY67" si="235">AVERAGE(BS36:BS48)/AVERAGE(R36:R48)</f>
        <v>22188.165408689678</v>
      </c>
      <c r="BZ48" s="140">
        <f t="shared" si="163"/>
        <v>1144311948</v>
      </c>
      <c r="CA48" s="142">
        <f t="shared" si="164"/>
        <v>1152041623.1999998</v>
      </c>
      <c r="CB48" s="339">
        <f t="shared" ref="CB48:CB67" si="236">AVERAGE(AZ36:AZ48)/AVERAGE(X36:X48)</f>
        <v>9265.5236114709332</v>
      </c>
      <c r="CC48" s="329">
        <f t="shared" si="209"/>
        <v>9305.5643532798276</v>
      </c>
      <c r="CD48" s="329">
        <f t="shared" si="210"/>
        <v>9367.6769604676683</v>
      </c>
      <c r="CE48" s="339">
        <f t="shared" si="173"/>
        <v>9208.8482712728855</v>
      </c>
      <c r="CF48" s="329">
        <f t="shared" ref="CF48:CF67" si="237">AVERAGE(BZ36:BZ48)/AVERAGE(X36:X48)</f>
        <v>9236.2951153259255</v>
      </c>
      <c r="CG48" s="325">
        <f t="shared" ref="CG48:CG67" si="238">AVERAGE(CA36:CA48)/AVERAGE(X36:X48)</f>
        <v>9305.6987261103186</v>
      </c>
      <c r="CH48" s="20">
        <f t="shared" ref="CH48:CH67" si="239">((BF48-CH47)*(2/(1+12)))+CH47</f>
        <v>1657067130.2193413</v>
      </c>
      <c r="CI48" s="21">
        <f t="shared" ref="CI48:CI67" si="240">((R48-CI47)*(2/(1+12)))+CI47</f>
        <v>74492.445571880919</v>
      </c>
      <c r="CJ48" s="21">
        <f t="shared" si="94"/>
        <v>22244.767472701202</v>
      </c>
      <c r="CK48" s="21">
        <f t="shared" si="142"/>
        <v>1547372047.3331177</v>
      </c>
      <c r="CL48" s="21">
        <f t="shared" si="143"/>
        <v>70638.317782485552</v>
      </c>
      <c r="CM48" s="21">
        <f t="shared" si="148"/>
        <v>21905.561965644396</v>
      </c>
      <c r="CN48" s="342">
        <f t="shared" si="144"/>
        <v>339.2055070568058</v>
      </c>
      <c r="CO48" s="342">
        <f t="shared" si="211"/>
        <v>280.00216854117627</v>
      </c>
      <c r="CP48" s="343">
        <f t="shared" si="212"/>
        <v>59.203338515629525</v>
      </c>
      <c r="CQ48" s="141">
        <f t="shared" ref="CQ48:CQ67" si="241">((BN48-CQ47)*(2/(1+12)))+CQ47</f>
        <v>1058809398.831533</v>
      </c>
      <c r="CR48" s="118">
        <f t="shared" ref="CR48:CR67" si="242">((X48-CR47)*(2/(1+12)))+CR47</f>
        <v>113899.64136281397</v>
      </c>
      <c r="CS48" s="118">
        <f t="shared" si="104"/>
        <v>9295.9853618750185</v>
      </c>
      <c r="CT48" s="118">
        <f t="shared" si="145"/>
        <v>1051576645.6463835</v>
      </c>
      <c r="CU48" s="118">
        <f t="shared" si="146"/>
        <v>113880.53684881389</v>
      </c>
      <c r="CV48" s="118">
        <f t="shared" si="149"/>
        <v>9234.0330906802901</v>
      </c>
      <c r="CW48" s="350">
        <f t="shared" si="150"/>
        <v>61.952271194728382</v>
      </c>
      <c r="CX48" s="350">
        <f t="shared" si="213"/>
        <v>60.279499335787008</v>
      </c>
      <c r="CY48" s="351">
        <f t="shared" si="214"/>
        <v>1.672771858941374</v>
      </c>
      <c r="CZ48" s="20">
        <f t="shared" si="174"/>
        <v>22.316666666669335</v>
      </c>
      <c r="DA48" s="21">
        <f t="shared" si="175"/>
        <v>2020307544.7666669</v>
      </c>
      <c r="DB48" s="21">
        <f t="shared" si="176"/>
        <v>0</v>
      </c>
      <c r="DC48" s="21">
        <f t="shared" si="215"/>
        <v>1295925086.1733878</v>
      </c>
      <c r="DD48" s="21">
        <f t="shared" si="216"/>
        <v>341693755.96573651</v>
      </c>
      <c r="DE48" s="21">
        <f t="shared" si="217"/>
        <v>3.7926507685535151</v>
      </c>
      <c r="DF48" s="342">
        <f t="shared" si="218"/>
        <v>79.13472004759042</v>
      </c>
      <c r="DG48" s="342">
        <v>0</v>
      </c>
      <c r="DH48" s="355">
        <f t="shared" si="195"/>
        <v>65.578938982211966</v>
      </c>
      <c r="DI48" s="141">
        <f t="shared" si="177"/>
        <v>-40.08333333333394</v>
      </c>
      <c r="DJ48" s="118">
        <f t="shared" si="178"/>
        <v>0</v>
      </c>
      <c r="DK48" s="118">
        <f t="shared" si="179"/>
        <v>1147696758</v>
      </c>
      <c r="DL48" s="118">
        <f t="shared" si="219"/>
        <v>595901263.11538672</v>
      </c>
      <c r="DM48" s="118">
        <f t="shared" si="220"/>
        <v>464796603.43555069</v>
      </c>
      <c r="DN48" s="118">
        <f t="shared" si="221"/>
        <v>1.2820688849935091</v>
      </c>
      <c r="DO48" s="350">
        <f t="shared" si="222"/>
        <v>56.180113292117198</v>
      </c>
      <c r="DP48" s="350">
        <v>0</v>
      </c>
      <c r="DQ48" s="351">
        <f t="shared" si="196"/>
        <v>55.023063582498338</v>
      </c>
      <c r="DR48" s="135">
        <f t="shared" si="180"/>
        <v>263</v>
      </c>
      <c r="DS48" s="20">
        <f t="shared" si="181"/>
        <v>23432774</v>
      </c>
      <c r="DT48" s="21">
        <f t="shared" si="140"/>
        <v>17820350.920121666</v>
      </c>
      <c r="DU48" s="21">
        <f t="shared" si="135"/>
        <v>71720.791633460321</v>
      </c>
      <c r="DV48" s="319">
        <f t="shared" si="136"/>
        <v>248.46840803424476</v>
      </c>
      <c r="DW48" s="21">
        <f t="shared" si="137"/>
        <v>4969.368160684895</v>
      </c>
      <c r="DX48" s="21">
        <f>DW48*'Base Data'!$D$10</f>
        <v>9938.7363213697899</v>
      </c>
      <c r="DY48" s="363">
        <f>IF(INT(('Base Data'!$D$7)/DX48)=0,0,INT(('Base Data'!$D$7)/DX48))</f>
        <v>1</v>
      </c>
      <c r="DZ48" s="364">
        <f t="shared" si="126"/>
        <v>1.0968769599368046E-2</v>
      </c>
      <c r="EA48" s="141">
        <f t="shared" si="182"/>
        <v>79.950000000000728</v>
      </c>
      <c r="EB48" s="143">
        <f t="shared" si="183"/>
        <v>9840565.8000000902</v>
      </c>
      <c r="EC48" s="118">
        <f t="shared" si="141"/>
        <v>7945553.3520811386</v>
      </c>
      <c r="ED48" s="118">
        <f t="shared" si="138"/>
        <v>113796.36490763984</v>
      </c>
      <c r="EE48" s="329">
        <f t="shared" si="139"/>
        <v>69.822558554747872</v>
      </c>
      <c r="EF48" s="118">
        <f t="shared" si="127"/>
        <v>5236.6918916060904</v>
      </c>
      <c r="EG48" s="118">
        <f>EF48*'Base Data'!$D$10</f>
        <v>10473.383783212181</v>
      </c>
      <c r="EH48" s="375">
        <f>IF(INT(('Base Data'!$D$7)/EG48)=0,0,INT(('Base Data'!$D$7)/EG48))</f>
        <v>1</v>
      </c>
      <c r="EI48" s="376">
        <f t="shared" si="128"/>
        <v>7.4943444089374846E-3</v>
      </c>
      <c r="EJ48" s="135">
        <f t="shared" si="184"/>
        <v>263</v>
      </c>
      <c r="EK48" s="21">
        <f t="shared" si="185"/>
        <v>23432774</v>
      </c>
      <c r="EL48" s="21">
        <f t="shared" si="78"/>
        <v>20632322.803336207</v>
      </c>
      <c r="EM48" s="21">
        <f t="shared" si="231"/>
        <v>76350.849311472746</v>
      </c>
      <c r="EN48" s="319">
        <f t="shared" si="75"/>
        <v>270.23042951581056</v>
      </c>
      <c r="EO48" s="21">
        <f t="shared" si="64"/>
        <v>5404.6085903162111</v>
      </c>
      <c r="EP48" s="21">
        <f>EO48*'Base Data'!$D$13</f>
        <v>4053.4564427371583</v>
      </c>
      <c r="EQ48" s="363">
        <f>IF(INT(('Base Data'!$D$7)/EP48)=0,0,INT(('Base Data'!$D$7)/EP48))</f>
        <v>2</v>
      </c>
      <c r="ER48" s="314">
        <f t="shared" si="227"/>
        <v>1.1929465574909913E-2</v>
      </c>
      <c r="ES48" s="143">
        <f t="shared" si="186"/>
        <v>79.950000000000728</v>
      </c>
      <c r="ET48" s="118">
        <f t="shared" si="187"/>
        <v>9840565.8000000902</v>
      </c>
      <c r="EU48" s="118">
        <f t="shared" si="79"/>
        <v>7575722.0276708864</v>
      </c>
      <c r="EV48" s="118">
        <f t="shared" si="232"/>
        <v>112365.74224916028</v>
      </c>
      <c r="EW48" s="329">
        <f t="shared" si="77"/>
        <v>67.420210786953618</v>
      </c>
      <c r="EX48" s="118">
        <f t="shared" si="66"/>
        <v>5056.5158090215209</v>
      </c>
      <c r="EY48" s="118">
        <f>EX48*'Base Data'!$D$13</f>
        <v>3792.3868567661407</v>
      </c>
      <c r="EZ48" s="375">
        <f>IF(INT(('Base Data'!$D$7)/EY48)=0,0,INT(('Base Data'!$D$7)/EY48))</f>
        <v>2</v>
      </c>
      <c r="FA48" s="385">
        <f t="shared" si="228"/>
        <v>7.2364904726945822E-3</v>
      </c>
      <c r="FB48" s="397">
        <f t="shared" si="129"/>
        <v>3.2039460122014609</v>
      </c>
      <c r="FC48" s="403">
        <f t="shared" si="229"/>
        <v>1.5346933136894272</v>
      </c>
      <c r="FD48" s="510">
        <f t="shared" si="130"/>
        <v>1.0052806899969688</v>
      </c>
      <c r="FE48" s="509">
        <f t="shared" si="230"/>
        <v>1.8138725055810406E-2</v>
      </c>
      <c r="FF48" s="20">
        <f t="shared" si="165"/>
        <v>263</v>
      </c>
      <c r="FG48" s="17">
        <f t="shared" si="166"/>
        <v>1.1535340687295774E-2</v>
      </c>
      <c r="FH48" s="388">
        <f t="shared" si="70"/>
        <v>9.6671329477173648E-3</v>
      </c>
      <c r="FI48" s="388">
        <f t="shared" si="105"/>
        <v>1.01584461965246E-2</v>
      </c>
      <c r="FJ48" s="314">
        <f t="shared" si="131"/>
        <v>9.9575221183891699E-3</v>
      </c>
      <c r="FK48" s="442">
        <f t="shared" si="167"/>
        <v>62.799999999999272</v>
      </c>
      <c r="FL48" s="18">
        <f t="shared" si="168"/>
        <v>6.7095450757494049E-3</v>
      </c>
      <c r="FM48" s="394">
        <f t="shared" si="71"/>
        <v>6.110697614544516E-3</v>
      </c>
      <c r="FN48" s="394">
        <f t="shared" si="106"/>
        <v>7.4296772834023892E-3</v>
      </c>
      <c r="FO48" s="385">
        <f t="shared" si="132"/>
        <v>7.0843095963635276E-3</v>
      </c>
      <c r="FP48" s="416">
        <f t="shared" si="188"/>
        <v>2</v>
      </c>
      <c r="FQ48" s="417">
        <f t="shared" si="189"/>
        <v>2</v>
      </c>
      <c r="FR48" s="415">
        <f t="shared" si="122"/>
        <v>66.239316239316238</v>
      </c>
      <c r="FS48" s="413" t="str">
        <f t="shared" si="133"/>
        <v>T-D</v>
      </c>
      <c r="FT48" s="404">
        <f t="shared" si="123"/>
        <v>10.488780657506133</v>
      </c>
      <c r="FU48" s="414" t="str">
        <f t="shared" si="134"/>
        <v>C-D</v>
      </c>
      <c r="FV48" s="415">
        <f t="shared" si="225"/>
        <v>68.624073494101424</v>
      </c>
      <c r="FW48" s="413" t="str">
        <f t="shared" si="72"/>
        <v>T-D</v>
      </c>
      <c r="FX48" s="404">
        <f t="shared" si="226"/>
        <v>16.30318198069434</v>
      </c>
      <c r="FY48" s="414" t="str">
        <f t="shared" si="73"/>
        <v>C-D</v>
      </c>
    </row>
    <row r="49" spans="1:181" ht="11.15" thickBot="1" x14ac:dyDescent="0.35">
      <c r="A49" s="102">
        <f>90-A39</f>
        <v>3.75</v>
      </c>
      <c r="B49" s="103">
        <f t="shared" si="197"/>
        <v>2.0833333333333332E-2</v>
      </c>
      <c r="C49" s="104">
        <f t="shared" ca="1" si="190"/>
        <v>79.271429193731109</v>
      </c>
      <c r="D49" s="105" t="s">
        <v>35</v>
      </c>
      <c r="E49" s="273">
        <f t="shared" ca="1" si="191"/>
        <v>10609.176488108204</v>
      </c>
      <c r="F49" s="268">
        <f t="shared" ca="1" si="192"/>
        <v>10605.888933102</v>
      </c>
      <c r="G49" s="105" t="s">
        <v>34</v>
      </c>
      <c r="H49" s="104">
        <f t="shared" ca="1" si="193"/>
        <v>78.531211104053796</v>
      </c>
      <c r="I49" s="103">
        <f t="shared" si="194"/>
        <v>2.0833333333333332E-2</v>
      </c>
      <c r="J49" s="106">
        <f>90-J39</f>
        <v>3.75</v>
      </c>
      <c r="L49" s="283">
        <f t="shared" si="35"/>
        <v>46</v>
      </c>
      <c r="M49" s="290">
        <f>'[4]BANKNIFTY-I'!C65</f>
        <v>42863</v>
      </c>
      <c r="N49" s="7">
        <f>'[4]BANKNIFTY-I'!D65</f>
        <v>22709.95</v>
      </c>
      <c r="O49" s="7">
        <f>'[4]BANKNIFTY-I'!E65</f>
        <v>22838.35</v>
      </c>
      <c r="P49" s="7">
        <f>'[4]BANKNIFTY-I'!F65</f>
        <v>22642.25</v>
      </c>
      <c r="Q49" s="7">
        <f>'[4]BANKNIFTY-I'!G65</f>
        <v>22785.35</v>
      </c>
      <c r="R49" s="11">
        <f>'[4]BANKNIFTY-I'!H65</f>
        <v>50206</v>
      </c>
      <c r="S49" s="291">
        <f>'[5]NIFTY-I'!C65</f>
        <v>42863</v>
      </c>
      <c r="T49" s="9">
        <f>'[5]NIFTY-I'!D65</f>
        <v>9336.1</v>
      </c>
      <c r="U49" s="9">
        <f>'[5]NIFTY-I'!E65</f>
        <v>9363.4500000000007</v>
      </c>
      <c r="V49" s="9">
        <f>'[5]NIFTY-I'!F65</f>
        <v>9322.15</v>
      </c>
      <c r="W49" s="9">
        <f>'[5]NIFTY-I'!G65</f>
        <v>9343.6</v>
      </c>
      <c r="X49" s="12">
        <f>'[5]NIFTY-I'!H65</f>
        <v>75939</v>
      </c>
      <c r="Y49" s="115"/>
      <c r="Z49" s="122">
        <f t="shared" si="36"/>
        <v>5.854186274490557E-3</v>
      </c>
      <c r="AA49" s="19">
        <f t="shared" si="169"/>
        <v>2.8831282062658408E-3</v>
      </c>
      <c r="AB49" s="305">
        <f>IF(OR(SUM(Z29:Z49)=0,SUM('BNF-Nifty'!AA29:AA49)=0),0,(_xlfn.COVARIANCE.P(Z29:Z49,'BNF-Nifty'!AA29:AA49)/_xlfn.VAR.P('BNF-Nifty'!AA29:AA49)))</f>
        <v>1.132820025400844</v>
      </c>
      <c r="AC49" s="306">
        <f>IF(OR(SUM(AA29:AA49)=0,SUM('BNF-Nifty'!AA29:AA49)=0),0,(_xlfn.COVARIANCE.P(AA29:AA49,'BNF-Nifty'!AA29:AA49)/_xlfn.VAR.P('BNF-Nifty'!AA29:AA49)))</f>
        <v>1.0000000000000002</v>
      </c>
      <c r="AD49" s="122">
        <f t="shared" si="151"/>
        <v>-9.8796447851453228E-4</v>
      </c>
      <c r="AE49" s="364">
        <f t="shared" si="124"/>
        <v>-9.0274142375539723E-3</v>
      </c>
      <c r="AF49" s="513">
        <f t="shared" si="152"/>
        <v>7.2750618379324847E-4</v>
      </c>
      <c r="AG49" s="522">
        <f t="shared" si="125"/>
        <v>0.15889469110233406</v>
      </c>
      <c r="AH49" s="466">
        <f t="shared" si="170"/>
        <v>5.854186274490557E-3</v>
      </c>
      <c r="AI49" s="17">
        <f t="shared" si="38"/>
        <v>6.8041101905056255E-3</v>
      </c>
      <c r="AJ49" s="17">
        <f t="shared" si="39"/>
        <v>6.7508851546783082E-3</v>
      </c>
      <c r="AK49" s="314">
        <f t="shared" si="40"/>
        <v>0.12897547978454829</v>
      </c>
      <c r="AL49" s="467">
        <f t="shared" si="171"/>
        <v>2.8831282062658408E-3</v>
      </c>
      <c r="AM49" s="18">
        <f t="shared" si="198"/>
        <v>4.3740407862703822E-3</v>
      </c>
      <c r="AN49" s="18">
        <f t="shared" si="199"/>
        <v>4.299191148016723E-3</v>
      </c>
      <c r="AO49" s="385">
        <f t="shared" si="200"/>
        <v>8.2135931555091357E-2</v>
      </c>
      <c r="AP49" s="10">
        <f t="shared" si="153"/>
        <v>8.6235104745951991E-3</v>
      </c>
      <c r="AQ49" s="17">
        <f t="shared" si="201"/>
        <v>9.8625995062371161E-3</v>
      </c>
      <c r="AR49" s="17">
        <f t="shared" si="202"/>
        <v>9.7926764908032211E-3</v>
      </c>
      <c r="AS49" s="314">
        <f t="shared" si="203"/>
        <v>0.18708882166377144</v>
      </c>
      <c r="AT49" s="448">
        <f t="shared" si="154"/>
        <v>4.4205235318839266E-3</v>
      </c>
      <c r="AU49" s="18">
        <f t="shared" si="204"/>
        <v>6.9946306721528585E-3</v>
      </c>
      <c r="AV49" s="18">
        <f t="shared" si="205"/>
        <v>6.8674470105846925E-3</v>
      </c>
      <c r="AW49" s="385">
        <f t="shared" si="206"/>
        <v>0.1312023909148147</v>
      </c>
      <c r="AX49" s="6">
        <f t="shared" si="155"/>
        <v>1140175749.7</v>
      </c>
      <c r="AY49" s="319">
        <v>0</v>
      </c>
      <c r="AZ49" s="140">
        <f t="shared" si="156"/>
        <v>708974097.89999998</v>
      </c>
      <c r="BA49" s="481">
        <v>0</v>
      </c>
      <c r="BB49" s="135">
        <f t="shared" ref="BB49:BB67" si="243">((AX49-BB48)*(2/(1+13)))+BB48</f>
        <v>1574439036.3387594</v>
      </c>
      <c r="BC49" s="21">
        <f t="shared" ref="BC49:BC67" si="244">((R49-BC48)*(2/(1+13)))+BC48</f>
        <v>70706.062964152807</v>
      </c>
      <c r="BD49" s="319">
        <f t="shared" si="100"/>
        <v>22267.383733937819</v>
      </c>
      <c r="BE49" s="21">
        <f t="shared" si="157"/>
        <v>22755.316666666666</v>
      </c>
      <c r="BF49" s="21">
        <f t="shared" si="158"/>
        <v>1142453428.5666666</v>
      </c>
      <c r="BG49" s="21">
        <f t="shared" si="59"/>
        <v>1566406771.6307263</v>
      </c>
      <c r="BH49" s="21">
        <f t="shared" si="223"/>
        <v>69388.726530632513</v>
      </c>
      <c r="BI49" s="332">
        <f t="shared" si="56"/>
        <v>22574.369785259234</v>
      </c>
      <c r="BJ49" s="141">
        <f t="shared" ref="BJ49:BJ67" si="245">((AZ49-BJ48)*(2/(1+13)))+BJ48</f>
        <v>1009634156.1169558</v>
      </c>
      <c r="BK49" s="118">
        <f t="shared" ref="BK49:BK67" si="246">((X49-BK48)*(2/(1+13)))+BK48</f>
        <v>108612.84953816516</v>
      </c>
      <c r="BL49" s="329">
        <f t="shared" si="107"/>
        <v>9295.7155659762266</v>
      </c>
      <c r="BM49" s="118">
        <f t="shared" si="159"/>
        <v>9343.0666666666657</v>
      </c>
      <c r="BN49" s="118">
        <f t="shared" si="160"/>
        <v>709503139.5999999</v>
      </c>
      <c r="BO49" s="118">
        <f t="shared" si="60"/>
        <v>917294039.10211778</v>
      </c>
      <c r="BP49" s="118">
        <f t="shared" si="224"/>
        <v>98282.728010120365</v>
      </c>
      <c r="BQ49" s="325">
        <f t="shared" si="61"/>
        <v>9333.2171142793486</v>
      </c>
      <c r="BR49" s="6">
        <f t="shared" si="161"/>
        <v>1136776803.5</v>
      </c>
      <c r="BS49" s="8">
        <f t="shared" si="162"/>
        <v>1146622200.0999999</v>
      </c>
      <c r="BT49" s="331">
        <f t="shared" si="233"/>
        <v>22139.65870556466</v>
      </c>
      <c r="BU49" s="319">
        <f t="shared" si="207"/>
        <v>22457.054275151579</v>
      </c>
      <c r="BV49" s="319">
        <f t="shared" si="208"/>
        <v>22699.109745716531</v>
      </c>
      <c r="BW49" s="331">
        <f t="shared" si="172"/>
        <v>21718.404483810344</v>
      </c>
      <c r="BX49" s="319">
        <f t="shared" si="234"/>
        <v>22022.776019294222</v>
      </c>
      <c r="BY49" s="332">
        <f t="shared" si="235"/>
        <v>22244.712512702597</v>
      </c>
      <c r="BZ49" s="140">
        <f t="shared" si="163"/>
        <v>707914748.85000002</v>
      </c>
      <c r="CA49" s="142">
        <f t="shared" si="164"/>
        <v>711051029.55000007</v>
      </c>
      <c r="CB49" s="339">
        <f t="shared" si="236"/>
        <v>9280.0925685200109</v>
      </c>
      <c r="CC49" s="329">
        <f t="shared" si="209"/>
        <v>9306.6838008761933</v>
      </c>
      <c r="CD49" s="329">
        <f t="shared" si="210"/>
        <v>9368.86060308591</v>
      </c>
      <c r="CE49" s="339">
        <f t="shared" si="173"/>
        <v>9212.7243159444515</v>
      </c>
      <c r="CF49" s="329">
        <f t="shared" si="237"/>
        <v>9254.7728201026493</v>
      </c>
      <c r="CG49" s="325">
        <f t="shared" si="238"/>
        <v>9315.5396352485623</v>
      </c>
      <c r="CH49" s="20">
        <f t="shared" si="239"/>
        <v>1577895791.5035453</v>
      </c>
      <c r="CI49" s="21">
        <f t="shared" si="240"/>
        <v>70756.069330053084</v>
      </c>
      <c r="CJ49" s="21">
        <f t="shared" si="94"/>
        <v>22300.500952691367</v>
      </c>
      <c r="CK49" s="21">
        <f t="shared" si="142"/>
        <v>1517378075.5726399</v>
      </c>
      <c r="CL49" s="21">
        <f t="shared" si="143"/>
        <v>69124.812761560694</v>
      </c>
      <c r="CM49" s="21">
        <f t="shared" si="148"/>
        <v>21951.279359073098</v>
      </c>
      <c r="CN49" s="342">
        <f t="shared" si="144"/>
        <v>349.22159361826925</v>
      </c>
      <c r="CO49" s="342">
        <f t="shared" si="211"/>
        <v>293.84605355659488</v>
      </c>
      <c r="CP49" s="343">
        <f t="shared" si="212"/>
        <v>55.375540061674371</v>
      </c>
      <c r="CQ49" s="141">
        <f t="shared" si="241"/>
        <v>1005069974.3343741</v>
      </c>
      <c r="CR49" s="118">
        <f t="shared" si="242"/>
        <v>108059.54269161182</v>
      </c>
      <c r="CS49" s="118">
        <f t="shared" si="104"/>
        <v>9301.0755857325421</v>
      </c>
      <c r="CT49" s="118">
        <f t="shared" si="145"/>
        <v>1026237867.4207255</v>
      </c>
      <c r="CU49" s="118">
        <f t="shared" si="146"/>
        <v>111070.05263779064</v>
      </c>
      <c r="CV49" s="118">
        <f t="shared" si="149"/>
        <v>9239.5550650126988</v>
      </c>
      <c r="CW49" s="350">
        <f t="shared" si="150"/>
        <v>61.520520719843262</v>
      </c>
      <c r="CX49" s="350">
        <f t="shared" si="213"/>
        <v>60.527703612598259</v>
      </c>
      <c r="CY49" s="351">
        <f t="shared" si="214"/>
        <v>0.99281710724500272</v>
      </c>
      <c r="CZ49" s="20">
        <f t="shared" si="174"/>
        <v>80.19999999999709</v>
      </c>
      <c r="DA49" s="21">
        <f t="shared" si="175"/>
        <v>1142453428.5666666</v>
      </c>
      <c r="DB49" s="21">
        <f t="shared" si="176"/>
        <v>0</v>
      </c>
      <c r="DC49" s="21">
        <f t="shared" si="215"/>
        <v>1275462198.4924917</v>
      </c>
      <c r="DD49" s="21">
        <f t="shared" si="216"/>
        <v>296134588.50363833</v>
      </c>
      <c r="DE49" s="21">
        <f t="shared" si="217"/>
        <v>4.3070355439983379</v>
      </c>
      <c r="DF49" s="342">
        <f t="shared" si="218"/>
        <v>81.157088704052711</v>
      </c>
      <c r="DG49" s="342">
        <v>0</v>
      </c>
      <c r="DH49" s="355">
        <f t="shared" si="195"/>
        <v>66.024879978283536</v>
      </c>
      <c r="DI49" s="141">
        <f t="shared" si="177"/>
        <v>18.566666666665697</v>
      </c>
      <c r="DJ49" s="118">
        <f t="shared" si="178"/>
        <v>709503139.5999999</v>
      </c>
      <c r="DK49" s="118">
        <f t="shared" si="179"/>
        <v>0</v>
      </c>
      <c r="DL49" s="118">
        <f t="shared" si="219"/>
        <v>611048179.98000181</v>
      </c>
      <c r="DM49" s="118">
        <f t="shared" si="220"/>
        <v>402823722.97747725</v>
      </c>
      <c r="DN49" s="118">
        <f t="shared" si="221"/>
        <v>1.5169121010635385</v>
      </c>
      <c r="DO49" s="350">
        <f t="shared" si="222"/>
        <v>60.268775394363466</v>
      </c>
      <c r="DP49" s="350">
        <v>0</v>
      </c>
      <c r="DQ49" s="351">
        <f t="shared" si="196"/>
        <v>54.117295612553647</v>
      </c>
      <c r="DR49" s="135">
        <f t="shared" si="180"/>
        <v>196.09999999999854</v>
      </c>
      <c r="DS49" s="20">
        <f t="shared" si="181"/>
        <v>9845396.599999927</v>
      </c>
      <c r="DT49" s="21">
        <f t="shared" si="140"/>
        <v>17095355.072837871</v>
      </c>
      <c r="DU49" s="21">
        <f t="shared" si="135"/>
        <v>69764.901484963935</v>
      </c>
      <c r="DV49" s="319">
        <f t="shared" si="136"/>
        <v>245.0423452045201</v>
      </c>
      <c r="DW49" s="21">
        <f t="shared" si="137"/>
        <v>4900.8469040904019</v>
      </c>
      <c r="DX49" s="21">
        <f>DW49*'Base Data'!$D$10</f>
        <v>9801.6938081808039</v>
      </c>
      <c r="DY49" s="363">
        <f>IF(INT(('Base Data'!$D$7)/DX49)=0,0,INT(('Base Data'!$D$7)/DX49))</f>
        <v>1</v>
      </c>
      <c r="DZ49" s="364">
        <f t="shared" si="126"/>
        <v>1.0754381442660312E-2</v>
      </c>
      <c r="EA49" s="141">
        <f t="shared" si="182"/>
        <v>46.75</v>
      </c>
      <c r="EB49" s="143">
        <f t="shared" si="183"/>
        <v>3550148.25</v>
      </c>
      <c r="EC49" s="118">
        <f t="shared" si="141"/>
        <v>7545971.070073762</v>
      </c>
      <c r="ED49" s="118">
        <f t="shared" si="138"/>
        <v>110354.78627967258</v>
      </c>
      <c r="EE49" s="329">
        <f t="shared" si="139"/>
        <v>68.379191555407274</v>
      </c>
      <c r="EF49" s="118">
        <f t="shared" si="127"/>
        <v>5128.4393666555452</v>
      </c>
      <c r="EG49" s="118">
        <f>EF49*'Base Data'!$D$10</f>
        <v>10256.87873331109</v>
      </c>
      <c r="EH49" s="375">
        <f>IF(INT(('Base Data'!$D$7)/EG49)=0,0,INT(('Base Data'!$D$7)/EG49))</f>
        <v>1</v>
      </c>
      <c r="EI49" s="376">
        <f t="shared" si="128"/>
        <v>7.3182918313505789E-3</v>
      </c>
      <c r="EJ49" s="135">
        <f t="shared" si="184"/>
        <v>196.09999999999854</v>
      </c>
      <c r="EK49" s="21">
        <f t="shared" si="185"/>
        <v>9845396.599999927</v>
      </c>
      <c r="EL49" s="21">
        <f t="shared" si="78"/>
        <v>18235228.091483701</v>
      </c>
      <c r="EM49" s="21">
        <f t="shared" si="231"/>
        <v>70540.882797812141</v>
      </c>
      <c r="EN49" s="319">
        <f t="shared" si="75"/>
        <v>258.50581064813775</v>
      </c>
      <c r="EO49" s="21">
        <f t="shared" si="64"/>
        <v>5170.1162129627555</v>
      </c>
      <c r="EP49" s="21">
        <f>EO49*'Base Data'!$D$13</f>
        <v>3877.5871597220666</v>
      </c>
      <c r="EQ49" s="363">
        <f>IF(INT(('Base Data'!$D$7)/EP49)=0,0,INT(('Base Data'!$D$7)/EP49))</f>
        <v>2</v>
      </c>
      <c r="ER49" s="314">
        <f t="shared" si="227"/>
        <v>1.1345263980941165E-2</v>
      </c>
      <c r="ES49" s="143">
        <f t="shared" si="186"/>
        <v>46.75</v>
      </c>
      <c r="ET49" s="118">
        <f t="shared" si="187"/>
        <v>3550148.25</v>
      </c>
      <c r="EU49" s="118">
        <f t="shared" si="79"/>
        <v>6681150.0770773562</v>
      </c>
      <c r="EV49" s="118">
        <f t="shared" si="232"/>
        <v>104270.91063823577</v>
      </c>
      <c r="EW49" s="329">
        <f t="shared" si="77"/>
        <v>64.074918269941747</v>
      </c>
      <c r="EX49" s="118">
        <f t="shared" si="66"/>
        <v>4805.6188702456311</v>
      </c>
      <c r="EY49" s="118">
        <f>EX49*'Base Data'!$D$13</f>
        <v>3604.2141526842233</v>
      </c>
      <c r="EZ49" s="375">
        <f>IF(INT(('Base Data'!$D$7)/EY49)=0,0,INT(('Base Data'!$D$7)/EY49))</f>
        <v>2</v>
      </c>
      <c r="FA49" s="385">
        <f t="shared" si="228"/>
        <v>6.8576264255684905E-3</v>
      </c>
      <c r="FB49" s="397">
        <f t="shared" si="129"/>
        <v>3.5706915643104602</v>
      </c>
      <c r="FC49" s="403">
        <f t="shared" si="229"/>
        <v>1.6706507121981333</v>
      </c>
      <c r="FD49" s="510">
        <f t="shared" si="130"/>
        <v>1.3658661834447741</v>
      </c>
      <c r="FE49" s="509">
        <f t="shared" si="230"/>
        <v>0.18871138650115618</v>
      </c>
      <c r="FF49" s="20">
        <f t="shared" si="165"/>
        <v>196.09999999999854</v>
      </c>
      <c r="FG49" s="17">
        <f t="shared" si="166"/>
        <v>8.6349815829624699E-3</v>
      </c>
      <c r="FH49" s="388">
        <f t="shared" si="70"/>
        <v>9.8146253815312202E-3</v>
      </c>
      <c r="FI49" s="388">
        <f t="shared" si="105"/>
        <v>9.7522261088705698E-3</v>
      </c>
      <c r="FJ49" s="314">
        <f t="shared" si="131"/>
        <v>9.9397331397162551E-3</v>
      </c>
      <c r="FK49" s="442">
        <f t="shared" si="167"/>
        <v>41.300000000001091</v>
      </c>
      <c r="FL49" s="18">
        <f t="shared" si="168"/>
        <v>4.4236886922806194E-3</v>
      </c>
      <c r="FM49" s="394">
        <f t="shared" si="71"/>
        <v>5.9377930590797509E-3</v>
      </c>
      <c r="FN49" s="394">
        <f t="shared" si="106"/>
        <v>6.6674473901264554E-3</v>
      </c>
      <c r="FO49" s="385">
        <f t="shared" si="132"/>
        <v>7.0537873830238528E-3</v>
      </c>
      <c r="FP49" s="416">
        <f t="shared" si="188"/>
        <v>1</v>
      </c>
      <c r="FQ49" s="417">
        <f t="shared" si="189"/>
        <v>1</v>
      </c>
      <c r="FR49" s="415">
        <f t="shared" si="122"/>
        <v>77.050949185689745</v>
      </c>
      <c r="FS49" s="413" t="str">
        <f t="shared" si="133"/>
        <v>T-R</v>
      </c>
      <c r="FT49" s="404">
        <f t="shared" si="123"/>
        <v>24.821708123151918</v>
      </c>
      <c r="FU49" s="414" t="str">
        <f t="shared" si="134"/>
        <v>C-R</v>
      </c>
      <c r="FV49" s="415">
        <f t="shared" si="225"/>
        <v>70.886778490379925</v>
      </c>
      <c r="FW49" s="413" t="str">
        <f t="shared" si="72"/>
        <v>T-R</v>
      </c>
      <c r="FX49" s="404">
        <f t="shared" si="226"/>
        <v>1.4563106796116505</v>
      </c>
      <c r="FY49" s="414" t="str">
        <f t="shared" si="73"/>
        <v>C-D</v>
      </c>
    </row>
    <row r="50" spans="1:181" ht="11.15" thickBot="1" x14ac:dyDescent="0.35">
      <c r="E50" s="22"/>
      <c r="F50" s="22"/>
      <c r="G50" s="23"/>
      <c r="H50" s="23"/>
      <c r="I50" s="23"/>
      <c r="J50" s="23"/>
      <c r="L50" s="283">
        <f t="shared" si="35"/>
        <v>47</v>
      </c>
      <c r="M50" s="290">
        <f>'[4]BANKNIFTY-I'!C66</f>
        <v>42864</v>
      </c>
      <c r="N50" s="7">
        <f>'[4]BANKNIFTY-I'!D66</f>
        <v>22750.55</v>
      </c>
      <c r="O50" s="7">
        <f>'[4]BANKNIFTY-I'!E66</f>
        <v>22830</v>
      </c>
      <c r="P50" s="7">
        <f>'[4]BANKNIFTY-I'!F66</f>
        <v>22691.4</v>
      </c>
      <c r="Q50" s="7">
        <f>'[4]BANKNIFTY-I'!G66</f>
        <v>22762.85</v>
      </c>
      <c r="R50" s="11">
        <f>'[4]BANKNIFTY-I'!H66</f>
        <v>48488</v>
      </c>
      <c r="S50" s="291">
        <f>'[5]NIFTY-I'!C66</f>
        <v>42864</v>
      </c>
      <c r="T50" s="9">
        <f>'[5]NIFTY-I'!D66</f>
        <v>9350.25</v>
      </c>
      <c r="U50" s="9">
        <f>'[5]NIFTY-I'!E66</f>
        <v>9372.65</v>
      </c>
      <c r="V50" s="9">
        <f>'[5]NIFTY-I'!F66</f>
        <v>9331.9500000000007</v>
      </c>
      <c r="W50" s="9">
        <f>'[5]NIFTY-I'!G66</f>
        <v>9350.4</v>
      </c>
      <c r="X50" s="12">
        <f>'[5]NIFTY-I'!H66</f>
        <v>70846</v>
      </c>
      <c r="Y50" s="115"/>
      <c r="Z50" s="122">
        <f t="shared" si="36"/>
        <v>-9.8796447851453228E-4</v>
      </c>
      <c r="AA50" s="19">
        <f t="shared" si="169"/>
        <v>7.2750618379324847E-4</v>
      </c>
      <c r="AB50" s="305">
        <f>IF(OR(SUM(Z30:Z50)=0,SUM('BNF-Nifty'!AA30:AA50)=0),0,(_xlfn.COVARIANCE.P(Z30:Z50,'BNF-Nifty'!AA30:AA50)/_xlfn.VAR.P('BNF-Nifty'!AA30:AA50)))</f>
        <v>1.1178278654030307</v>
      </c>
      <c r="AC50" s="306">
        <f>IF(OR(SUM(AA30:AA50)=0,SUM('BNF-Nifty'!AA30:AA50)=0),0,(_xlfn.COVARIANCE.P(AA30:AA50,'BNF-Nifty'!AA30:AA50)/_xlfn.VAR.P('BNF-Nifty'!AA30:AA50)))</f>
        <v>1</v>
      </c>
      <c r="AD50" s="122">
        <f t="shared" si="151"/>
        <v>4.2982065679682321E-3</v>
      </c>
      <c r="AE50" s="364">
        <f t="shared" si="124"/>
        <v>-8.7158448821264181E-2</v>
      </c>
      <c r="AF50" s="513">
        <f t="shared" si="152"/>
        <v>7.3310361576714445E-3</v>
      </c>
      <c r="AG50" s="522">
        <f t="shared" si="125"/>
        <v>0.13049973760831052</v>
      </c>
      <c r="AH50" s="466">
        <f t="shared" si="170"/>
        <v>-9.8796447851453228E-4</v>
      </c>
      <c r="AI50" s="17">
        <f t="shared" si="38"/>
        <v>6.7508851546783082E-3</v>
      </c>
      <c r="AJ50" s="17">
        <f t="shared" si="39"/>
        <v>6.5496982967160403E-3</v>
      </c>
      <c r="AK50" s="314">
        <f t="shared" si="40"/>
        <v>0.12513181026010861</v>
      </c>
      <c r="AL50" s="467">
        <f t="shared" si="171"/>
        <v>7.2750618379324847E-4</v>
      </c>
      <c r="AM50" s="18">
        <f t="shared" si="198"/>
        <v>4.299191148016723E-3</v>
      </c>
      <c r="AN50" s="18">
        <f t="shared" si="199"/>
        <v>4.1720280164928986E-3</v>
      </c>
      <c r="AO50" s="385">
        <f t="shared" si="200"/>
        <v>7.9706483338537831E-2</v>
      </c>
      <c r="AP50" s="10">
        <f t="shared" si="153"/>
        <v>6.0894624634422545E-3</v>
      </c>
      <c r="AQ50" s="17">
        <f t="shared" si="201"/>
        <v>9.7926764908032211E-3</v>
      </c>
      <c r="AR50" s="17">
        <f t="shared" si="202"/>
        <v>9.6108072120888264E-3</v>
      </c>
      <c r="AS50" s="314">
        <f t="shared" si="203"/>
        <v>0.18361421397265951</v>
      </c>
      <c r="AT50" s="448">
        <f t="shared" si="154"/>
        <v>4.3518775311104027E-3</v>
      </c>
      <c r="AU50" s="18">
        <f t="shared" si="204"/>
        <v>6.8674470105846925E-3</v>
      </c>
      <c r="AV50" s="18">
        <f t="shared" si="205"/>
        <v>6.7430296617577122E-3</v>
      </c>
      <c r="AW50" s="385">
        <f t="shared" si="206"/>
        <v>0.12882540080302748</v>
      </c>
      <c r="AX50" s="6">
        <f t="shared" si="155"/>
        <v>1103128668.3999999</v>
      </c>
      <c r="AY50" s="319">
        <v>0</v>
      </c>
      <c r="AZ50" s="140">
        <f t="shared" si="156"/>
        <v>662427811.5</v>
      </c>
      <c r="BA50" s="481">
        <v>0</v>
      </c>
      <c r="BB50" s="135">
        <f t="shared" si="243"/>
        <v>1507108983.7760794</v>
      </c>
      <c r="BC50" s="21">
        <f t="shared" si="244"/>
        <v>67532.053969273838</v>
      </c>
      <c r="BD50" s="319">
        <f t="shared" si="100"/>
        <v>22316.942773009592</v>
      </c>
      <c r="BE50" s="21">
        <f t="shared" si="157"/>
        <v>22761.416666666668</v>
      </c>
      <c r="BF50" s="21">
        <f t="shared" si="158"/>
        <v>1103655571.3333335</v>
      </c>
      <c r="BG50" s="21">
        <f t="shared" si="59"/>
        <v>1412156371.5315955</v>
      </c>
      <c r="BH50" s="21">
        <f t="shared" si="223"/>
        <v>62421.81768708834</v>
      </c>
      <c r="BI50" s="332">
        <f t="shared" si="56"/>
        <v>22622.801191252292</v>
      </c>
      <c r="BJ50" s="141">
        <f t="shared" si="245"/>
        <v>960033249.74310493</v>
      </c>
      <c r="BK50" s="118">
        <f t="shared" si="246"/>
        <v>103217.58531842729</v>
      </c>
      <c r="BL50" s="329">
        <f t="shared" si="107"/>
        <v>9301.0628642531483</v>
      </c>
      <c r="BM50" s="118">
        <f t="shared" si="159"/>
        <v>9351.6666666666661</v>
      </c>
      <c r="BN50" s="118">
        <f t="shared" si="160"/>
        <v>662528176.66666663</v>
      </c>
      <c r="BO50" s="118">
        <f t="shared" si="60"/>
        <v>832372084.95696735</v>
      </c>
      <c r="BP50" s="118">
        <f t="shared" si="224"/>
        <v>89137.15200674691</v>
      </c>
      <c r="BQ50" s="325">
        <f t="shared" si="61"/>
        <v>9338.1050013126296</v>
      </c>
      <c r="BR50" s="6">
        <f t="shared" si="161"/>
        <v>1100260603.2</v>
      </c>
      <c r="BS50" s="8">
        <f t="shared" si="162"/>
        <v>1106981040</v>
      </c>
      <c r="BT50" s="331">
        <f t="shared" si="233"/>
        <v>22209.299315336335</v>
      </c>
      <c r="BU50" s="319">
        <f t="shared" si="207"/>
        <v>22521.490600032223</v>
      </c>
      <c r="BV50" s="319">
        <f t="shared" si="208"/>
        <v>22757.575964699779</v>
      </c>
      <c r="BW50" s="331">
        <f t="shared" si="172"/>
        <v>21741.819113330839</v>
      </c>
      <c r="BX50" s="319">
        <f t="shared" si="234"/>
        <v>22100.430500892111</v>
      </c>
      <c r="BY50" s="332">
        <f t="shared" si="235"/>
        <v>22318.542678003832</v>
      </c>
      <c r="BZ50" s="140">
        <f t="shared" si="163"/>
        <v>661131329.70000005</v>
      </c>
      <c r="CA50" s="142">
        <f t="shared" si="164"/>
        <v>664014761.89999998</v>
      </c>
      <c r="CB50" s="339">
        <f t="shared" si="236"/>
        <v>9294.3451742903508</v>
      </c>
      <c r="CC50" s="329">
        <f t="shared" si="209"/>
        <v>9317.6589027731243</v>
      </c>
      <c r="CD50" s="329">
        <f t="shared" si="210"/>
        <v>9368.6522955505316</v>
      </c>
      <c r="CE50" s="339">
        <f t="shared" si="173"/>
        <v>9215.2800851907796</v>
      </c>
      <c r="CF50" s="329">
        <f t="shared" si="237"/>
        <v>9269.2448197813119</v>
      </c>
      <c r="CG50" s="325">
        <f t="shared" si="238"/>
        <v>9329.7092201782143</v>
      </c>
      <c r="CH50" s="20">
        <f t="shared" si="239"/>
        <v>1504935757.6312051</v>
      </c>
      <c r="CI50" s="21">
        <f t="shared" si="240"/>
        <v>67330.212510044919</v>
      </c>
      <c r="CJ50" s="21">
        <f t="shared" si="94"/>
        <v>22351.567023595617</v>
      </c>
      <c r="CK50" s="21">
        <f t="shared" si="142"/>
        <v>1486731964.1475062</v>
      </c>
      <c r="CL50" s="21">
        <f t="shared" si="143"/>
        <v>67596.159964408056</v>
      </c>
      <c r="CM50" s="21">
        <f t="shared" si="148"/>
        <v>21994.325786114583</v>
      </c>
      <c r="CN50" s="342">
        <f t="shared" si="144"/>
        <v>357.24123748103375</v>
      </c>
      <c r="CO50" s="342">
        <f t="shared" si="211"/>
        <v>306.52509034148267</v>
      </c>
      <c r="CP50" s="343">
        <f t="shared" si="212"/>
        <v>50.716147139551083</v>
      </c>
      <c r="CQ50" s="141">
        <f t="shared" si="241"/>
        <v>952371236.23164988</v>
      </c>
      <c r="CR50" s="118">
        <f t="shared" si="242"/>
        <v>102334.3822775177</v>
      </c>
      <c r="CS50" s="118">
        <f t="shared" si="104"/>
        <v>9306.4639179522419</v>
      </c>
      <c r="CT50" s="118">
        <f t="shared" si="145"/>
        <v>999296408.84635079</v>
      </c>
      <c r="CU50" s="118">
        <f t="shared" si="146"/>
        <v>108090.49318313948</v>
      </c>
      <c r="CV50" s="118">
        <f t="shared" si="149"/>
        <v>9244.9981438536561</v>
      </c>
      <c r="CW50" s="350">
        <f t="shared" si="150"/>
        <v>61.465774098585825</v>
      </c>
      <c r="CX50" s="350">
        <f t="shared" si="213"/>
        <v>60.715317709795769</v>
      </c>
      <c r="CY50" s="351">
        <f t="shared" si="214"/>
        <v>0.75045638879005594</v>
      </c>
      <c r="CZ50" s="20">
        <f t="shared" si="174"/>
        <v>6.1000000000021828</v>
      </c>
      <c r="DA50" s="21">
        <f t="shared" si="175"/>
        <v>1103655571.3333335</v>
      </c>
      <c r="DB50" s="21">
        <f t="shared" si="176"/>
        <v>0</v>
      </c>
      <c r="DC50" s="21">
        <f t="shared" si="215"/>
        <v>1252554648.2046039</v>
      </c>
      <c r="DD50" s="21">
        <f t="shared" si="216"/>
        <v>256649976.70315322</v>
      </c>
      <c r="DE50" s="21">
        <f t="shared" si="217"/>
        <v>4.8804003970486818</v>
      </c>
      <c r="DF50" s="342">
        <f t="shared" si="218"/>
        <v>82.994355273802597</v>
      </c>
      <c r="DG50" s="342">
        <v>0</v>
      </c>
      <c r="DH50" s="355">
        <f t="shared" si="195"/>
        <v>67.134133756532108</v>
      </c>
      <c r="DI50" s="141">
        <f t="shared" si="177"/>
        <v>8.6000000000003638</v>
      </c>
      <c r="DJ50" s="118">
        <f t="shared" si="178"/>
        <v>662528176.66666663</v>
      </c>
      <c r="DK50" s="118">
        <f t="shared" si="179"/>
        <v>0</v>
      </c>
      <c r="DL50" s="118">
        <f t="shared" si="219"/>
        <v>617912179.53822374</v>
      </c>
      <c r="DM50" s="118">
        <f t="shared" si="220"/>
        <v>349113893.24714696</v>
      </c>
      <c r="DN50" s="118">
        <f t="shared" si="221"/>
        <v>1.7699443977750475</v>
      </c>
      <c r="DO50" s="350">
        <f t="shared" si="222"/>
        <v>63.898192295728094</v>
      </c>
      <c r="DP50" s="350">
        <v>0</v>
      </c>
      <c r="DQ50" s="351">
        <f t="shared" si="196"/>
        <v>53.846337429091307</v>
      </c>
      <c r="DR50" s="135">
        <f t="shared" si="180"/>
        <v>138.59999999999854</v>
      </c>
      <c r="DS50" s="20">
        <f t="shared" si="181"/>
        <v>6720436.799999929</v>
      </c>
      <c r="DT50" s="21">
        <f t="shared" si="140"/>
        <v>16152180.684398057</v>
      </c>
      <c r="DU50" s="21">
        <f t="shared" si="135"/>
        <v>67830.637713603574</v>
      </c>
      <c r="DV50" s="319">
        <f t="shared" si="136"/>
        <v>238.12514858840407</v>
      </c>
      <c r="DW50" s="21">
        <f t="shared" si="137"/>
        <v>4762.5029717680818</v>
      </c>
      <c r="DX50" s="21">
        <f>DW50*'Base Data'!$D$10</f>
        <v>9525.0059435361636</v>
      </c>
      <c r="DY50" s="363">
        <f>IF(INT(('Base Data'!$D$7)/DX50)=0,0,INT(('Base Data'!$D$7)/DX50))</f>
        <v>1</v>
      </c>
      <c r="DZ50" s="364">
        <f t="shared" si="126"/>
        <v>1.0461130683917175E-2</v>
      </c>
      <c r="EA50" s="141">
        <f t="shared" si="182"/>
        <v>40.699999999998909</v>
      </c>
      <c r="EB50" s="143">
        <f t="shared" si="183"/>
        <v>2883432.1999999229</v>
      </c>
      <c r="EC50" s="118">
        <f t="shared" si="141"/>
        <v>7122103.9000670491</v>
      </c>
      <c r="ED50" s="118">
        <f t="shared" si="138"/>
        <v>106763.07843606599</v>
      </c>
      <c r="EE50" s="329">
        <f t="shared" si="139"/>
        <v>66.70942805692934</v>
      </c>
      <c r="EF50" s="118">
        <f t="shared" si="127"/>
        <v>5003.2071042697007</v>
      </c>
      <c r="EG50" s="118">
        <f>EF50*'Base Data'!$D$10</f>
        <v>10006.414208539401</v>
      </c>
      <c r="EH50" s="375">
        <f>IF(INT(('Base Data'!$D$7)/EG50)=0,0,INT(('Base Data'!$D$7)/EG50))</f>
        <v>1</v>
      </c>
      <c r="EI50" s="376">
        <f t="shared" si="128"/>
        <v>7.13439297323423E-3</v>
      </c>
      <c r="EJ50" s="135">
        <f t="shared" si="184"/>
        <v>138.59999999999854</v>
      </c>
      <c r="EK50" s="21">
        <f t="shared" si="185"/>
        <v>6720436.799999929</v>
      </c>
      <c r="EL50" s="21">
        <f t="shared" si="78"/>
        <v>15676385.582265086</v>
      </c>
      <c r="EM50" s="21">
        <f t="shared" si="231"/>
        <v>65640.242176076106</v>
      </c>
      <c r="EN50" s="319">
        <f t="shared" si="75"/>
        <v>238.82278709780047</v>
      </c>
      <c r="EO50" s="21">
        <f t="shared" si="64"/>
        <v>4776.4557419560097</v>
      </c>
      <c r="EP50" s="21">
        <f>EO50*'Base Data'!$D$13</f>
        <v>3582.3418064670072</v>
      </c>
      <c r="EQ50" s="363">
        <f>IF(INT(('Base Data'!$D$7)/EP50)=0,0,INT(('Base Data'!$D$7)/EP50))</f>
        <v>2</v>
      </c>
      <c r="ER50" s="314">
        <f t="shared" si="227"/>
        <v>1.0491778801766936E-2</v>
      </c>
      <c r="ES50" s="143">
        <f t="shared" si="186"/>
        <v>40.699999999998909</v>
      </c>
      <c r="ET50" s="118">
        <f t="shared" si="187"/>
        <v>2883432.1999999229</v>
      </c>
      <c r="EU50" s="118">
        <f t="shared" si="79"/>
        <v>5837212.7710601492</v>
      </c>
      <c r="EV50" s="118">
        <f t="shared" si="232"/>
        <v>96843.152718627825</v>
      </c>
      <c r="EW50" s="329">
        <f t="shared" si="77"/>
        <v>60.274914717200843</v>
      </c>
      <c r="EX50" s="118">
        <f t="shared" si="66"/>
        <v>4520.6186037900634</v>
      </c>
      <c r="EY50" s="118">
        <f>EX50*'Base Data'!$D$13</f>
        <v>3390.4639528425478</v>
      </c>
      <c r="EZ50" s="375">
        <f>IF(INT(('Base Data'!$D$7)/EY50)=0,0,INT(('Base Data'!$D$7)/EY50))</f>
        <v>3</v>
      </c>
      <c r="FA50" s="385">
        <f t="shared" si="228"/>
        <v>6.4462391680784612E-3</v>
      </c>
      <c r="FB50" s="397">
        <f t="shared" si="129"/>
        <v>3.3587813895405634</v>
      </c>
      <c r="FC50" s="403">
        <f t="shared" si="229"/>
        <v>1.2976759341076531</v>
      </c>
      <c r="FD50" s="510">
        <f t="shared" si="130"/>
        <v>1.4544123476851725</v>
      </c>
      <c r="FE50" s="509">
        <f t="shared" si="230"/>
        <v>0.17987029459158094</v>
      </c>
      <c r="FF50" s="20">
        <f t="shared" si="165"/>
        <v>138.59999999999854</v>
      </c>
      <c r="FG50" s="17">
        <f t="shared" si="166"/>
        <v>6.0921604093087224E-3</v>
      </c>
      <c r="FH50" s="388">
        <f t="shared" si="70"/>
        <v>9.3491129635279325E-3</v>
      </c>
      <c r="FI50" s="388">
        <f t="shared" si="105"/>
        <v>9.458189808055531E-3</v>
      </c>
      <c r="FJ50" s="314">
        <f t="shared" si="131"/>
        <v>9.739730740193046E-3</v>
      </c>
      <c r="FK50" s="442">
        <f t="shared" si="167"/>
        <v>40.699999999998909</v>
      </c>
      <c r="FL50" s="18">
        <f t="shared" si="168"/>
        <v>4.3528247907808782E-3</v>
      </c>
      <c r="FM50" s="394">
        <f t="shared" si="71"/>
        <v>5.6781736536972369E-3</v>
      </c>
      <c r="FN50" s="394">
        <f t="shared" si="106"/>
        <v>6.5767547914463969E-3</v>
      </c>
      <c r="FO50" s="385">
        <f t="shared" si="132"/>
        <v>6.9935073269279625E-3</v>
      </c>
      <c r="FP50" s="416">
        <f t="shared" si="188"/>
        <v>2</v>
      </c>
      <c r="FQ50" s="417">
        <f t="shared" si="189"/>
        <v>2</v>
      </c>
      <c r="FR50" s="415">
        <f t="shared" si="122"/>
        <v>89.064976228209076</v>
      </c>
      <c r="FS50" s="413" t="str">
        <f t="shared" si="133"/>
        <v>T-R</v>
      </c>
      <c r="FT50" s="404">
        <f t="shared" si="123"/>
        <v>48.338841537658226</v>
      </c>
      <c r="FU50" s="414" t="str">
        <f t="shared" si="134"/>
        <v>T-R</v>
      </c>
      <c r="FV50" s="415">
        <f t="shared" si="225"/>
        <v>64.190490297733589</v>
      </c>
      <c r="FW50" s="413" t="str">
        <f t="shared" si="72"/>
        <v>T-D</v>
      </c>
      <c r="FX50" s="404">
        <f t="shared" si="226"/>
        <v>4.5145631067957632</v>
      </c>
      <c r="FY50" s="414" t="str">
        <f t="shared" si="73"/>
        <v>C-R</v>
      </c>
    </row>
    <row r="51" spans="1:181" ht="11.15" thickBot="1" x14ac:dyDescent="0.35">
      <c r="A51" s="151" t="s">
        <v>7</v>
      </c>
      <c r="B51" s="152" t="s">
        <v>45</v>
      </c>
      <c r="C51" s="152" t="s">
        <v>46</v>
      </c>
      <c r="D51" s="152" t="s">
        <v>47</v>
      </c>
      <c r="E51" s="152" t="s">
        <v>48</v>
      </c>
      <c r="F51" s="152" t="s">
        <v>49</v>
      </c>
      <c r="G51" s="152" t="s">
        <v>50</v>
      </c>
      <c r="H51" s="152" t="s">
        <v>51</v>
      </c>
      <c r="I51" s="152" t="s">
        <v>52</v>
      </c>
      <c r="J51" s="153" t="s">
        <v>53</v>
      </c>
      <c r="L51" s="283">
        <f t="shared" si="35"/>
        <v>48</v>
      </c>
      <c r="M51" s="290">
        <f>'[4]BANKNIFTY-I'!C67</f>
        <v>42865</v>
      </c>
      <c r="N51" s="7">
        <f>'[4]BANKNIFTY-I'!D67</f>
        <v>22800</v>
      </c>
      <c r="O51" s="7">
        <f>'[4]BANKNIFTY-I'!E67</f>
        <v>22878.5</v>
      </c>
      <c r="P51" s="7">
        <f>'[4]BANKNIFTY-I'!F67</f>
        <v>22770.3</v>
      </c>
      <c r="Q51" s="7">
        <f>'[4]BANKNIFTY-I'!G67</f>
        <v>22860.9</v>
      </c>
      <c r="R51" s="11">
        <f>'[4]BANKNIFTY-I'!H67</f>
        <v>53021</v>
      </c>
      <c r="S51" s="291">
        <f>'[5]NIFTY-I'!C67</f>
        <v>42865</v>
      </c>
      <c r="T51" s="9">
        <f>'[5]NIFTY-I'!D67</f>
        <v>9359.35</v>
      </c>
      <c r="U51" s="9">
        <f>'[5]NIFTY-I'!E67</f>
        <v>9424.5</v>
      </c>
      <c r="V51" s="9">
        <f>'[5]NIFTY-I'!F67</f>
        <v>9357.9500000000007</v>
      </c>
      <c r="W51" s="9">
        <f>'[5]NIFTY-I'!G67</f>
        <v>9419.2000000000007</v>
      </c>
      <c r="X51" s="12">
        <f>'[5]NIFTY-I'!H67</f>
        <v>111474</v>
      </c>
      <c r="Y51" s="115"/>
      <c r="Z51" s="122">
        <f t="shared" si="36"/>
        <v>4.2982065679682321E-3</v>
      </c>
      <c r="AA51" s="19">
        <f t="shared" si="169"/>
        <v>7.3310361576714445E-3</v>
      </c>
      <c r="AB51" s="305">
        <f>IF(OR(SUM(Z31:Z51)=0,SUM('BNF-Nifty'!AA31:AA51)=0),0,(_xlfn.COVARIANCE.P(Z31:Z51,'BNF-Nifty'!AA31:AA51)/_xlfn.VAR.P('BNF-Nifty'!AA31:AA51)))</f>
        <v>0.93002747534347019</v>
      </c>
      <c r="AC51" s="306">
        <f>IF(OR(SUM(AA31:AA51)=0,SUM('BNF-Nifty'!AA31:AA51)=0),0,(_xlfn.COVARIANCE.P(AA31:AA51,'BNF-Nifty'!AA31:AA51)/_xlfn.VAR.P('BNF-Nifty'!AA31:AA51)))</f>
        <v>1</v>
      </c>
      <c r="AD51" s="122">
        <f t="shared" si="151"/>
        <v>-8.2051421303146622E-4</v>
      </c>
      <c r="AE51" s="364">
        <f t="shared" si="124"/>
        <v>-5.8834019452909635E-2</v>
      </c>
      <c r="AF51" s="513">
        <f t="shared" si="152"/>
        <v>2.1899309087962684E-3</v>
      </c>
      <c r="AG51" s="522">
        <f t="shared" si="125"/>
        <v>0.12456513535254127</v>
      </c>
      <c r="AH51" s="466">
        <f t="shared" si="170"/>
        <v>4.2982065679682321E-3</v>
      </c>
      <c r="AI51" s="17">
        <f t="shared" si="38"/>
        <v>6.5496982967160403E-3</v>
      </c>
      <c r="AJ51" s="17">
        <f t="shared" si="39"/>
        <v>6.4368555749977959E-3</v>
      </c>
      <c r="AK51" s="314">
        <f t="shared" si="40"/>
        <v>0.12297595308873915</v>
      </c>
      <c r="AL51" s="467">
        <f t="shared" si="171"/>
        <v>7.3310361576714445E-3</v>
      </c>
      <c r="AM51" s="18">
        <f t="shared" si="198"/>
        <v>4.1720280164928986E-3</v>
      </c>
      <c r="AN51" s="18">
        <f t="shared" si="199"/>
        <v>4.4256202020601281E-3</v>
      </c>
      <c r="AO51" s="385">
        <f t="shared" si="200"/>
        <v>8.4551355241073434E-2</v>
      </c>
      <c r="AP51" s="10">
        <f t="shared" si="153"/>
        <v>4.7405497025015978E-3</v>
      </c>
      <c r="AQ51" s="17">
        <f t="shared" si="201"/>
        <v>9.6108072120888264E-3</v>
      </c>
      <c r="AR51" s="17">
        <f t="shared" si="202"/>
        <v>9.3900972860122989E-3</v>
      </c>
      <c r="AS51" s="314">
        <f t="shared" si="203"/>
        <v>0.17939755675561211</v>
      </c>
      <c r="AT51" s="448">
        <f t="shared" si="154"/>
        <v>7.0864321212369113E-3</v>
      </c>
      <c r="AU51" s="18">
        <f t="shared" si="204"/>
        <v>6.7430296617577122E-3</v>
      </c>
      <c r="AV51" s="18">
        <f t="shared" si="205"/>
        <v>6.7641254638510038E-3</v>
      </c>
      <c r="AW51" s="385">
        <f t="shared" si="206"/>
        <v>0.12922843553611529</v>
      </c>
      <c r="AX51" s="6">
        <f t="shared" si="155"/>
        <v>1208878800</v>
      </c>
      <c r="AY51" s="319">
        <v>0</v>
      </c>
      <c r="AZ51" s="140">
        <f t="shared" si="156"/>
        <v>1043324181.9000001</v>
      </c>
      <c r="BA51" s="481">
        <v>0</v>
      </c>
      <c r="BB51" s="135">
        <f t="shared" si="243"/>
        <v>1464504671.808068</v>
      </c>
      <c r="BC51" s="21">
        <f t="shared" si="244"/>
        <v>65459.046259377574</v>
      </c>
      <c r="BD51" s="319">
        <f t="shared" si="100"/>
        <v>22372.838522655151</v>
      </c>
      <c r="BE51" s="21">
        <f t="shared" si="157"/>
        <v>22836.566666666669</v>
      </c>
      <c r="BF51" s="21">
        <f t="shared" si="158"/>
        <v>1210817601.2333336</v>
      </c>
      <c r="BG51" s="21">
        <f t="shared" si="59"/>
        <v>1345043448.0988414</v>
      </c>
      <c r="BH51" s="21">
        <f t="shared" si="223"/>
        <v>59288.211791392227</v>
      </c>
      <c r="BI51" s="332">
        <f t="shared" si="56"/>
        <v>22686.52414128169</v>
      </c>
      <c r="BJ51" s="141">
        <f t="shared" si="245"/>
        <v>971931954.33694708</v>
      </c>
      <c r="BK51" s="118">
        <f t="shared" si="246"/>
        <v>104397.07313008053</v>
      </c>
      <c r="BL51" s="329">
        <f t="shared" si="107"/>
        <v>9309.9540551860428</v>
      </c>
      <c r="BM51" s="118">
        <f t="shared" si="159"/>
        <v>9400.5500000000011</v>
      </c>
      <c r="BN51" s="118">
        <f t="shared" si="160"/>
        <v>1047916910.7000002</v>
      </c>
      <c r="BO51" s="118">
        <f t="shared" si="60"/>
        <v>904220360.20464492</v>
      </c>
      <c r="BP51" s="118">
        <f t="shared" si="224"/>
        <v>96582.768004497935</v>
      </c>
      <c r="BQ51" s="325">
        <f t="shared" si="61"/>
        <v>9362.1292792367967</v>
      </c>
      <c r="BR51" s="6">
        <f t="shared" si="161"/>
        <v>1207304076.3</v>
      </c>
      <c r="BS51" s="8">
        <f t="shared" si="162"/>
        <v>1213040948.5</v>
      </c>
      <c r="BT51" s="331">
        <f t="shared" si="233"/>
        <v>22298.540921102962</v>
      </c>
      <c r="BU51" s="319">
        <f t="shared" si="207"/>
        <v>22594.616152668579</v>
      </c>
      <c r="BV51" s="319">
        <f t="shared" si="208"/>
        <v>22818.163842575392</v>
      </c>
      <c r="BW51" s="331">
        <f t="shared" si="172"/>
        <v>21774.383305050287</v>
      </c>
      <c r="BX51" s="319">
        <f t="shared" si="234"/>
        <v>22188.336443495991</v>
      </c>
      <c r="BY51" s="332">
        <f t="shared" si="235"/>
        <v>22408.745163183899</v>
      </c>
      <c r="BZ51" s="140">
        <f t="shared" si="163"/>
        <v>1043168118.3000001</v>
      </c>
      <c r="CA51" s="142">
        <f t="shared" si="164"/>
        <v>1050586713</v>
      </c>
      <c r="CB51" s="339">
        <f t="shared" si="236"/>
        <v>9309.2936557545509</v>
      </c>
      <c r="CC51" s="329">
        <f t="shared" si="209"/>
        <v>9327.5595821116385</v>
      </c>
      <c r="CD51" s="329">
        <f t="shared" si="210"/>
        <v>9382.2433374462817</v>
      </c>
      <c r="CE51" s="339">
        <f t="shared" si="173"/>
        <v>9220.4193300699917</v>
      </c>
      <c r="CF51" s="329">
        <f t="shared" si="237"/>
        <v>9284.8227825926533</v>
      </c>
      <c r="CG51" s="325">
        <f t="shared" si="238"/>
        <v>9346.4070469971903</v>
      </c>
      <c r="CH51" s="20">
        <f t="shared" si="239"/>
        <v>1459686810.4930711</v>
      </c>
      <c r="CI51" s="21">
        <f t="shared" si="240"/>
        <v>65128.795200807239</v>
      </c>
      <c r="CJ51" s="21">
        <f t="shared" si="94"/>
        <v>22412.310960037212</v>
      </c>
      <c r="CK51" s="21">
        <f t="shared" si="142"/>
        <v>1466293863.1909008</v>
      </c>
      <c r="CL51" s="21">
        <f t="shared" si="143"/>
        <v>66516.518485563021</v>
      </c>
      <c r="CM51" s="21">
        <f t="shared" si="148"/>
        <v>22044.056071713228</v>
      </c>
      <c r="CN51" s="342">
        <f t="shared" si="144"/>
        <v>368.25488832398332</v>
      </c>
      <c r="CO51" s="342">
        <f t="shared" si="211"/>
        <v>318.87104993798278</v>
      </c>
      <c r="CP51" s="343">
        <f t="shared" si="212"/>
        <v>49.383838386000548</v>
      </c>
      <c r="CQ51" s="141">
        <f t="shared" si="241"/>
        <v>967070570.76524222</v>
      </c>
      <c r="CR51" s="118">
        <f t="shared" si="242"/>
        <v>103740.47731174574</v>
      </c>
      <c r="CS51" s="118">
        <f t="shared" si="104"/>
        <v>9322.0177487630299</v>
      </c>
      <c r="CT51" s="118">
        <f t="shared" si="145"/>
        <v>1002897927.5021766</v>
      </c>
      <c r="CU51" s="118">
        <f t="shared" si="146"/>
        <v>108341.12331772174</v>
      </c>
      <c r="CV51" s="118">
        <f t="shared" si="149"/>
        <v>9256.8536931361978</v>
      </c>
      <c r="CW51" s="350">
        <f t="shared" si="150"/>
        <v>65.164055626832123</v>
      </c>
      <c r="CX51" s="350">
        <f t="shared" si="213"/>
        <v>61.60506529320304</v>
      </c>
      <c r="CY51" s="351">
        <f t="shared" si="214"/>
        <v>3.5589903336290831</v>
      </c>
      <c r="CZ51" s="20">
        <f t="shared" si="174"/>
        <v>75.150000000001455</v>
      </c>
      <c r="DA51" s="21">
        <f t="shared" si="175"/>
        <v>1210817601.2333336</v>
      </c>
      <c r="DB51" s="21">
        <f t="shared" si="176"/>
        <v>0</v>
      </c>
      <c r="DC51" s="21">
        <f t="shared" si="215"/>
        <v>1246989708.6084344</v>
      </c>
      <c r="DD51" s="21">
        <f t="shared" si="216"/>
        <v>222429979.80939946</v>
      </c>
      <c r="DE51" s="21">
        <f t="shared" si="217"/>
        <v>5.6062123895213301</v>
      </c>
      <c r="DF51" s="342">
        <f t="shared" si="218"/>
        <v>84.862733120930471</v>
      </c>
      <c r="DG51" s="342">
        <f>AVERAGE(DF18:DF51)</f>
        <v>65.772958141872309</v>
      </c>
      <c r="DH51" s="355">
        <f t="shared" si="195"/>
        <v>68.705571251147617</v>
      </c>
      <c r="DI51" s="141">
        <f t="shared" si="177"/>
        <v>48.883333333335031</v>
      </c>
      <c r="DJ51" s="118">
        <f t="shared" si="178"/>
        <v>1047916910.7000002</v>
      </c>
      <c r="DK51" s="118">
        <f t="shared" si="179"/>
        <v>0</v>
      </c>
      <c r="DL51" s="118">
        <f t="shared" si="219"/>
        <v>675246143.69312727</v>
      </c>
      <c r="DM51" s="118">
        <f t="shared" si="220"/>
        <v>302565374.14752734</v>
      </c>
      <c r="DN51" s="118">
        <f t="shared" si="221"/>
        <v>2.2317363498570235</v>
      </c>
      <c r="DO51" s="350">
        <f t="shared" si="222"/>
        <v>69.056881758184218</v>
      </c>
      <c r="DP51" s="350">
        <f>AVERAGE(DO18:DO51)</f>
        <v>58.25739064655339</v>
      </c>
      <c r="DQ51" s="351">
        <f t="shared" si="196"/>
        <v>54.233730485898029</v>
      </c>
      <c r="DR51" s="135">
        <f t="shared" si="180"/>
        <v>115.65000000000146</v>
      </c>
      <c r="DS51" s="20">
        <f t="shared" si="181"/>
        <v>6131878.6500000767</v>
      </c>
      <c r="DT51" s="21">
        <f t="shared" si="140"/>
        <v>15241244.135816423</v>
      </c>
      <c r="DU51" s="21">
        <f t="shared" si="135"/>
        <v>66484.307012366888</v>
      </c>
      <c r="DV51" s="319">
        <f t="shared" si="136"/>
        <v>229.24573964471597</v>
      </c>
      <c r="DW51" s="21">
        <f t="shared" si="137"/>
        <v>4584.9147928943194</v>
      </c>
      <c r="DX51" s="21">
        <f>DW51*'Base Data'!$D$10</f>
        <v>9169.8295857886387</v>
      </c>
      <c r="DY51" s="363">
        <f>IF(INT(('Base Data'!$D$7)/DX51)=0,0,INT(('Base Data'!$D$7)/DX51))</f>
        <v>1</v>
      </c>
      <c r="DZ51" s="364">
        <f t="shared" si="126"/>
        <v>1.002785278115542E-2</v>
      </c>
      <c r="EA51" s="141">
        <f t="shared" si="182"/>
        <v>74.100000000000364</v>
      </c>
      <c r="EB51" s="143">
        <f t="shared" si="183"/>
        <v>8260223.4000000404</v>
      </c>
      <c r="EC51" s="118">
        <f t="shared" si="141"/>
        <v>7225569.3091518665</v>
      </c>
      <c r="ED51" s="118">
        <f t="shared" si="138"/>
        <v>107191.34403278727</v>
      </c>
      <c r="EE51" s="329">
        <f t="shared" si="139"/>
        <v>67.408141714705408</v>
      </c>
      <c r="EF51" s="118">
        <f t="shared" si="127"/>
        <v>5055.6106286029053</v>
      </c>
      <c r="EG51" s="118">
        <f>EF51*'Base Data'!$D$10</f>
        <v>10111.221257205811</v>
      </c>
      <c r="EH51" s="375">
        <f>IF(INT(('Base Data'!$D$7)/EG51)=0,0,INT(('Base Data'!$D$7)/EG51))</f>
        <v>1</v>
      </c>
      <c r="EI51" s="376">
        <f t="shared" si="128"/>
        <v>7.1564614526398633E-3</v>
      </c>
      <c r="EJ51" s="135">
        <f t="shared" si="184"/>
        <v>115.65000000000146</v>
      </c>
      <c r="EK51" s="21">
        <f t="shared" si="185"/>
        <v>6131878.6500000767</v>
      </c>
      <c r="EL51" s="21">
        <f t="shared" si="78"/>
        <v>13555384.041761752</v>
      </c>
      <c r="EM51" s="21">
        <f t="shared" si="231"/>
        <v>62835.966136948082</v>
      </c>
      <c r="EN51" s="319">
        <f t="shared" si="75"/>
        <v>215.72651580176901</v>
      </c>
      <c r="EO51" s="21">
        <f t="shared" si="64"/>
        <v>4314.5303160353806</v>
      </c>
      <c r="EP51" s="21">
        <f>EO51*'Base Data'!$D$13</f>
        <v>3235.8977370265357</v>
      </c>
      <c r="EQ51" s="363">
        <f>IF(INT(('Base Data'!$D$7)/EP51)=0,0,INT(('Base Data'!$D$7)/EP51))</f>
        <v>3</v>
      </c>
      <c r="ER51" s="314">
        <f t="shared" si="227"/>
        <v>9.4364839442790532E-3</v>
      </c>
      <c r="ES51" s="143">
        <f t="shared" si="186"/>
        <v>74.100000000000364</v>
      </c>
      <c r="ET51" s="118">
        <f t="shared" si="187"/>
        <v>8260223.4000000404</v>
      </c>
      <c r="EU51" s="118">
        <f t="shared" si="79"/>
        <v>6375659.5774912359</v>
      </c>
      <c r="EV51" s="118">
        <f t="shared" si="232"/>
        <v>100094.4521144883</v>
      </c>
      <c r="EW51" s="329">
        <f t="shared" si="77"/>
        <v>63.696433146951435</v>
      </c>
      <c r="EX51" s="118">
        <f t="shared" si="66"/>
        <v>4777.2324860213575</v>
      </c>
      <c r="EY51" s="118">
        <f>EX51*'Base Data'!$D$13</f>
        <v>3582.9243645160182</v>
      </c>
      <c r="EZ51" s="375">
        <f>IF(INT(('Base Data'!$D$7)/EY51)=0,0,INT(('Base Data'!$D$7)/EY51))</f>
        <v>2</v>
      </c>
      <c r="FA51" s="385">
        <f t="shared" si="228"/>
        <v>6.7624037229224807E-3</v>
      </c>
      <c r="FB51" s="397">
        <f t="shared" si="129"/>
        <v>3.6799769929268331</v>
      </c>
      <c r="FC51" s="403">
        <f t="shared" si="229"/>
        <v>1.5430513124275231</v>
      </c>
      <c r="FD51" s="510">
        <f t="shared" si="130"/>
        <v>2.3967007359572592</v>
      </c>
      <c r="FE51" s="509">
        <f t="shared" si="230"/>
        <v>1.2124893998667661</v>
      </c>
      <c r="FF51" s="20">
        <f t="shared" si="165"/>
        <v>108.20000000000073</v>
      </c>
      <c r="FG51" s="17">
        <f t="shared" si="166"/>
        <v>4.7456140350877508E-3</v>
      </c>
      <c r="FH51" s="388">
        <f t="shared" si="70"/>
        <v>8.753053301790957E-3</v>
      </c>
      <c r="FI51" s="388">
        <f t="shared" si="105"/>
        <v>9.4378265355586147E-3</v>
      </c>
      <c r="FJ51" s="314">
        <f t="shared" si="131"/>
        <v>9.5039995632821075E-3</v>
      </c>
      <c r="FK51" s="442">
        <f t="shared" si="167"/>
        <v>66.549999999999272</v>
      </c>
      <c r="FL51" s="18">
        <f t="shared" si="168"/>
        <v>7.11053652230115E-3</v>
      </c>
      <c r="FM51" s="394">
        <f t="shared" si="71"/>
        <v>6.0185514967519569E-3</v>
      </c>
      <c r="FN51" s="394">
        <f t="shared" si="106"/>
        <v>6.7073058820325956E-3</v>
      </c>
      <c r="FO51" s="385">
        <f t="shared" si="132"/>
        <v>6.9745025204513544E-3</v>
      </c>
      <c r="FP51" s="416">
        <f t="shared" si="188"/>
        <v>2</v>
      </c>
      <c r="FQ51" s="417">
        <f t="shared" si="189"/>
        <v>2</v>
      </c>
      <c r="FR51" s="415">
        <f t="shared" si="122"/>
        <v>85.492449113591789</v>
      </c>
      <c r="FS51" s="413" t="str">
        <f t="shared" si="133"/>
        <v>T-D</v>
      </c>
      <c r="FT51" s="404">
        <f t="shared" si="123"/>
        <v>63.988412867815178</v>
      </c>
      <c r="FU51" s="414" t="str">
        <f t="shared" si="134"/>
        <v>T-R</v>
      </c>
      <c r="FV51" s="415">
        <f t="shared" si="225"/>
        <v>73.291833407440265</v>
      </c>
      <c r="FW51" s="413" t="str">
        <f t="shared" si="72"/>
        <v>T-R</v>
      </c>
      <c r="FX51" s="404">
        <f t="shared" si="226"/>
        <v>59.581881533101047</v>
      </c>
      <c r="FY51" s="414" t="str">
        <f t="shared" si="73"/>
        <v>T-R</v>
      </c>
    </row>
    <row r="52" spans="1:181" x14ac:dyDescent="0.3">
      <c r="A52" s="112" t="s">
        <v>54</v>
      </c>
      <c r="B52" s="427">
        <f ca="1">IF($H$35=0,IF($AO$69&gt;=50%,F44,F47),IF($AO$69&gt;=50%,F44/1000,F47/1000))</f>
        <v>10601.072717134484</v>
      </c>
      <c r="C52" s="428">
        <f ca="1">IF($H$35=0,IF($AO$69&gt;=50%,E44,E47),IF($AO$69&gt;=50%,E44/1000,E47/1000))</f>
        <v>10614.224022228744</v>
      </c>
      <c r="D52" s="428">
        <f ca="1">IF($H$35=0,IF($AO$69&gt;=50%,E43,E45),IF($AO$69&gt;=50%,E43/1000,E45/1000))</f>
        <v>10619.412300366099</v>
      </c>
      <c r="E52" s="428">
        <f ca="1">IF($H$35=0,IF($AO$69&gt;=50%,E42,E44),IF($AO$69&gt;=50%,E42/1000,E44/1000))</f>
        <v>10628.376173664796</v>
      </c>
      <c r="F52" s="428">
        <f ca="1">IF($H$35=0,IF($AO$69&gt;=50%,E41,E43),IF($AO$69&gt;=50%,E41/1000,E43/1000))</f>
        <v>10637.741853260201</v>
      </c>
      <c r="G52" s="428">
        <f ca="1">IF($H$35=0,IF($AO$69&gt;=50%,E40,E42),IF($AO$69&gt;=50%,E40/1000,E42/1000))</f>
        <v>10641.602149958662</v>
      </c>
      <c r="H52" s="428">
        <f ca="1">IF($H$35=0,IF($AO$69&gt;=50%,E39,E41),IF($AO$69&gt;=50%,E39/1000,E41/1000))</f>
        <v>10643.556949220418</v>
      </c>
      <c r="I52" s="428">
        <f ca="1">IF($H$35=0,IF($AO$69&gt;=50%,0,E40),IF($AO$69&gt;=50%,0,E40/1000))</f>
        <v>10647.516120836339</v>
      </c>
      <c r="J52" s="429">
        <f ca="1">IF($H$35=0,IF($AO$69&gt;=50%,0,E39),IF($AO$69&gt;=50%,0,E39/1000))</f>
        <v>10649.52060169745</v>
      </c>
      <c r="L52" s="283">
        <f t="shared" si="35"/>
        <v>49</v>
      </c>
      <c r="M52" s="290">
        <f>'[4]BANKNIFTY-I'!C68</f>
        <v>42866</v>
      </c>
      <c r="N52" s="7">
        <f>'[4]BANKNIFTY-I'!D68</f>
        <v>22900.1</v>
      </c>
      <c r="O52" s="7">
        <f>'[4]BANKNIFTY-I'!E68</f>
        <v>22985.8</v>
      </c>
      <c r="P52" s="7">
        <f>'[4]BANKNIFTY-I'!F68</f>
        <v>22802.35</v>
      </c>
      <c r="Q52" s="7">
        <f>'[4]BANKNIFTY-I'!G68</f>
        <v>22842.15</v>
      </c>
      <c r="R52" s="11">
        <f>'[4]BANKNIFTY-I'!H68</f>
        <v>62222</v>
      </c>
      <c r="S52" s="291">
        <f>'[5]NIFTY-I'!C68</f>
        <v>42866</v>
      </c>
      <c r="T52" s="9">
        <f>'[5]NIFTY-I'!D68</f>
        <v>9431.6</v>
      </c>
      <c r="U52" s="9">
        <f>'[5]NIFTY-I'!E68</f>
        <v>9464</v>
      </c>
      <c r="V52" s="9">
        <f>'[5]NIFTY-I'!F68</f>
        <v>9431.6</v>
      </c>
      <c r="W52" s="9">
        <f>'[5]NIFTY-I'!G68</f>
        <v>9439.85</v>
      </c>
      <c r="X52" s="12">
        <f>'[5]NIFTY-I'!H68</f>
        <v>71500</v>
      </c>
      <c r="Y52" s="115"/>
      <c r="Z52" s="122">
        <f t="shared" si="36"/>
        <v>-8.2051421303146622E-4</v>
      </c>
      <c r="AA52" s="19">
        <f t="shared" si="169"/>
        <v>2.1899309087962684E-3</v>
      </c>
      <c r="AB52" s="305">
        <f>IF(OR(SUM(Z32:Z52)=0,SUM('BNF-Nifty'!AA32:AA52)=0),0,(_xlfn.COVARIANCE.P(Z32:Z52,'BNF-Nifty'!AA32:AA52)/_xlfn.VAR.P('BNF-Nifty'!AA32:AA52)))</f>
        <v>0.93014812382615508</v>
      </c>
      <c r="AC52" s="306">
        <f>IF(OR(SUM(AA32:AA52)=0,SUM('BNF-Nifty'!AA32:AA52)=0),0,(_xlfn.COVARIANCE.P(AA32:AA52,'BNF-Nifty'!AA32:AA52)/_xlfn.VAR.P('BNF-Nifty'!AA32:AA52)))</f>
        <v>1</v>
      </c>
      <c r="AD52" s="122">
        <f t="shared" si="151"/>
        <v>-7.5937216030918129E-3</v>
      </c>
      <c r="AE52" s="364">
        <f t="shared" si="124"/>
        <v>-2.822496171653668E-2</v>
      </c>
      <c r="AF52" s="513">
        <f t="shared" si="152"/>
        <v>-2.6571710149924368E-3</v>
      </c>
      <c r="AG52" s="522">
        <f t="shared" si="125"/>
        <v>0.13498005690164783</v>
      </c>
      <c r="AH52" s="466">
        <f t="shared" si="170"/>
        <v>-8.2051421303146622E-4</v>
      </c>
      <c r="AI52" s="17">
        <f t="shared" si="38"/>
        <v>6.4368555749977959E-3</v>
      </c>
      <c r="AJ52" s="17">
        <f t="shared" si="39"/>
        <v>6.2439985366914193E-3</v>
      </c>
      <c r="AK52" s="314">
        <f t="shared" si="40"/>
        <v>0.11929142454537406</v>
      </c>
      <c r="AL52" s="467">
        <f t="shared" si="171"/>
        <v>2.1899309087962684E-3</v>
      </c>
      <c r="AM52" s="18">
        <f t="shared" si="198"/>
        <v>4.4256202020601281E-3</v>
      </c>
      <c r="AN52" s="18">
        <f t="shared" si="199"/>
        <v>4.3241987888657293E-3</v>
      </c>
      <c r="AO52" s="385">
        <f t="shared" si="200"/>
        <v>8.2613701862670225E-2</v>
      </c>
      <c r="AP52" s="10">
        <f t="shared" si="153"/>
        <v>8.013033135841955E-3</v>
      </c>
      <c r="AQ52" s="17">
        <f t="shared" si="201"/>
        <v>9.3900972860122989E-3</v>
      </c>
      <c r="AR52" s="17">
        <f t="shared" si="202"/>
        <v>9.3132171359039551E-3</v>
      </c>
      <c r="AS52" s="314">
        <f t="shared" si="203"/>
        <v>0.17792876355013737</v>
      </c>
      <c r="AT52" s="448">
        <f t="shared" si="154"/>
        <v>3.4293731613301501E-3</v>
      </c>
      <c r="AU52" s="18">
        <f t="shared" si="204"/>
        <v>6.7641254638510038E-3</v>
      </c>
      <c r="AV52" s="18">
        <f t="shared" si="205"/>
        <v>6.6116431928873471E-3</v>
      </c>
      <c r="AW52" s="385">
        <f t="shared" si="206"/>
        <v>0.12631526583976127</v>
      </c>
      <c r="AX52" s="6">
        <f t="shared" si="155"/>
        <v>1424890022.1999998</v>
      </c>
      <c r="AY52" s="319">
        <v>0</v>
      </c>
      <c r="AZ52" s="140">
        <f t="shared" si="156"/>
        <v>674359400</v>
      </c>
      <c r="BA52" s="481">
        <v>0</v>
      </c>
      <c r="BB52" s="135">
        <f t="shared" si="243"/>
        <v>1458845436.1497726</v>
      </c>
      <c r="BC52" s="21">
        <f t="shared" si="244"/>
        <v>64996.611079466493</v>
      </c>
      <c r="BD52" s="319">
        <f t="shared" si="100"/>
        <v>22444.946158287414</v>
      </c>
      <c r="BE52" s="21">
        <f t="shared" si="157"/>
        <v>22876.766666666663</v>
      </c>
      <c r="BF52" s="21">
        <f t="shared" si="158"/>
        <v>1423438175.5333331</v>
      </c>
      <c r="BG52" s="21">
        <f t="shared" si="59"/>
        <v>1371175023.9103386</v>
      </c>
      <c r="BH52" s="21">
        <f t="shared" si="223"/>
        <v>60266.141194261487</v>
      </c>
      <c r="BI52" s="332">
        <f t="shared" si="56"/>
        <v>22751.996340540569</v>
      </c>
      <c r="BJ52" s="141">
        <f t="shared" si="245"/>
        <v>929421589.43166888</v>
      </c>
      <c r="BK52" s="118">
        <f t="shared" si="246"/>
        <v>99697.49125435474</v>
      </c>
      <c r="BL52" s="329">
        <f t="shared" si="107"/>
        <v>9322.4170211110722</v>
      </c>
      <c r="BM52" s="118">
        <f t="shared" si="159"/>
        <v>9445.15</v>
      </c>
      <c r="BN52" s="118">
        <f t="shared" si="160"/>
        <v>675328225</v>
      </c>
      <c r="BO52" s="118">
        <f t="shared" si="60"/>
        <v>827922981.80309665</v>
      </c>
      <c r="BP52" s="118">
        <f t="shared" si="224"/>
        <v>88221.845336331957</v>
      </c>
      <c r="BQ52" s="325">
        <f t="shared" si="61"/>
        <v>9384.557516868641</v>
      </c>
      <c r="BR52" s="6">
        <f t="shared" si="161"/>
        <v>1418807821.6999998</v>
      </c>
      <c r="BS52" s="8">
        <f t="shared" si="162"/>
        <v>1430222447.5999999</v>
      </c>
      <c r="BT52" s="331">
        <f t="shared" si="233"/>
        <v>22402.883792600871</v>
      </c>
      <c r="BU52" s="319">
        <f t="shared" si="207"/>
        <v>22679.738956556175</v>
      </c>
      <c r="BV52" s="319">
        <f t="shared" si="208"/>
        <v>22868.331381523589</v>
      </c>
      <c r="BW52" s="331">
        <f t="shared" si="172"/>
        <v>21820.365563095402</v>
      </c>
      <c r="BX52" s="319">
        <f t="shared" si="234"/>
        <v>22304.241076979921</v>
      </c>
      <c r="BY52" s="332">
        <f t="shared" si="235"/>
        <v>22516.738325851391</v>
      </c>
      <c r="BZ52" s="140">
        <f t="shared" si="163"/>
        <v>674359400</v>
      </c>
      <c r="CA52" s="142">
        <f t="shared" si="164"/>
        <v>676676000</v>
      </c>
      <c r="CB52" s="339">
        <f t="shared" si="236"/>
        <v>9315.138105198941</v>
      </c>
      <c r="CC52" s="329">
        <f t="shared" si="209"/>
        <v>9342.9412508308615</v>
      </c>
      <c r="CD52" s="329">
        <f t="shared" si="210"/>
        <v>9394.801570632646</v>
      </c>
      <c r="CE52" s="339">
        <f t="shared" si="173"/>
        <v>9225.8319763280706</v>
      </c>
      <c r="CF52" s="329">
        <f t="shared" si="237"/>
        <v>9291.8652118011614</v>
      </c>
      <c r="CG52" s="325">
        <f t="shared" si="238"/>
        <v>9352.0425366102227</v>
      </c>
      <c r="CH52" s="20">
        <f t="shared" si="239"/>
        <v>1454110097.4223421</v>
      </c>
      <c r="CI52" s="21">
        <f t="shared" si="240"/>
        <v>64681.595939144587</v>
      </c>
      <c r="CJ52" s="21">
        <f t="shared" si="94"/>
        <v>22481.048531802393</v>
      </c>
      <c r="CK52" s="21">
        <f t="shared" si="142"/>
        <v>1463119367.8088586</v>
      </c>
      <c r="CL52" s="21">
        <f t="shared" si="143"/>
        <v>66198.406005150944</v>
      </c>
      <c r="CM52" s="21">
        <f t="shared" si="148"/>
        <v>22102.033207491619</v>
      </c>
      <c r="CN52" s="342">
        <f t="shared" si="144"/>
        <v>379.0153243107743</v>
      </c>
      <c r="CO52" s="342">
        <f t="shared" si="211"/>
        <v>330.89990481254108</v>
      </c>
      <c r="CP52" s="343">
        <f t="shared" si="212"/>
        <v>48.115419498233223</v>
      </c>
      <c r="CQ52" s="141">
        <f t="shared" si="241"/>
        <v>922187132.95520496</v>
      </c>
      <c r="CR52" s="118">
        <f t="shared" si="242"/>
        <v>98780.403879169462</v>
      </c>
      <c r="CS52" s="118">
        <f t="shared" si="104"/>
        <v>9335.7295246863559</v>
      </c>
      <c r="CT52" s="118">
        <f t="shared" si="145"/>
        <v>978633505.09460795</v>
      </c>
      <c r="CU52" s="118">
        <f t="shared" si="146"/>
        <v>105612.15122011272</v>
      </c>
      <c r="CV52" s="118">
        <f t="shared" si="149"/>
        <v>9266.2964799853216</v>
      </c>
      <c r="CW52" s="350">
        <f t="shared" si="150"/>
        <v>69.433044701034305</v>
      </c>
      <c r="CX52" s="350">
        <f t="shared" si="213"/>
        <v>63.170661174769293</v>
      </c>
      <c r="CY52" s="351">
        <f t="shared" si="214"/>
        <v>6.2623835262650118</v>
      </c>
      <c r="CZ52" s="20">
        <f t="shared" si="174"/>
        <v>40.199999999993452</v>
      </c>
      <c r="DA52" s="21">
        <f t="shared" si="175"/>
        <v>1423438175.5333331</v>
      </c>
      <c r="DB52" s="21">
        <f t="shared" si="176"/>
        <v>0</v>
      </c>
      <c r="DC52" s="21">
        <f t="shared" si="215"/>
        <v>1270516170.8650875</v>
      </c>
      <c r="DD52" s="21">
        <f t="shared" si="216"/>
        <v>192772649.16814619</v>
      </c>
      <c r="DE52" s="21">
        <f t="shared" si="217"/>
        <v>6.5907491355626808</v>
      </c>
      <c r="DF52" s="342">
        <f t="shared" si="218"/>
        <v>86.826069704833259</v>
      </c>
      <c r="DG52" s="342">
        <f t="shared" ref="DG52:DG67" si="247">AVERAGE(DF19:DF52)</f>
        <v>66.63723691465448</v>
      </c>
      <c r="DH52" s="355">
        <f t="shared" si="195"/>
        <v>70.104369896371892</v>
      </c>
      <c r="DI52" s="141">
        <f t="shared" si="177"/>
        <v>44.599999999998545</v>
      </c>
      <c r="DJ52" s="118">
        <f t="shared" si="178"/>
        <v>675328225</v>
      </c>
      <c r="DK52" s="118">
        <f t="shared" si="179"/>
        <v>0</v>
      </c>
      <c r="DL52" s="118">
        <f t="shared" si="219"/>
        <v>675257087.86737692</v>
      </c>
      <c r="DM52" s="118">
        <f t="shared" si="220"/>
        <v>262223324.26119035</v>
      </c>
      <c r="DN52" s="118">
        <f t="shared" si="221"/>
        <v>2.5751221397635087</v>
      </c>
      <c r="DO52" s="350">
        <f t="shared" si="222"/>
        <v>72.028927658786245</v>
      </c>
      <c r="DP52" s="350">
        <f t="shared" ref="DP52:DP67" si="248">AVERAGE(DO19:DO52)</f>
        <v>58.51211534228068</v>
      </c>
      <c r="DQ52" s="351">
        <f t="shared" si="196"/>
        <v>55.079253695429401</v>
      </c>
      <c r="DR52" s="135">
        <f t="shared" si="180"/>
        <v>183.45000000000073</v>
      </c>
      <c r="DS52" s="20">
        <f t="shared" si="181"/>
        <v>11414625.900000045</v>
      </c>
      <c r="DT52" s="21">
        <f t="shared" si="140"/>
        <v>14893369.750742206</v>
      </c>
      <c r="DU52" s="21">
        <f t="shared" si="135"/>
        <v>66096.824556697175</v>
      </c>
      <c r="DV52" s="319">
        <f t="shared" si="136"/>
        <v>225.32655465115161</v>
      </c>
      <c r="DW52" s="21">
        <f t="shared" si="137"/>
        <v>4506.5310930230326</v>
      </c>
      <c r="DX52" s="21">
        <f>DW52*'Base Data'!$D$10</f>
        <v>9013.0621860460651</v>
      </c>
      <c r="DY52" s="363">
        <f>IF(INT(('Base Data'!$D$7)/DX52)=0,0,INT(('Base Data'!$D$7)/DX52))</f>
        <v>1</v>
      </c>
      <c r="DZ52" s="364">
        <f t="shared" si="126"/>
        <v>9.8645072662228196E-3</v>
      </c>
      <c r="EA52" s="141">
        <f t="shared" si="182"/>
        <v>44.799999999999272</v>
      </c>
      <c r="EB52" s="143">
        <f t="shared" si="183"/>
        <v>3203199.9999999478</v>
      </c>
      <c r="EC52" s="118">
        <f t="shared" si="141"/>
        <v>6859899.3719562376</v>
      </c>
      <c r="ED52" s="118">
        <f t="shared" si="138"/>
        <v>103946.67639344298</v>
      </c>
      <c r="EE52" s="329">
        <f t="shared" si="139"/>
        <v>65.994407998108585</v>
      </c>
      <c r="EF52" s="118">
        <f t="shared" si="127"/>
        <v>4949.5805998581436</v>
      </c>
      <c r="EG52" s="118">
        <f>EF52*'Base Data'!$D$10</f>
        <v>9899.1611997162872</v>
      </c>
      <c r="EH52" s="375">
        <f>IF(INT(('Base Data'!$D$7)/EG52)=0,0,INT(('Base Data'!$D$7)/EG52))</f>
        <v>1</v>
      </c>
      <c r="EI52" s="376">
        <f t="shared" si="128"/>
        <v>6.9910441371535126E-3</v>
      </c>
      <c r="EJ52" s="135">
        <f t="shared" si="184"/>
        <v>183.45000000000073</v>
      </c>
      <c r="EK52" s="21">
        <f t="shared" si="185"/>
        <v>11414625.900000045</v>
      </c>
      <c r="EL52" s="21">
        <f t="shared" si="78"/>
        <v>13079660.010259151</v>
      </c>
      <c r="EM52" s="21">
        <f t="shared" si="231"/>
        <v>62699.529217626288</v>
      </c>
      <c r="EN52" s="319">
        <f t="shared" si="75"/>
        <v>208.60858404311841</v>
      </c>
      <c r="EO52" s="21">
        <f t="shared" si="64"/>
        <v>4172.1716808623678</v>
      </c>
      <c r="EP52" s="21">
        <f>EO52*'Base Data'!$D$13</f>
        <v>3129.1287606467758</v>
      </c>
      <c r="EQ52" s="363">
        <f>IF(INT(('Base Data'!$D$7)/EP52)=0,0,INT(('Base Data'!$D$7)/EP52))</f>
        <v>3</v>
      </c>
      <c r="ER52" s="314">
        <f t="shared" si="227"/>
        <v>9.1326159771789612E-3</v>
      </c>
      <c r="ES52" s="143">
        <f t="shared" si="186"/>
        <v>44.799999999999272</v>
      </c>
      <c r="ET52" s="118">
        <f t="shared" si="187"/>
        <v>3203199.9999999478</v>
      </c>
      <c r="EU52" s="118">
        <f t="shared" si="79"/>
        <v>5670668.5602709502</v>
      </c>
      <c r="EV52" s="118">
        <f t="shared" si="232"/>
        <v>93740.129422379789</v>
      </c>
      <c r="EW52" s="329">
        <f t="shared" si="77"/>
        <v>60.493500438000446</v>
      </c>
      <c r="EX52" s="118">
        <f t="shared" si="66"/>
        <v>4537.0125328500335</v>
      </c>
      <c r="EY52" s="118">
        <f>EX52*'Base Data'!$D$13</f>
        <v>3402.7593996375253</v>
      </c>
      <c r="EZ52" s="375">
        <f>IF(INT(('Base Data'!$D$7)/EY52)=0,0,INT(('Base Data'!$D$7)/EY52))</f>
        <v>3</v>
      </c>
      <c r="FA52" s="385">
        <f t="shared" si="228"/>
        <v>6.4083116191465377E-3</v>
      </c>
      <c r="FB52" s="397">
        <f t="shared" si="129"/>
        <v>3.3764188449722803</v>
      </c>
      <c r="FC52" s="403">
        <f t="shared" si="229"/>
        <v>1.1778438287206292</v>
      </c>
      <c r="FD52" s="510">
        <f t="shared" si="130"/>
        <v>2.6358654654098443</v>
      </c>
      <c r="FE52" s="509">
        <f t="shared" si="230"/>
        <v>1.5044660336682634</v>
      </c>
      <c r="FF52" s="20">
        <f t="shared" si="165"/>
        <v>183.45000000000073</v>
      </c>
      <c r="FG52" s="17">
        <f t="shared" si="166"/>
        <v>8.0108820485500394E-3</v>
      </c>
      <c r="FH52" s="388">
        <f t="shared" si="70"/>
        <v>8.698858002304145E-3</v>
      </c>
      <c r="FI52" s="388">
        <f t="shared" si="105"/>
        <v>9.0594944281623419E-3</v>
      </c>
      <c r="FJ52" s="314">
        <f t="shared" si="131"/>
        <v>9.3716067517677533E-3</v>
      </c>
      <c r="FK52" s="442">
        <f t="shared" si="167"/>
        <v>32.399999999999636</v>
      </c>
      <c r="FL52" s="18">
        <f t="shared" si="168"/>
        <v>3.4352601891513247E-3</v>
      </c>
      <c r="FM52" s="394">
        <f t="shared" si="71"/>
        <v>5.837202216538339E-3</v>
      </c>
      <c r="FN52" s="394">
        <f t="shared" si="106"/>
        <v>6.1279111808636372E-3</v>
      </c>
      <c r="FO52" s="385">
        <f t="shared" si="132"/>
        <v>6.8578103368021042E-3</v>
      </c>
      <c r="FP52" s="416">
        <f t="shared" si="188"/>
        <v>2</v>
      </c>
      <c r="FQ52" s="417">
        <f t="shared" si="189"/>
        <v>2</v>
      </c>
      <c r="FR52" s="415">
        <f t="shared" si="122"/>
        <v>67.522432701894488</v>
      </c>
      <c r="FS52" s="413" t="str">
        <f t="shared" si="133"/>
        <v>T-D</v>
      </c>
      <c r="FT52" s="404">
        <f t="shared" si="123"/>
        <v>47.734385630697865</v>
      </c>
      <c r="FU52" s="414" t="str">
        <f t="shared" si="134"/>
        <v>T-D</v>
      </c>
      <c r="FV52" s="415">
        <f t="shared" si="225"/>
        <v>64.533794494884617</v>
      </c>
      <c r="FW52" s="413" t="str">
        <f t="shared" si="72"/>
        <v>T-D</v>
      </c>
      <c r="FX52" s="404">
        <f t="shared" si="226"/>
        <v>54.945355191257427</v>
      </c>
      <c r="FY52" s="414" t="str">
        <f t="shared" si="73"/>
        <v>T-D</v>
      </c>
    </row>
    <row r="53" spans="1:181" ht="11.15" thickBot="1" x14ac:dyDescent="0.35">
      <c r="A53" s="113" t="s">
        <v>55</v>
      </c>
      <c r="B53" s="430">
        <f ca="1">IF($H$35=0,IF($AO$69&gt;=50%,E44,E47),IF($AO$69&gt;=50%,E44/1000,E47/1000))</f>
        <v>10614.224022228744</v>
      </c>
      <c r="C53" s="431">
        <f ca="1">IF($H$35=0,IF($AO$69&gt;=50%,F44,F47),IF($AO$69&gt;=50%,F44/1000,F47/1000))</f>
        <v>10601.072717134484</v>
      </c>
      <c r="D53" s="431">
        <f ca="1">IF($H$35=0,IF($AO$69&gt;=50%,F43,F45),IF($AO$69&gt;=50%,F43/1000,F45/1000))</f>
        <v>10596.393338933784</v>
      </c>
      <c r="E53" s="431">
        <f ca="1">IF($H$35=0,IF($AO$69&gt;=50%,F42,F44),IF($AO$69&gt;=50%,F42/1000,F44/1000))</f>
        <v>10588.894480604238</v>
      </c>
      <c r="F53" s="431">
        <f ca="1">IF($H$35=0,IF($AO$69&gt;=50%,F41,F43),IF($AO$69&gt;=50%,F41/1000,F43/1000))</f>
        <v>10581.764876488069</v>
      </c>
      <c r="G53" s="431">
        <f ca="1">IF($H$35=0,IF($AO$69&gt;=50%,F40,F42),IF($AO$69&gt;=50%,F40/1000,F42/1000))</f>
        <v>10579.014906924122</v>
      </c>
      <c r="H53" s="431">
        <f ca="1">IF($H$35=0,IF($AO$69&gt;=50%,F39,F41),IF($AO$69&gt;=50%,F39/1000,F41/1000))</f>
        <v>10577.66153486023</v>
      </c>
      <c r="I53" s="431">
        <f ca="1">IF($H$35=0,IF($AO$69&gt;=50%,0,F40),IF($AO$69&gt;=50%,0,F40/1000))</f>
        <v>10574.997744901244</v>
      </c>
      <c r="J53" s="432">
        <f ca="1">IF($H$35=0,IF($AO$69&gt;=50%,0,F39),IF($AO$69&gt;=50%,0,F39/1000))</f>
        <v>10573.687218499206</v>
      </c>
      <c r="L53" s="283">
        <f t="shared" si="35"/>
        <v>50</v>
      </c>
      <c r="M53" s="290">
        <f>'[4]BANKNIFTY-I'!C69</f>
        <v>42867</v>
      </c>
      <c r="N53" s="7">
        <f>'[4]BANKNIFTY-I'!D69</f>
        <v>22847</v>
      </c>
      <c r="O53" s="7">
        <f>'[4]BANKNIFTY-I'!E69</f>
        <v>22847</v>
      </c>
      <c r="P53" s="7">
        <f>'[4]BANKNIFTY-I'!F69</f>
        <v>22582.3</v>
      </c>
      <c r="Q53" s="7">
        <f>'[4]BANKNIFTY-I'!G69</f>
        <v>22669.35</v>
      </c>
      <c r="R53" s="11">
        <f>'[4]BANKNIFTY-I'!H69</f>
        <v>70417</v>
      </c>
      <c r="S53" s="291">
        <f>'[5]NIFTY-I'!C69</f>
        <v>42867</v>
      </c>
      <c r="T53" s="9">
        <f>'[5]NIFTY-I'!D69</f>
        <v>9428.25</v>
      </c>
      <c r="U53" s="9">
        <f>'[5]NIFTY-I'!E69</f>
        <v>9443.1</v>
      </c>
      <c r="V53" s="9">
        <f>'[5]NIFTY-I'!F69</f>
        <v>9389.0499999999993</v>
      </c>
      <c r="W53" s="9">
        <f>'[5]NIFTY-I'!G69</f>
        <v>9414.7999999999993</v>
      </c>
      <c r="X53" s="12">
        <f>'[5]NIFTY-I'!H69</f>
        <v>91721</v>
      </c>
      <c r="Y53" s="115"/>
      <c r="Z53" s="122">
        <f t="shared" si="36"/>
        <v>-7.5937216030918129E-3</v>
      </c>
      <c r="AA53" s="19">
        <f t="shared" si="169"/>
        <v>-2.6571710149924368E-3</v>
      </c>
      <c r="AB53" s="305">
        <f>IF(OR(SUM(Z33:Z53)=0,SUM('BNF-Nifty'!AA33:AA53)=0),0,(_xlfn.COVARIANCE.P(Z33:Z53,'BNF-Nifty'!AA33:AA53)/_xlfn.VAR.P('BNF-Nifty'!AA33:AA53)))</f>
        <v>0.96739442223159466</v>
      </c>
      <c r="AC53" s="306">
        <f>IF(OR(SUM(AA33:AA53)=0,SUM('BNF-Nifty'!AA33:AA53)=0),0,(_xlfn.COVARIANCE.P(AA33:AA53,'BNF-Nifty'!AA33:AA53)/_xlfn.VAR.P('BNF-Nifty'!AA33:AA53)))</f>
        <v>0.99999999999999933</v>
      </c>
      <c r="AD53" s="122">
        <f t="shared" si="151"/>
        <v>6.9455866106745076E-3</v>
      </c>
      <c r="AE53" s="364">
        <f t="shared" si="124"/>
        <v>-5.0929713454810295E-2</v>
      </c>
      <c r="AF53" s="513">
        <f t="shared" si="152"/>
        <v>4.0809677108476165E-3</v>
      </c>
      <c r="AG53" s="522">
        <f t="shared" si="125"/>
        <v>0.18910950479153213</v>
      </c>
      <c r="AH53" s="466">
        <f t="shared" si="170"/>
        <v>-7.5937216030918129E-3</v>
      </c>
      <c r="AI53" s="17">
        <f t="shared" si="38"/>
        <v>6.2439985366914193E-3</v>
      </c>
      <c r="AJ53" s="17">
        <f t="shared" si="39"/>
        <v>6.333099014680578E-3</v>
      </c>
      <c r="AK53" s="314">
        <f t="shared" si="40"/>
        <v>0.12099368678719588</v>
      </c>
      <c r="AL53" s="467">
        <f t="shared" si="171"/>
        <v>-2.6571710149924368E-3</v>
      </c>
      <c r="AM53" s="18">
        <f t="shared" si="198"/>
        <v>4.3241987888657293E-3</v>
      </c>
      <c r="AN53" s="18">
        <f t="shared" si="199"/>
        <v>4.2426886432856614E-3</v>
      </c>
      <c r="AO53" s="385">
        <f t="shared" si="200"/>
        <v>8.1056452717909941E-2</v>
      </c>
      <c r="AP53" s="10">
        <f t="shared" si="153"/>
        <v>1.165340410506837E-2</v>
      </c>
      <c r="AQ53" s="17">
        <f t="shared" si="201"/>
        <v>9.3132171359039551E-3</v>
      </c>
      <c r="AR53" s="17">
        <f t="shared" si="202"/>
        <v>9.4699504882246772E-3</v>
      </c>
      <c r="AS53" s="314">
        <f t="shared" si="203"/>
        <v>0.18092315004178094</v>
      </c>
      <c r="AT53" s="448">
        <f t="shared" si="154"/>
        <v>5.7401994367837425E-3</v>
      </c>
      <c r="AU53" s="18">
        <f t="shared" si="204"/>
        <v>6.6116431928873471E-3</v>
      </c>
      <c r="AV53" s="18">
        <f t="shared" si="205"/>
        <v>6.5626206306546109E-3</v>
      </c>
      <c r="AW53" s="385">
        <f t="shared" si="206"/>
        <v>0.12537869110335748</v>
      </c>
      <c r="AX53" s="6">
        <f t="shared" si="155"/>
        <v>1608817199</v>
      </c>
      <c r="AY53" s="319">
        <v>0</v>
      </c>
      <c r="AZ53" s="140">
        <f t="shared" si="156"/>
        <v>864768518.25</v>
      </c>
      <c r="BA53" s="481">
        <v>0</v>
      </c>
      <c r="BB53" s="135">
        <f t="shared" si="243"/>
        <v>1480269973.699805</v>
      </c>
      <c r="BC53" s="21">
        <f t="shared" si="244"/>
        <v>65770.952353828427</v>
      </c>
      <c r="BD53" s="319">
        <f t="shared" si="100"/>
        <v>22506.439708161543</v>
      </c>
      <c r="BE53" s="21">
        <f t="shared" si="157"/>
        <v>22699.55</v>
      </c>
      <c r="BF53" s="21">
        <f t="shared" si="158"/>
        <v>1598434212.3499999</v>
      </c>
      <c r="BG53" s="21">
        <f t="shared" si="59"/>
        <v>1446928086.7235591</v>
      </c>
      <c r="BH53" s="21">
        <f t="shared" si="223"/>
        <v>63649.760796174327</v>
      </c>
      <c r="BI53" s="332">
        <f t="shared" si="56"/>
        <v>22732.655529642256</v>
      </c>
      <c r="BJ53" s="141">
        <f t="shared" si="245"/>
        <v>920185436.40571618</v>
      </c>
      <c r="BK53" s="118">
        <f t="shared" si="246"/>
        <v>98557.992503732632</v>
      </c>
      <c r="BL53" s="329">
        <f t="shared" si="107"/>
        <v>9336.4872095062856</v>
      </c>
      <c r="BM53" s="118">
        <f t="shared" si="159"/>
        <v>9415.65</v>
      </c>
      <c r="BN53" s="118">
        <f t="shared" si="160"/>
        <v>863612833.64999998</v>
      </c>
      <c r="BO53" s="118">
        <f t="shared" si="60"/>
        <v>839819599.08539772</v>
      </c>
      <c r="BP53" s="118">
        <f t="shared" si="224"/>
        <v>89388.230224221305</v>
      </c>
      <c r="BQ53" s="325">
        <f t="shared" si="61"/>
        <v>9395.1921520181731</v>
      </c>
      <c r="BR53" s="6">
        <f t="shared" si="161"/>
        <v>1590177819.0999999</v>
      </c>
      <c r="BS53" s="8">
        <f t="shared" si="162"/>
        <v>1608817199</v>
      </c>
      <c r="BT53" s="331">
        <f t="shared" si="233"/>
        <v>22510.075242991723</v>
      </c>
      <c r="BU53" s="319">
        <f t="shared" si="207"/>
        <v>22694.694373210852</v>
      </c>
      <c r="BV53" s="319">
        <f t="shared" si="208"/>
        <v>22878.819482757408</v>
      </c>
      <c r="BW53" s="331">
        <f t="shared" si="172"/>
        <v>21874.544448613808</v>
      </c>
      <c r="BX53" s="319">
        <f t="shared" si="234"/>
        <v>22391.379816443052</v>
      </c>
      <c r="BY53" s="332">
        <f t="shared" si="235"/>
        <v>22602.16911116186</v>
      </c>
      <c r="BZ53" s="140">
        <f t="shared" si="163"/>
        <v>861173055.04999995</v>
      </c>
      <c r="CA53" s="142">
        <f t="shared" si="164"/>
        <v>866130575.10000002</v>
      </c>
      <c r="CB53" s="339">
        <f t="shared" si="236"/>
        <v>9343.1512203979491</v>
      </c>
      <c r="CC53" s="329">
        <f t="shared" si="209"/>
        <v>9366.3914109803554</v>
      </c>
      <c r="CD53" s="329">
        <f t="shared" si="210"/>
        <v>9415.533547380659</v>
      </c>
      <c r="CE53" s="339">
        <f t="shared" si="173"/>
        <v>9236.2316096670456</v>
      </c>
      <c r="CF53" s="329">
        <f t="shared" si="237"/>
        <v>9317.3281082757512</v>
      </c>
      <c r="CG53" s="325">
        <f t="shared" si="238"/>
        <v>9371.817917997907</v>
      </c>
      <c r="CH53" s="20">
        <f t="shared" si="239"/>
        <v>1476313807.4112124</v>
      </c>
      <c r="CI53" s="21">
        <f t="shared" si="240"/>
        <v>65563.965794660806</v>
      </c>
      <c r="CJ53" s="21">
        <f t="shared" si="94"/>
        <v>22517.152364377504</v>
      </c>
      <c r="CK53" s="21">
        <f t="shared" si="142"/>
        <v>1473142689.6267209</v>
      </c>
      <c r="CL53" s="21">
        <f t="shared" si="143"/>
        <v>66510.89444921384</v>
      </c>
      <c r="CM53" s="21">
        <f t="shared" si="148"/>
        <v>22148.893077232304</v>
      </c>
      <c r="CN53" s="342">
        <f t="shared" si="144"/>
        <v>368.25928714519978</v>
      </c>
      <c r="CO53" s="342">
        <f t="shared" si="211"/>
        <v>338.37178127907282</v>
      </c>
      <c r="CP53" s="343">
        <f t="shared" si="212"/>
        <v>29.887505866126958</v>
      </c>
      <c r="CQ53" s="141">
        <f t="shared" si="241"/>
        <v>913175702.29286575</v>
      </c>
      <c r="CR53" s="118">
        <f t="shared" si="242"/>
        <v>97694.341743912621</v>
      </c>
      <c r="CS53" s="118">
        <f t="shared" si="104"/>
        <v>9347.2731991642304</v>
      </c>
      <c r="CT53" s="118">
        <f t="shared" si="145"/>
        <v>970113455.35797036</v>
      </c>
      <c r="CU53" s="118">
        <f t="shared" si="146"/>
        <v>104583.17705565992</v>
      </c>
      <c r="CV53" s="118">
        <f t="shared" si="149"/>
        <v>9275.9990915333256</v>
      </c>
      <c r="CW53" s="350">
        <f t="shared" si="150"/>
        <v>71.274107630904837</v>
      </c>
      <c r="CX53" s="350">
        <f t="shared" si="213"/>
        <v>64.791350465996402</v>
      </c>
      <c r="CY53" s="351">
        <f t="shared" si="214"/>
        <v>6.4827571649084348</v>
      </c>
      <c r="CZ53" s="20">
        <f t="shared" si="174"/>
        <v>-177.21666666666351</v>
      </c>
      <c r="DA53" s="21">
        <f t="shared" si="175"/>
        <v>0</v>
      </c>
      <c r="DB53" s="21">
        <f t="shared" si="176"/>
        <v>1598434212.3499999</v>
      </c>
      <c r="DC53" s="21">
        <f t="shared" si="215"/>
        <v>1101114014.7497425</v>
      </c>
      <c r="DD53" s="21">
        <f t="shared" si="216"/>
        <v>380194190.92572665</v>
      </c>
      <c r="DE53" s="21">
        <f t="shared" si="217"/>
        <v>2.8961884243119647</v>
      </c>
      <c r="DF53" s="342">
        <f t="shared" si="218"/>
        <v>74.333890174303065</v>
      </c>
      <c r="DG53" s="342">
        <f t="shared" si="247"/>
        <v>67.362248306063549</v>
      </c>
      <c r="DH53" s="355">
        <f t="shared" si="195"/>
        <v>70.609079929369855</v>
      </c>
      <c r="DI53" s="141">
        <f t="shared" si="177"/>
        <v>-29.5</v>
      </c>
      <c r="DJ53" s="118">
        <f t="shared" si="178"/>
        <v>0</v>
      </c>
      <c r="DK53" s="118">
        <f t="shared" si="179"/>
        <v>863612833.64999998</v>
      </c>
      <c r="DL53" s="118">
        <f t="shared" si="219"/>
        <v>585222809.48505998</v>
      </c>
      <c r="DM53" s="118">
        <f t="shared" si="220"/>
        <v>342408592.17969835</v>
      </c>
      <c r="DN53" s="118">
        <f t="shared" si="221"/>
        <v>1.7091358769932126</v>
      </c>
      <c r="DO53" s="350">
        <f t="shared" si="222"/>
        <v>63.087861022686333</v>
      </c>
      <c r="DP53" s="350">
        <f t="shared" si="248"/>
        <v>58.821517217287941</v>
      </c>
      <c r="DQ53" s="351">
        <f t="shared" si="196"/>
        <v>55.217323998605188</v>
      </c>
      <c r="DR53" s="135">
        <f t="shared" si="180"/>
        <v>264.70000000000073</v>
      </c>
      <c r="DS53" s="20">
        <f t="shared" si="181"/>
        <v>18639379.900000051</v>
      </c>
      <c r="DT53" s="21">
        <f t="shared" si="140"/>
        <v>15233916.127947465</v>
      </c>
      <c r="DU53" s="21">
        <f t="shared" si="135"/>
        <v>66489.567778815617</v>
      </c>
      <c r="DV53" s="319">
        <f t="shared" si="136"/>
        <v>229.11738843941131</v>
      </c>
      <c r="DW53" s="21">
        <f t="shared" si="137"/>
        <v>4582.3477687882259</v>
      </c>
      <c r="DX53" s="21">
        <f>DW53*'Base Data'!$D$10</f>
        <v>9164.6955375764519</v>
      </c>
      <c r="DY53" s="363">
        <f>IF(INT(('Base Data'!$D$7)/DX53)=0,0,INT(('Base Data'!$D$7)/DX53))</f>
        <v>1</v>
      </c>
      <c r="DZ53" s="364">
        <f t="shared" si="126"/>
        <v>1.0106923596812936E-2</v>
      </c>
      <c r="EA53" s="141">
        <f t="shared" si="182"/>
        <v>54.050000000001091</v>
      </c>
      <c r="EB53" s="143">
        <f t="shared" si="183"/>
        <v>4957520.0500001004</v>
      </c>
      <c r="EC53" s="118">
        <f t="shared" si="141"/>
        <v>6686955.797232952</v>
      </c>
      <c r="ED53" s="118">
        <f t="shared" si="138"/>
        <v>102835.25126676634</v>
      </c>
      <c r="EE53" s="329">
        <f t="shared" si="139"/>
        <v>65.025910034354155</v>
      </c>
      <c r="EF53" s="118">
        <f t="shared" si="127"/>
        <v>4876.9432525765615</v>
      </c>
      <c r="EG53" s="118">
        <f>EF53*'Base Data'!$D$10</f>
        <v>9753.8865051531229</v>
      </c>
      <c r="EH53" s="375">
        <f>IF(INT(('Base Data'!$D$7)/EG53)=0,0,INT(('Base Data'!$D$7)/EG53))</f>
        <v>1</v>
      </c>
      <c r="EI53" s="376">
        <f t="shared" si="128"/>
        <v>6.9067755060494285E-3</v>
      </c>
      <c r="EJ53" s="135">
        <f t="shared" si="184"/>
        <v>264.70000000000073</v>
      </c>
      <c r="EK53" s="21">
        <f t="shared" si="185"/>
        <v>18639379.900000051</v>
      </c>
      <c r="EL53" s="21">
        <f t="shared" si="78"/>
        <v>14315153.319090463</v>
      </c>
      <c r="EM53" s="21">
        <f t="shared" si="231"/>
        <v>64414.522724820446</v>
      </c>
      <c r="EN53" s="319">
        <f t="shared" si="75"/>
        <v>222.23487365178434</v>
      </c>
      <c r="EO53" s="21">
        <f t="shared" si="64"/>
        <v>4444.6974730356869</v>
      </c>
      <c r="EP53" s="21">
        <f>EO53*'Base Data'!$D$13</f>
        <v>3333.5231047767652</v>
      </c>
      <c r="EQ53" s="363">
        <f>IF(INT(('Base Data'!$D$7)/EP53)=0,0,INT(('Base Data'!$D$7)/EP53))</f>
        <v>3</v>
      </c>
      <c r="ER53" s="314">
        <f t="shared" si="227"/>
        <v>9.8033191799405082E-3</v>
      </c>
      <c r="ES53" s="143">
        <f t="shared" si="186"/>
        <v>54.050000000001091</v>
      </c>
      <c r="ET53" s="118">
        <f t="shared" si="187"/>
        <v>4957520.0500001004</v>
      </c>
      <c r="EU53" s="118">
        <f t="shared" si="79"/>
        <v>5512191.1135440944</v>
      </c>
      <c r="EV53" s="118">
        <f t="shared" si="232"/>
        <v>93291.433995184285</v>
      </c>
      <c r="EW53" s="329">
        <f t="shared" si="77"/>
        <v>59.085715349049458</v>
      </c>
      <c r="EX53" s="118">
        <f t="shared" si="66"/>
        <v>4431.4286511787095</v>
      </c>
      <c r="EY53" s="118">
        <f>EX53*'Base Data'!$D$13</f>
        <v>3323.5714883840319</v>
      </c>
      <c r="EZ53" s="375">
        <f>IF(INT(('Base Data'!$D$7)/EY53)=0,0,INT(('Base Data'!$D$7)/EY53))</f>
        <v>3</v>
      </c>
      <c r="FA53" s="385">
        <f t="shared" si="228"/>
        <v>6.2758332995973849E-3</v>
      </c>
      <c r="FB53" s="397">
        <f t="shared" si="129"/>
        <v>2.2802340468341495</v>
      </c>
      <c r="FC53" s="403">
        <f t="shared" si="229"/>
        <v>1.529912899865218E-2</v>
      </c>
      <c r="FD53" s="510">
        <f t="shared" si="130"/>
        <v>2.1229754820113853</v>
      </c>
      <c r="FE53" s="509">
        <f t="shared" si="230"/>
        <v>0.8836033045366527</v>
      </c>
      <c r="FF53" s="20">
        <f t="shared" si="165"/>
        <v>264.70000000000073</v>
      </c>
      <c r="FG53" s="17">
        <f t="shared" si="166"/>
        <v>1.1585766183744068E-2</v>
      </c>
      <c r="FH53" s="388">
        <f t="shared" si="70"/>
        <v>9.0663879377870567E-3</v>
      </c>
      <c r="FI53" s="388">
        <f t="shared" si="105"/>
        <v>8.9543436801070748E-3</v>
      </c>
      <c r="FJ53" s="314">
        <f t="shared" si="131"/>
        <v>9.2910339958443815E-3</v>
      </c>
      <c r="FK53" s="442">
        <f t="shared" si="167"/>
        <v>54.050000000001091</v>
      </c>
      <c r="FL53" s="18">
        <f t="shared" si="168"/>
        <v>5.7327711929574515E-3</v>
      </c>
      <c r="FM53" s="394">
        <f t="shared" si="71"/>
        <v>5.3355272222768493E-3</v>
      </c>
      <c r="FN53" s="394">
        <f t="shared" si="106"/>
        <v>5.6877432541405804E-3</v>
      </c>
      <c r="FO53" s="385">
        <f t="shared" si="132"/>
        <v>6.7040595244481039E-3</v>
      </c>
      <c r="FP53" s="416">
        <f t="shared" si="188"/>
        <v>2</v>
      </c>
      <c r="FQ53" s="417">
        <f t="shared" si="189"/>
        <v>2</v>
      </c>
      <c r="FR53" s="415">
        <f t="shared" si="122"/>
        <v>59.767572283150436</v>
      </c>
      <c r="FS53" s="413" t="str">
        <f t="shared" si="133"/>
        <v>T-D</v>
      </c>
      <c r="FT53" s="404">
        <f t="shared" si="123"/>
        <v>52.143148727717559</v>
      </c>
      <c r="FU53" s="414" t="str">
        <f t="shared" si="134"/>
        <v>T-R</v>
      </c>
      <c r="FV53" s="415">
        <f t="shared" si="225"/>
        <v>46.895997662868822</v>
      </c>
      <c r="FW53" s="413" t="str">
        <f t="shared" si="72"/>
        <v>T-D</v>
      </c>
      <c r="FX53" s="404">
        <f t="shared" si="226"/>
        <v>44.640718562873815</v>
      </c>
      <c r="FY53" s="414" t="str">
        <f t="shared" si="73"/>
        <v>T-D</v>
      </c>
    </row>
    <row r="54" spans="1:181" x14ac:dyDescent="0.3">
      <c r="E54" s="22"/>
      <c r="F54" s="22"/>
      <c r="G54" s="23"/>
      <c r="H54" s="23"/>
      <c r="I54" s="23"/>
      <c r="J54" s="23"/>
      <c r="L54" s="283">
        <f t="shared" si="35"/>
        <v>51</v>
      </c>
      <c r="M54" s="290">
        <f>'[4]BANKNIFTY-I'!C70</f>
        <v>42870</v>
      </c>
      <c r="N54" s="7">
        <f>'[4]BANKNIFTY-I'!D70</f>
        <v>22741.05</v>
      </c>
      <c r="O54" s="7">
        <f>'[4]BANKNIFTY-I'!E70</f>
        <v>22856.400000000001</v>
      </c>
      <c r="P54" s="7">
        <f>'[4]BANKNIFTY-I'!F70</f>
        <v>22722.2</v>
      </c>
      <c r="Q54" s="7">
        <f>'[4]BANKNIFTY-I'!G70</f>
        <v>22827.35</v>
      </c>
      <c r="R54" s="11">
        <f>'[4]BANKNIFTY-I'!H70</f>
        <v>49478</v>
      </c>
      <c r="S54" s="291">
        <f>'[5]NIFTY-I'!C70</f>
        <v>42870</v>
      </c>
      <c r="T54" s="9">
        <f>'[5]NIFTY-I'!D70</f>
        <v>9448</v>
      </c>
      <c r="U54" s="9">
        <f>'[5]NIFTY-I'!E70</f>
        <v>9458</v>
      </c>
      <c r="V54" s="9">
        <f>'[5]NIFTY-I'!F70</f>
        <v>9437</v>
      </c>
      <c r="W54" s="9">
        <f>'[5]NIFTY-I'!G70</f>
        <v>9453.2999999999993</v>
      </c>
      <c r="X54" s="12">
        <f>'[5]NIFTY-I'!H70</f>
        <v>52787</v>
      </c>
      <c r="Y54" s="115"/>
      <c r="Z54" s="122">
        <f t="shared" si="36"/>
        <v>6.9455866106745076E-3</v>
      </c>
      <c r="AA54" s="19">
        <f t="shared" si="169"/>
        <v>4.0809677108476165E-3</v>
      </c>
      <c r="AB54" s="305">
        <f>IF(OR(SUM(Z34:Z54)=0,SUM('BNF-Nifty'!AA34:AA54)=0),0,(_xlfn.COVARIANCE.P(Z34:Z54,'BNF-Nifty'!AA34:AA54)/_xlfn.VAR.P('BNF-Nifty'!AA34:AA54)))</f>
        <v>0.99890807569043727</v>
      </c>
      <c r="AC54" s="306">
        <f>IF(OR(SUM(AA34:AA54)=0,SUM('BNF-Nifty'!AA34:AA54)=0),0,(_xlfn.COVARIANCE.P(AA34:AA54,'BNF-Nifty'!AA34:AA54)/_xlfn.VAR.P('BNF-Nifty'!AA34:AA54)))</f>
        <v>1</v>
      </c>
      <c r="AD54" s="122">
        <f t="shared" si="151"/>
        <v>4.9685037667926597E-3</v>
      </c>
      <c r="AE54" s="364">
        <f t="shared" si="124"/>
        <v>-4.3046494641261548E-2</v>
      </c>
      <c r="AF54" s="513">
        <f t="shared" si="152"/>
        <v>7.2567767448070922E-3</v>
      </c>
      <c r="AG54" s="522">
        <f t="shared" si="125"/>
        <v>0.15167505229767089</v>
      </c>
      <c r="AH54" s="466">
        <f t="shared" si="170"/>
        <v>6.9455866106745076E-3</v>
      </c>
      <c r="AI54" s="17">
        <f t="shared" si="38"/>
        <v>6.333099014680578E-3</v>
      </c>
      <c r="AJ54" s="17">
        <f t="shared" si="39"/>
        <v>6.3715088435900395E-3</v>
      </c>
      <c r="AK54" s="314">
        <f t="shared" si="40"/>
        <v>0.12172750553814991</v>
      </c>
      <c r="AL54" s="467">
        <f t="shared" si="171"/>
        <v>4.0809677108476165E-3</v>
      </c>
      <c r="AM54" s="18">
        <f t="shared" si="198"/>
        <v>4.2426886432856614E-3</v>
      </c>
      <c r="AN54" s="18">
        <f t="shared" si="199"/>
        <v>4.2331596185180721E-3</v>
      </c>
      <c r="AO54" s="385">
        <f t="shared" si="200"/>
        <v>8.0874400955345593E-2</v>
      </c>
      <c r="AP54" s="10">
        <f t="shared" si="153"/>
        <v>5.8887454993283616E-3</v>
      </c>
      <c r="AQ54" s="17">
        <f t="shared" ref="AQ54:AQ67" si="249">AR53</f>
        <v>9.4699504882246772E-3</v>
      </c>
      <c r="AR54" s="17">
        <f t="shared" ref="AR54:AR67" si="250">SQRT((0.94*(AQ54^2))+(0.06*(AP54^2)))</f>
        <v>9.2940735916934077E-3</v>
      </c>
      <c r="AS54" s="314">
        <f t="shared" ref="AS54:AS67" si="251">AR54*SQRT(365)</f>
        <v>0.1775630266515292</v>
      </c>
      <c r="AT54" s="448">
        <f t="shared" si="154"/>
        <v>2.2228111824879669E-3</v>
      </c>
      <c r="AU54" s="18">
        <f t="shared" ref="AU54:AU67" si="252">AV53</f>
        <v>6.5626206306546109E-3</v>
      </c>
      <c r="AV54" s="18">
        <f t="shared" ref="AV54:AV67" si="253">SQRT((0.94*(AU54^2))+(0.06*(AT54^2)))</f>
        <v>6.385950480747523E-3</v>
      </c>
      <c r="AW54" s="385">
        <f t="shared" ref="AW54:AW61" si="254">AV54*SQRT(365)</f>
        <v>0.12200341262864012</v>
      </c>
      <c r="AX54" s="6">
        <f t="shared" si="155"/>
        <v>1125181671.8999999</v>
      </c>
      <c r="AY54" s="319">
        <v>0</v>
      </c>
      <c r="AZ54" s="140">
        <f t="shared" si="156"/>
        <v>498731576</v>
      </c>
      <c r="BA54" s="481">
        <v>0</v>
      </c>
      <c r="BB54" s="135">
        <f t="shared" si="243"/>
        <v>1429543073.4426899</v>
      </c>
      <c r="BC54" s="21">
        <f t="shared" si="244"/>
        <v>63443.387731852934</v>
      </c>
      <c r="BD54" s="319">
        <f t="shared" si="100"/>
        <v>22532.577854838626</v>
      </c>
      <c r="BE54" s="21">
        <f t="shared" si="157"/>
        <v>22801.983333333337</v>
      </c>
      <c r="BF54" s="21">
        <f t="shared" si="158"/>
        <v>1128196531.3666668</v>
      </c>
      <c r="BG54" s="21">
        <f t="shared" si="59"/>
        <v>1340684234.9379284</v>
      </c>
      <c r="BH54" s="21">
        <f t="shared" si="223"/>
        <v>58925.840530782887</v>
      </c>
      <c r="BI54" s="332">
        <f t="shared" si="56"/>
        <v>22752.059586448398</v>
      </c>
      <c r="BJ54" s="141">
        <f t="shared" si="245"/>
        <v>859977742.06204247</v>
      </c>
      <c r="BK54" s="118">
        <f t="shared" si="246"/>
        <v>92019.279288913691</v>
      </c>
      <c r="BL54" s="329">
        <f t="shared" si="107"/>
        <v>9345.6257069995445</v>
      </c>
      <c r="BM54" s="118">
        <f t="shared" si="159"/>
        <v>9449.4333333333325</v>
      </c>
      <c r="BN54" s="118">
        <f t="shared" si="160"/>
        <v>498807237.36666662</v>
      </c>
      <c r="BO54" s="118">
        <f t="shared" si="60"/>
        <v>726148811.84582067</v>
      </c>
      <c r="BP54" s="118">
        <f t="shared" si="224"/>
        <v>77187.820149480875</v>
      </c>
      <c r="BQ54" s="325">
        <f t="shared" si="61"/>
        <v>9407.5569233535916</v>
      </c>
      <c r="BR54" s="6">
        <f t="shared" si="161"/>
        <v>1124249011.6000001</v>
      </c>
      <c r="BS54" s="8">
        <f t="shared" si="162"/>
        <v>1130888959.2</v>
      </c>
      <c r="BT54" s="331">
        <f t="shared" si="233"/>
        <v>22567.015928504727</v>
      </c>
      <c r="BU54" s="319">
        <f t="shared" si="207"/>
        <v>22708.776106210291</v>
      </c>
      <c r="BV54" s="319">
        <f t="shared" si="208"/>
        <v>22882.072145360442</v>
      </c>
      <c r="BW54" s="331">
        <f t="shared" si="172"/>
        <v>21919.355354912324</v>
      </c>
      <c r="BX54" s="319">
        <f t="shared" si="234"/>
        <v>22452.983486693123</v>
      </c>
      <c r="BY54" s="332">
        <f t="shared" si="235"/>
        <v>22663.112134352756</v>
      </c>
      <c r="BZ54" s="140">
        <f t="shared" si="163"/>
        <v>498150919</v>
      </c>
      <c r="CA54" s="142">
        <f t="shared" si="164"/>
        <v>499259446</v>
      </c>
      <c r="CB54" s="339">
        <f t="shared" si="236"/>
        <v>9357.6030632183902</v>
      </c>
      <c r="CC54" s="329">
        <f t="shared" si="209"/>
        <v>9384.1829398134196</v>
      </c>
      <c r="CD54" s="329">
        <f t="shared" si="210"/>
        <v>9431.090699122331</v>
      </c>
      <c r="CE54" s="339">
        <f t="shared" si="173"/>
        <v>9243.6242139880123</v>
      </c>
      <c r="CF54" s="329">
        <f t="shared" si="237"/>
        <v>9331.6938094373854</v>
      </c>
      <c r="CG54" s="325">
        <f t="shared" si="238"/>
        <v>9384.9371744933451</v>
      </c>
      <c r="CH54" s="20">
        <f t="shared" si="239"/>
        <v>1422757303.4043593</v>
      </c>
      <c r="CI54" s="21">
        <f t="shared" si="240"/>
        <v>63089.201826251454</v>
      </c>
      <c r="CJ54" s="21">
        <f t="shared" si="94"/>
        <v>22551.518520120968</v>
      </c>
      <c r="CK54" s="21">
        <f t="shared" si="142"/>
        <v>1447591122.3481984</v>
      </c>
      <c r="CL54" s="21">
        <f t="shared" si="143"/>
        <v>65249.198564086888</v>
      </c>
      <c r="CM54" s="21">
        <f t="shared" si="148"/>
        <v>22185.57705235864</v>
      </c>
      <c r="CN54" s="342">
        <f t="shared" si="144"/>
        <v>365.9414677623281</v>
      </c>
      <c r="CO54" s="342">
        <f t="shared" si="211"/>
        <v>343.8857185757239</v>
      </c>
      <c r="CP54" s="343">
        <f t="shared" si="212"/>
        <v>22.055749186604203</v>
      </c>
      <c r="CQ54" s="141">
        <f t="shared" si="241"/>
        <v>849426707.68883514</v>
      </c>
      <c r="CR54" s="118">
        <f t="shared" si="242"/>
        <v>90785.519937156831</v>
      </c>
      <c r="CS54" s="118">
        <f t="shared" si="104"/>
        <v>9356.4117744418018</v>
      </c>
      <c r="CT54" s="118">
        <f t="shared" si="145"/>
        <v>935201883.6549108</v>
      </c>
      <c r="CU54" s="118">
        <f t="shared" si="146"/>
        <v>100746.42319968512</v>
      </c>
      <c r="CV54" s="118">
        <f t="shared" si="149"/>
        <v>9282.7303834031682</v>
      </c>
      <c r="CW54" s="350">
        <f t="shared" si="150"/>
        <v>73.681391038633592</v>
      </c>
      <c r="CX54" s="350">
        <f t="shared" si="213"/>
        <v>66.56935858052384</v>
      </c>
      <c r="CY54" s="351">
        <f t="shared" si="214"/>
        <v>7.112032458109752</v>
      </c>
      <c r="CZ54" s="20">
        <f t="shared" si="174"/>
        <v>102.43333333333794</v>
      </c>
      <c r="DA54" s="21">
        <f t="shared" si="175"/>
        <v>1128196531.3666668</v>
      </c>
      <c r="DB54" s="21">
        <f t="shared" si="176"/>
        <v>0</v>
      </c>
      <c r="DC54" s="21">
        <f t="shared" ref="DC54:DC67" si="255">((DA54-DC53)*(2/(1+14)))+DC53</f>
        <v>1104725016.9653325</v>
      </c>
      <c r="DD54" s="21">
        <f t="shared" ref="DD54:DD67" si="256">((DB54-DD53)*(2/(1+14)))+DD53</f>
        <v>329501632.13562977</v>
      </c>
      <c r="DE54" s="21">
        <f t="shared" ref="DE54:DE67" si="257">IF(DD54=0,100000,(DC54/DD54))</f>
        <v>3.3527148554778767</v>
      </c>
      <c r="DF54" s="342">
        <f t="shared" ref="DF54:DF67" si="258">100-(100/(1+DE54))</f>
        <v>77.025832538938232</v>
      </c>
      <c r="DG54" s="342">
        <f t="shared" si="247"/>
        <v>67.980238447012084</v>
      </c>
      <c r="DH54" s="355">
        <f t="shared" si="195"/>
        <v>70.917717732859558</v>
      </c>
      <c r="DI54" s="141">
        <f t="shared" si="177"/>
        <v>33.783333333332848</v>
      </c>
      <c r="DJ54" s="118">
        <f t="shared" si="178"/>
        <v>498807237.36666662</v>
      </c>
      <c r="DK54" s="118">
        <f t="shared" si="179"/>
        <v>0</v>
      </c>
      <c r="DL54" s="118">
        <f t="shared" ref="DL54:DL67" si="259">((DJ54-DL53)*(2/(1+14)))+DL53</f>
        <v>573700733.20260751</v>
      </c>
      <c r="DM54" s="118">
        <f t="shared" ref="DM54:DM67" si="260">((DK54-DM53)*(2/(1+14)))+DM53</f>
        <v>296754113.22240525</v>
      </c>
      <c r="DN54" s="118">
        <f t="shared" ref="DN54:DN67" si="261">IF(DM54=0,100000,(DL54/DM54))</f>
        <v>1.9332528434833924</v>
      </c>
      <c r="DO54" s="350">
        <f t="shared" ref="DO54:DO67" si="262">100-(100/(1+DN54))</f>
        <v>65.908155438368311</v>
      </c>
      <c r="DP54" s="350">
        <f t="shared" si="248"/>
        <v>59.048188536653328</v>
      </c>
      <c r="DQ54" s="351">
        <f t="shared" si="196"/>
        <v>55.989234516459319</v>
      </c>
      <c r="DR54" s="135">
        <f t="shared" si="180"/>
        <v>187.05000000000291</v>
      </c>
      <c r="DS54" s="20">
        <f t="shared" si="181"/>
        <v>9254859.9000001438</v>
      </c>
      <c r="DT54" s="21">
        <f t="shared" si="140"/>
        <v>14690365.561770435</v>
      </c>
      <c r="DU54" s="21">
        <f t="shared" si="135"/>
        <v>64943.061617105108</v>
      </c>
      <c r="DV54" s="319">
        <f t="shared" si="136"/>
        <v>226.20377290468232</v>
      </c>
      <c r="DW54" s="21">
        <f t="shared" si="137"/>
        <v>4524.0754580936464</v>
      </c>
      <c r="DX54" s="21">
        <f>DW54*'Base Data'!$D$10</f>
        <v>9048.1509161872928</v>
      </c>
      <c r="DY54" s="363">
        <f>IF(INT(('Base Data'!$D$7)/DX54)=0,0,INT(('Base Data'!$D$7)/DX54))</f>
        <v>1</v>
      </c>
      <c r="DZ54" s="364">
        <f t="shared" si="126"/>
        <v>9.9093312585421586E-3</v>
      </c>
      <c r="EA54" s="141">
        <f t="shared" si="182"/>
        <v>43.200000000000728</v>
      </c>
      <c r="EB54" s="143">
        <f t="shared" si="183"/>
        <v>2280398.4000000386</v>
      </c>
      <c r="EC54" s="118">
        <f t="shared" si="141"/>
        <v>6286359.670211778</v>
      </c>
      <c r="ED54" s="118">
        <f t="shared" si="138"/>
        <v>98285.410242514859</v>
      </c>
      <c r="EE54" s="329">
        <f t="shared" si="139"/>
        <v>63.960252642792724</v>
      </c>
      <c r="EF54" s="118">
        <f t="shared" si="127"/>
        <v>4797.0189482094547</v>
      </c>
      <c r="EG54" s="118">
        <f>EF54*'Base Data'!$D$10</f>
        <v>9594.0378964189094</v>
      </c>
      <c r="EH54" s="375">
        <f>IF(INT(('Base Data'!$D$7)/EG54)=0,0,INT(('Base Data'!$D$7)/EG54))</f>
        <v>1</v>
      </c>
      <c r="EI54" s="376">
        <f t="shared" si="128"/>
        <v>6.7659180014167253E-3</v>
      </c>
      <c r="EJ54" s="135">
        <f t="shared" si="184"/>
        <v>187.05000000000291</v>
      </c>
      <c r="EK54" s="21">
        <f t="shared" si="185"/>
        <v>9254859.9000001438</v>
      </c>
      <c r="EL54" s="21">
        <f t="shared" si="78"/>
        <v>13190643.670403726</v>
      </c>
      <c r="EM54" s="21">
        <f t="shared" si="231"/>
        <v>61095.295452638122</v>
      </c>
      <c r="EN54" s="319">
        <f t="shared" si="75"/>
        <v>215.90277242589468</v>
      </c>
      <c r="EO54" s="21">
        <f t="shared" si="64"/>
        <v>4318.0554485178936</v>
      </c>
      <c r="EP54" s="21">
        <f>EO54*'Base Data'!$D$13</f>
        <v>3238.54158638842</v>
      </c>
      <c r="EQ54" s="363">
        <f>IF(INT(('Base Data'!$D$7)/EP54)=0,0,INT(('Base Data'!$D$7)/EP54))</f>
        <v>3</v>
      </c>
      <c r="ER54" s="314">
        <f t="shared" si="227"/>
        <v>9.4580743023563712E-3</v>
      </c>
      <c r="ES54" s="143">
        <f t="shared" si="186"/>
        <v>43.200000000000728</v>
      </c>
      <c r="ET54" s="118">
        <f t="shared" si="187"/>
        <v>2280398.4000000386</v>
      </c>
      <c r="EU54" s="118">
        <f t="shared" si="79"/>
        <v>4794014.9549787492</v>
      </c>
      <c r="EV54" s="118">
        <f t="shared" si="232"/>
        <v>84290.448662921117</v>
      </c>
      <c r="EW54" s="329">
        <f t="shared" si="77"/>
        <v>56.874948834951553</v>
      </c>
      <c r="EX54" s="118">
        <f t="shared" si="66"/>
        <v>4265.6211626213662</v>
      </c>
      <c r="EY54" s="118">
        <f>EX54*'Base Data'!$D$13</f>
        <v>3199.2158719660247</v>
      </c>
      <c r="EZ54" s="375">
        <f>IF(INT(('Base Data'!$D$7)/EY54)=0,0,INT(('Base Data'!$D$7)/EY54))</f>
        <v>3</v>
      </c>
      <c r="FA54" s="385">
        <f t="shared" si="228"/>
        <v>6.0164121349107254E-3</v>
      </c>
      <c r="FB54" s="397">
        <f t="shared" si="129"/>
        <v>2.7935024493029355</v>
      </c>
      <c r="FC54" s="403">
        <f t="shared" si="229"/>
        <v>0.5686394479972291</v>
      </c>
      <c r="FD54" s="510">
        <f t="shared" si="130"/>
        <v>2.6299939793004392</v>
      </c>
      <c r="FE54" s="509">
        <f t="shared" si="230"/>
        <v>1.4083162852437534</v>
      </c>
      <c r="FF54" s="20">
        <f t="shared" si="165"/>
        <v>134.20000000000073</v>
      </c>
      <c r="FG54" s="17">
        <f t="shared" si="166"/>
        <v>5.9012226788121361E-3</v>
      </c>
      <c r="FH54" s="388">
        <f t="shared" si="70"/>
        <v>8.7668116973177411E-3</v>
      </c>
      <c r="FI54" s="388">
        <f t="shared" si="105"/>
        <v>8.8348191082886513E-3</v>
      </c>
      <c r="FJ54" s="314">
        <f t="shared" si="131"/>
        <v>9.010743116289157E-3</v>
      </c>
      <c r="FK54" s="442">
        <f t="shared" si="167"/>
        <v>21</v>
      </c>
      <c r="FL54" s="18">
        <f t="shared" si="168"/>
        <v>2.2226926333615581E-3</v>
      </c>
      <c r="FM54" s="394">
        <f t="shared" si="71"/>
        <v>4.932303434611077E-3</v>
      </c>
      <c r="FN54" s="394">
        <f t="shared" si="106"/>
        <v>5.4120330616300276E-3</v>
      </c>
      <c r="FO54" s="385">
        <f t="shared" si="132"/>
        <v>6.3368975153812309E-3</v>
      </c>
      <c r="FP54" s="416">
        <f t="shared" si="188"/>
        <v>1</v>
      </c>
      <c r="FQ54" s="417">
        <f t="shared" si="189"/>
        <v>1</v>
      </c>
      <c r="FR54" s="415">
        <f t="shared" si="122"/>
        <v>68.192298105682895</v>
      </c>
      <c r="FS54" s="413" t="str">
        <f t="shared" si="133"/>
        <v>T-R</v>
      </c>
      <c r="FT54" s="404">
        <f t="shared" si="123"/>
        <v>73.765138114028773</v>
      </c>
      <c r="FU54" s="414" t="str">
        <f t="shared" si="134"/>
        <v>T-R</v>
      </c>
      <c r="FV54" s="415">
        <f t="shared" si="225"/>
        <v>18.486116394065657</v>
      </c>
      <c r="FW54" s="413" t="str">
        <f t="shared" si="72"/>
        <v>C-D</v>
      </c>
      <c r="FX54" s="404">
        <f t="shared" si="226"/>
        <v>45.718562874250622</v>
      </c>
      <c r="FY54" s="414" t="str">
        <f t="shared" si="73"/>
        <v>T-R</v>
      </c>
    </row>
    <row r="55" spans="1:181" ht="12.45" x14ac:dyDescent="0.3">
      <c r="A55" s="459" t="s">
        <v>264</v>
      </c>
      <c r="L55" s="283">
        <f t="shared" si="35"/>
        <v>52</v>
      </c>
      <c r="M55" s="290">
        <f>'[4]BANKNIFTY-I'!C71</f>
        <v>42871</v>
      </c>
      <c r="N55" s="7">
        <f>'[4]BANKNIFTY-I'!D71</f>
        <v>22825.05</v>
      </c>
      <c r="O55" s="7">
        <f>'[4]BANKNIFTY-I'!E71</f>
        <v>22954.35</v>
      </c>
      <c r="P55" s="7">
        <f>'[4]BANKNIFTY-I'!F71</f>
        <v>22751.55</v>
      </c>
      <c r="Q55" s="7">
        <f>'[4]BANKNIFTY-I'!G71</f>
        <v>22941.05</v>
      </c>
      <c r="R55" s="11">
        <f>'[4]BANKNIFTY-I'!H71</f>
        <v>67117</v>
      </c>
      <c r="S55" s="291">
        <f>'[5]NIFTY-I'!C71</f>
        <v>42871</v>
      </c>
      <c r="T55" s="9">
        <f>'[5]NIFTY-I'!D71</f>
        <v>9462.2000000000007</v>
      </c>
      <c r="U55" s="9">
        <f>'[5]NIFTY-I'!E71</f>
        <v>9532.5</v>
      </c>
      <c r="V55" s="9">
        <f>'[5]NIFTY-I'!F71</f>
        <v>9458</v>
      </c>
      <c r="W55" s="9">
        <f>'[5]NIFTY-I'!G71</f>
        <v>9522.15</v>
      </c>
      <c r="X55" s="12">
        <f>'[5]NIFTY-I'!H71</f>
        <v>107373</v>
      </c>
      <c r="Y55" s="115"/>
      <c r="Z55" s="122">
        <f t="shared" si="36"/>
        <v>4.9685037667926597E-3</v>
      </c>
      <c r="AA55" s="19">
        <f t="shared" si="169"/>
        <v>7.2567767448070922E-3</v>
      </c>
      <c r="AB55" s="305">
        <f>IF(OR(SUM(Z35:Z55)=0,SUM('BNF-Nifty'!AA35:AA55)=0),0,(_xlfn.COVARIANCE.P(Z35:Z55,'BNF-Nifty'!AA35:AA55)/_xlfn.VAR.P('BNF-Nifty'!AA35:AA55)))</f>
        <v>1.0210348101089437</v>
      </c>
      <c r="AC55" s="306">
        <f>IF(OR(SUM(AA35:AA55)=0,SUM('BNF-Nifty'!AA35:AA55)=0),0,(_xlfn.COVARIANCE.P(AA35:AA55,'BNF-Nifty'!AA35:AA55)/_xlfn.VAR.P('BNF-Nifty'!AA35:AA55)))</f>
        <v>1.0000000000000002</v>
      </c>
      <c r="AD55" s="122">
        <f t="shared" si="151"/>
        <v>-4.4253624123865665E-4</v>
      </c>
      <c r="AE55" s="364">
        <f t="shared" si="124"/>
        <v>-6.1398329456714057E-2</v>
      </c>
      <c r="AF55" s="513">
        <f t="shared" si="152"/>
        <v>1.217470854992742E-3</v>
      </c>
      <c r="AG55" s="522">
        <f t="shared" si="125"/>
        <v>8.2043184456058627E-2</v>
      </c>
      <c r="AH55" s="466">
        <f t="shared" si="170"/>
        <v>4.9685037667926597E-3</v>
      </c>
      <c r="AI55" s="17">
        <f t="shared" si="38"/>
        <v>6.3715088435900395E-3</v>
      </c>
      <c r="AJ55" s="17">
        <f t="shared" si="39"/>
        <v>6.2961511440043499E-3</v>
      </c>
      <c r="AK55" s="314">
        <f t="shared" si="40"/>
        <v>0.12028779870907007</v>
      </c>
      <c r="AL55" s="467">
        <f t="shared" si="171"/>
        <v>7.2567767448070922E-3</v>
      </c>
      <c r="AM55" s="18">
        <f t="shared" si="198"/>
        <v>4.2331596185180721E-3</v>
      </c>
      <c r="AN55" s="18">
        <f t="shared" si="199"/>
        <v>4.4725954945578662E-3</v>
      </c>
      <c r="AO55" s="385">
        <f t="shared" si="200"/>
        <v>8.5448816944109024E-2</v>
      </c>
      <c r="AP55" s="10">
        <f t="shared" si="153"/>
        <v>8.8741860850863018E-3</v>
      </c>
      <c r="AQ55" s="17">
        <f t="shared" si="249"/>
        <v>9.2940735916934077E-3</v>
      </c>
      <c r="AR55" s="17">
        <f t="shared" si="250"/>
        <v>9.2694167245036714E-3</v>
      </c>
      <c r="AS55" s="314">
        <f t="shared" si="251"/>
        <v>0.17709195786530102</v>
      </c>
      <c r="AT55" s="448">
        <f t="shared" si="154"/>
        <v>7.8460685278976192E-3</v>
      </c>
      <c r="AU55" s="18">
        <f t="shared" si="252"/>
        <v>6.385950480747523E-3</v>
      </c>
      <c r="AV55" s="18">
        <f t="shared" si="253"/>
        <v>6.482838052170814E-3</v>
      </c>
      <c r="AW55" s="385">
        <f t="shared" si="254"/>
        <v>0.1238544470816287</v>
      </c>
      <c r="AX55" s="6">
        <f t="shared" si="155"/>
        <v>1531948880.8499999</v>
      </c>
      <c r="AY55" s="319">
        <v>0</v>
      </c>
      <c r="AZ55" s="140">
        <f t="shared" si="156"/>
        <v>1015984800.6</v>
      </c>
      <c r="BA55" s="481">
        <v>0</v>
      </c>
      <c r="BB55" s="135">
        <f t="shared" si="243"/>
        <v>1444172474.5008771</v>
      </c>
      <c r="BC55" s="21">
        <f t="shared" si="244"/>
        <v>63968.189484445371</v>
      </c>
      <c r="BD55" s="319">
        <f t="shared" si="100"/>
        <v>22576.416280345795</v>
      </c>
      <c r="BE55" s="21">
        <f t="shared" si="157"/>
        <v>22882.316666666666</v>
      </c>
      <c r="BF55" s="21">
        <f t="shared" si="158"/>
        <v>1535792447.7166667</v>
      </c>
      <c r="BG55" s="21">
        <f t="shared" si="59"/>
        <v>1405720305.8641746</v>
      </c>
      <c r="BH55" s="21">
        <f t="shared" si="223"/>
        <v>61656.227020521925</v>
      </c>
      <c r="BI55" s="332">
        <f t="shared" si="56"/>
        <v>22799.324152551348</v>
      </c>
      <c r="BJ55" s="141">
        <f t="shared" si="245"/>
        <v>882264464.71032214</v>
      </c>
      <c r="BK55" s="118">
        <f t="shared" si="246"/>
        <v>94212.667961926025</v>
      </c>
      <c r="BL55" s="329">
        <f t="shared" si="107"/>
        <v>9364.605459075523</v>
      </c>
      <c r="BM55" s="118">
        <f t="shared" si="159"/>
        <v>9504.2166666666672</v>
      </c>
      <c r="BN55" s="118">
        <f t="shared" si="160"/>
        <v>1020496256.1500001</v>
      </c>
      <c r="BO55" s="118">
        <f t="shared" si="60"/>
        <v>824264626.61388052</v>
      </c>
      <c r="BP55" s="118">
        <f t="shared" si="224"/>
        <v>87249.546766320578</v>
      </c>
      <c r="BQ55" s="325">
        <f t="shared" si="61"/>
        <v>9447.2081192753776</v>
      </c>
      <c r="BR55" s="6">
        <f t="shared" si="161"/>
        <v>1527015781.3499999</v>
      </c>
      <c r="BS55" s="8">
        <f t="shared" si="162"/>
        <v>1540627108.9499998</v>
      </c>
      <c r="BT55" s="331">
        <f t="shared" si="233"/>
        <v>22639.408477896617</v>
      </c>
      <c r="BU55" s="319">
        <f t="shared" si="207"/>
        <v>22721.061719574529</v>
      </c>
      <c r="BV55" s="319">
        <f t="shared" si="208"/>
        <v>22906.475205538372</v>
      </c>
      <c r="BW55" s="331">
        <f t="shared" si="172"/>
        <v>21974.658094992345</v>
      </c>
      <c r="BX55" s="319">
        <f t="shared" si="234"/>
        <v>22519.45804006845</v>
      </c>
      <c r="BY55" s="332">
        <f t="shared" si="235"/>
        <v>22728.367785719645</v>
      </c>
      <c r="BZ55" s="140">
        <f t="shared" si="163"/>
        <v>1015533834</v>
      </c>
      <c r="CA55" s="142">
        <f t="shared" si="164"/>
        <v>1023533122.5</v>
      </c>
      <c r="CB55" s="339">
        <f t="shared" si="236"/>
        <v>9373.5938040689998</v>
      </c>
      <c r="CC55" s="329">
        <f t="shared" si="209"/>
        <v>9410.9193325361339</v>
      </c>
      <c r="CD55" s="329">
        <f t="shared" si="210"/>
        <v>9465.6514392153695</v>
      </c>
      <c r="CE55" s="339">
        <f t="shared" si="173"/>
        <v>9253.0713314020741</v>
      </c>
      <c r="CF55" s="329">
        <f t="shared" si="237"/>
        <v>9347.3766601664684</v>
      </c>
      <c r="CG55" s="325">
        <f t="shared" si="238"/>
        <v>9401.5038245042779</v>
      </c>
      <c r="CH55" s="20">
        <f t="shared" si="239"/>
        <v>1440147325.6062527</v>
      </c>
      <c r="CI55" s="21">
        <f t="shared" si="240"/>
        <v>63708.863083751232</v>
      </c>
      <c r="CJ55" s="21">
        <f t="shared" si="94"/>
        <v>22605.133036404131</v>
      </c>
      <c r="CK55" s="21">
        <f t="shared" si="142"/>
        <v>1454124553.8569739</v>
      </c>
      <c r="CL55" s="21">
        <f t="shared" si="143"/>
        <v>65387.554226006381</v>
      </c>
      <c r="CM55" s="21">
        <f t="shared" si="148"/>
        <v>22238.552444260557</v>
      </c>
      <c r="CN55" s="342">
        <f t="shared" si="144"/>
        <v>366.5805921435749</v>
      </c>
      <c r="CO55" s="342">
        <f t="shared" si="211"/>
        <v>348.42469328929411</v>
      </c>
      <c r="CP55" s="343">
        <f t="shared" si="212"/>
        <v>18.155898854280792</v>
      </c>
      <c r="CQ55" s="141">
        <f t="shared" si="241"/>
        <v>875745099.75978363</v>
      </c>
      <c r="CR55" s="118">
        <f t="shared" si="242"/>
        <v>93337.439946825005</v>
      </c>
      <c r="CS55" s="118">
        <f t="shared" si="104"/>
        <v>9382.5703839606249</v>
      </c>
      <c r="CT55" s="118">
        <f t="shared" si="145"/>
        <v>941519985.32121372</v>
      </c>
      <c r="CU55" s="118">
        <f t="shared" si="146"/>
        <v>101237.28074044918</v>
      </c>
      <c r="CV55" s="118">
        <f t="shared" si="149"/>
        <v>9300.131122003073</v>
      </c>
      <c r="CW55" s="350">
        <f t="shared" si="150"/>
        <v>82.439261957551935</v>
      </c>
      <c r="CX55" s="350">
        <f t="shared" si="213"/>
        <v>69.743339255929456</v>
      </c>
      <c r="CY55" s="351">
        <f t="shared" si="214"/>
        <v>12.695922701622479</v>
      </c>
      <c r="CZ55" s="20">
        <f t="shared" si="174"/>
        <v>80.333333333328483</v>
      </c>
      <c r="DA55" s="21">
        <f t="shared" si="175"/>
        <v>1535792447.7166667</v>
      </c>
      <c r="DB55" s="21">
        <f t="shared" si="176"/>
        <v>0</v>
      </c>
      <c r="DC55" s="21">
        <f t="shared" si="255"/>
        <v>1162200674.3988438</v>
      </c>
      <c r="DD55" s="21">
        <f t="shared" si="256"/>
        <v>285568081.18421245</v>
      </c>
      <c r="DE55" s="21">
        <f t="shared" si="257"/>
        <v>4.0697849338741001</v>
      </c>
      <c r="DF55" s="342">
        <f t="shared" si="258"/>
        <v>80.275297413142027</v>
      </c>
      <c r="DG55" s="342">
        <f t="shared" si="247"/>
        <v>68.502398956485067</v>
      </c>
      <c r="DH55" s="355">
        <f t="shared" si="195"/>
        <v>71.215624006383209</v>
      </c>
      <c r="DI55" s="141">
        <f t="shared" si="177"/>
        <v>54.783333333334667</v>
      </c>
      <c r="DJ55" s="118">
        <f t="shared" si="178"/>
        <v>1020496256.1500001</v>
      </c>
      <c r="DK55" s="118">
        <f t="shared" si="179"/>
        <v>0</v>
      </c>
      <c r="DL55" s="118">
        <f t="shared" si="259"/>
        <v>633273469.59559321</v>
      </c>
      <c r="DM55" s="118">
        <f t="shared" si="260"/>
        <v>257186898.12608457</v>
      </c>
      <c r="DN55" s="118">
        <f t="shared" si="261"/>
        <v>2.46230843876477</v>
      </c>
      <c r="DO55" s="350">
        <f t="shared" si="262"/>
        <v>71.117535664824686</v>
      </c>
      <c r="DP55" s="350">
        <f t="shared" si="248"/>
        <v>59.284020442316702</v>
      </c>
      <c r="DQ55" s="351">
        <f t="shared" si="196"/>
        <v>57.25962112745087</v>
      </c>
      <c r="DR55" s="135">
        <f t="shared" si="180"/>
        <v>202.79999999999927</v>
      </c>
      <c r="DS55" s="20">
        <f t="shared" si="181"/>
        <v>13611327.599999951</v>
      </c>
      <c r="DT55" s="21">
        <f t="shared" si="140"/>
        <v>14592271.201609483</v>
      </c>
      <c r="DU55" s="21">
        <f t="shared" si="135"/>
        <v>65140.692379186461</v>
      </c>
      <c r="DV55" s="319">
        <f t="shared" si="136"/>
        <v>224.01160731708705</v>
      </c>
      <c r="DW55" s="21">
        <f t="shared" si="137"/>
        <v>4480.2321463417411</v>
      </c>
      <c r="DX55" s="21">
        <f>DW55*'Base Data'!$D$10</f>
        <v>8960.4642926834822</v>
      </c>
      <c r="DY55" s="363">
        <f>IF(INT(('Base Data'!$D$7)/DX55)=0,0,INT(('Base Data'!$D$7)/DX55))</f>
        <v>1</v>
      </c>
      <c r="DZ55" s="364">
        <f t="shared" si="126"/>
        <v>9.7646623549090851E-3</v>
      </c>
      <c r="EA55" s="141">
        <f t="shared" si="182"/>
        <v>79.200000000000728</v>
      </c>
      <c r="EB55" s="143">
        <f t="shared" si="183"/>
        <v>8503941.6000000779</v>
      </c>
      <c r="EC55" s="118">
        <f t="shared" si="141"/>
        <v>6487958.0274652597</v>
      </c>
      <c r="ED55" s="118">
        <f t="shared" si="138"/>
        <v>99111.554765922599</v>
      </c>
      <c r="EE55" s="329">
        <f t="shared" si="139"/>
        <v>65.461166892076704</v>
      </c>
      <c r="EF55" s="118">
        <f t="shared" si="127"/>
        <v>4909.5875169057526</v>
      </c>
      <c r="EG55" s="118">
        <f>EF55*'Base Data'!$D$10</f>
        <v>9819.1750338115053</v>
      </c>
      <c r="EH55" s="375">
        <f>IF(INT(('Base Data'!$D$7)/EG55)=0,0,INT(('Base Data'!$D$7)/EG55))</f>
        <v>1</v>
      </c>
      <c r="EI55" s="376">
        <f t="shared" si="128"/>
        <v>6.8746204262773334E-3</v>
      </c>
      <c r="EJ55" s="135">
        <f t="shared" si="184"/>
        <v>202.79999999999927</v>
      </c>
      <c r="EK55" s="21">
        <f t="shared" si="185"/>
        <v>13611327.599999951</v>
      </c>
      <c r="EL55" s="21">
        <f t="shared" si="78"/>
        <v>13284128.988091776</v>
      </c>
      <c r="EM55" s="21">
        <f t="shared" si="231"/>
        <v>62433.452018718541</v>
      </c>
      <c r="EN55" s="319">
        <f t="shared" si="75"/>
        <v>212.77261721983567</v>
      </c>
      <c r="EO55" s="21">
        <f t="shared" si="64"/>
        <v>4255.4523443967137</v>
      </c>
      <c r="EP55" s="21">
        <f>EO55*'Base Data'!$D$13</f>
        <v>3191.5892582975353</v>
      </c>
      <c r="EQ55" s="363">
        <f>IF(INT(('Base Data'!$D$7)/EP55)=0,0,INT(('Base Data'!$D$7)/EP55))</f>
        <v>3</v>
      </c>
      <c r="ER55" s="314">
        <f t="shared" si="227"/>
        <v>9.27475495759068E-3</v>
      </c>
      <c r="ES55" s="143">
        <f t="shared" si="186"/>
        <v>79.200000000000728</v>
      </c>
      <c r="ET55" s="118">
        <f t="shared" si="187"/>
        <v>8503941.6000000779</v>
      </c>
      <c r="EU55" s="118">
        <f t="shared" si="79"/>
        <v>5618443.0983168222</v>
      </c>
      <c r="EV55" s="118">
        <f t="shared" si="232"/>
        <v>89419.904515605318</v>
      </c>
      <c r="EW55" s="329">
        <f t="shared" si="77"/>
        <v>62.832130371334792</v>
      </c>
      <c r="EX55" s="118">
        <f t="shared" si="66"/>
        <v>4712.4097778501091</v>
      </c>
      <c r="EY55" s="118">
        <f>EX55*'Base Data'!$D$13</f>
        <v>3534.3073333875818</v>
      </c>
      <c r="EZ55" s="375">
        <f>IF(INT(('Base Data'!$D$7)/EY55)=0,0,INT(('Base Data'!$D$7)/EY55))</f>
        <v>2</v>
      </c>
      <c r="FA55" s="385">
        <f t="shared" si="228"/>
        <v>6.5985234817068405E-3</v>
      </c>
      <c r="FB55" s="397">
        <f t="shared" si="129"/>
        <v>3.0927393991189884</v>
      </c>
      <c r="FC55" s="403">
        <f t="shared" si="229"/>
        <v>0.86294194744505592</v>
      </c>
      <c r="FD55" s="510">
        <f t="shared" si="130"/>
        <v>3.4534226946761706</v>
      </c>
      <c r="FE55" s="509">
        <f t="shared" si="230"/>
        <v>2.1537547620975896</v>
      </c>
      <c r="FF55" s="20">
        <f t="shared" si="165"/>
        <v>202.79999999999927</v>
      </c>
      <c r="FG55" s="17">
        <f t="shared" si="166"/>
        <v>8.8849750602955652E-3</v>
      </c>
      <c r="FH55" s="388">
        <f t="shared" si="70"/>
        <v>8.1738678357570656E-3</v>
      </c>
      <c r="FI55" s="388">
        <f t="shared" si="105"/>
        <v>8.7631818242086927E-3</v>
      </c>
      <c r="FJ55" s="314">
        <f t="shared" si="131"/>
        <v>9.1507594537181824E-3</v>
      </c>
      <c r="FK55" s="442">
        <f t="shared" si="167"/>
        <v>74.5</v>
      </c>
      <c r="FL55" s="18">
        <f t="shared" si="168"/>
        <v>7.8734332396271471E-3</v>
      </c>
      <c r="FM55" s="394">
        <f t="shared" si="71"/>
        <v>5.2325940420261917E-3</v>
      </c>
      <c r="FN55" s="394">
        <f t="shared" si="106"/>
        <v>5.5230833082289639E-3</v>
      </c>
      <c r="FO55" s="385">
        <f t="shared" si="132"/>
        <v>6.4816355119268554E-3</v>
      </c>
      <c r="FP55" s="416">
        <f t="shared" si="188"/>
        <v>2</v>
      </c>
      <c r="FQ55" s="417">
        <f t="shared" si="189"/>
        <v>2</v>
      </c>
      <c r="FR55" s="415">
        <f t="shared" si="122"/>
        <v>77.205882352941217</v>
      </c>
      <c r="FS55" s="413" t="str">
        <f t="shared" si="133"/>
        <v>T-R</v>
      </c>
      <c r="FT55" s="404">
        <f t="shared" si="123"/>
        <v>81.156095882555036</v>
      </c>
      <c r="FU55" s="414" t="str">
        <f t="shared" si="134"/>
        <v>T-R</v>
      </c>
      <c r="FV55" s="415">
        <f t="shared" si="225"/>
        <v>67.014856081708729</v>
      </c>
      <c r="FW55" s="413" t="str">
        <f t="shared" si="72"/>
        <v>T-R</v>
      </c>
      <c r="FX55" s="404">
        <f t="shared" si="226"/>
        <v>87.239915074309522</v>
      </c>
      <c r="FY55" s="414" t="str">
        <f t="shared" si="73"/>
        <v>T-R</v>
      </c>
    </row>
    <row r="56" spans="1:181" ht="12.45" x14ac:dyDescent="0.3">
      <c r="A56" s="464" t="s">
        <v>276</v>
      </c>
      <c r="L56" s="283">
        <f>L55+1</f>
        <v>53</v>
      </c>
      <c r="M56" s="290">
        <f>'[4]BANKNIFTY-I'!C72</f>
        <v>42872</v>
      </c>
      <c r="N56" s="7">
        <f>'[4]BANKNIFTY-I'!D72</f>
        <v>22912.75</v>
      </c>
      <c r="O56" s="7">
        <f>'[4]BANKNIFTY-I'!E72</f>
        <v>22959.95</v>
      </c>
      <c r="P56" s="7">
        <f>'[4]BANKNIFTY-I'!F72</f>
        <v>22856</v>
      </c>
      <c r="Q56" s="7">
        <f>'[4]BANKNIFTY-I'!G72</f>
        <v>22930.9</v>
      </c>
      <c r="R56" s="11">
        <f>'[4]BANKNIFTY-I'!H72</f>
        <v>46048</v>
      </c>
      <c r="S56" s="291">
        <f>'[5]NIFTY-I'!C72</f>
        <v>42872</v>
      </c>
      <c r="T56" s="9">
        <f>'[5]NIFTY-I'!D72</f>
        <v>9518.75</v>
      </c>
      <c r="U56" s="9">
        <f>'[5]NIFTY-I'!E72</f>
        <v>9537.75</v>
      </c>
      <c r="V56" s="9">
        <f>'[5]NIFTY-I'!F72</f>
        <v>9493.6</v>
      </c>
      <c r="W56" s="9">
        <f>'[5]NIFTY-I'!G72</f>
        <v>9533.75</v>
      </c>
      <c r="X56" s="12">
        <f>'[5]NIFTY-I'!H72</f>
        <v>73353</v>
      </c>
      <c r="Y56" s="115"/>
      <c r="Z56" s="122">
        <f t="shared" si="36"/>
        <v>-4.4253624123865665E-4</v>
      </c>
      <c r="AA56" s="19">
        <f t="shared" si="169"/>
        <v>1.217470854992742E-3</v>
      </c>
      <c r="AB56" s="305">
        <f>IF(OR(SUM(Z36:Z56)=0,SUM('BNF-Nifty'!AA36:AA56)=0),0,(_xlfn.COVARIANCE.P(Z36:Z56,'BNF-Nifty'!AA36:AA56)/_xlfn.VAR.P('BNF-Nifty'!AA36:AA56)))</f>
        <v>1.0187358482427524</v>
      </c>
      <c r="AC56" s="306">
        <f>IF(OR(SUM(AA36:AA56)=0,SUM('BNF-Nifty'!AA36:AA56)=0),0,(_xlfn.COVARIANCE.P(AA36:AA56,'BNF-Nifty'!AA36:AA56)/_xlfn.VAR.P('BNF-Nifty'!AA36:AA56)))</f>
        <v>1</v>
      </c>
      <c r="AD56" s="122">
        <f t="shared" si="151"/>
        <v>-9.7548495662159816E-3</v>
      </c>
      <c r="AE56" s="364">
        <f t="shared" si="124"/>
        <v>-2.4175124324297838E-2</v>
      </c>
      <c r="AF56" s="513">
        <f t="shared" si="152"/>
        <v>-9.8080045456928316E-3</v>
      </c>
      <c r="AG56" s="522">
        <f t="shared" si="125"/>
        <v>2.9900612952487485E-2</v>
      </c>
      <c r="AH56" s="466">
        <f t="shared" si="170"/>
        <v>-4.4253624123865665E-4</v>
      </c>
      <c r="AI56" s="17">
        <f>AJ55</f>
        <v>6.2961511440043499E-3</v>
      </c>
      <c r="AJ56" s="17">
        <f t="shared" si="39"/>
        <v>6.105307393894842E-3</v>
      </c>
      <c r="AK56" s="314">
        <f t="shared" si="40"/>
        <v>0.11664173398269877</v>
      </c>
      <c r="AL56" s="467">
        <f t="shared" si="171"/>
        <v>1.217470854992742E-3</v>
      </c>
      <c r="AM56" s="18">
        <f>AN55</f>
        <v>4.4725954945578662E-3</v>
      </c>
      <c r="AN56" s="18">
        <f t="shared" si="199"/>
        <v>4.34658463019281E-3</v>
      </c>
      <c r="AO56" s="385">
        <f t="shared" si="200"/>
        <v>8.304138276071367E-2</v>
      </c>
      <c r="AP56" s="10">
        <f t="shared" si="153"/>
        <v>4.5377288201740341E-3</v>
      </c>
      <c r="AQ56" s="17">
        <f>AR55</f>
        <v>9.2694167245036714E-3</v>
      </c>
      <c r="AR56" s="17">
        <f t="shared" si="250"/>
        <v>9.0555077272610248E-3</v>
      </c>
      <c r="AS56" s="314">
        <f t="shared" si="251"/>
        <v>0.17300523221118691</v>
      </c>
      <c r="AT56" s="448">
        <f t="shared" si="154"/>
        <v>4.639721218036537E-3</v>
      </c>
      <c r="AU56" s="18">
        <f>AV55</f>
        <v>6.482838052170814E-3</v>
      </c>
      <c r="AV56" s="18">
        <f t="shared" si="253"/>
        <v>6.3872669144869262E-3</v>
      </c>
      <c r="AW56" s="385">
        <f t="shared" si="254"/>
        <v>0.12202856305991748</v>
      </c>
      <c r="AX56" s="6">
        <f t="shared" si="155"/>
        <v>1055086312</v>
      </c>
      <c r="AY56" s="319">
        <v>0</v>
      </c>
      <c r="AZ56" s="140">
        <f t="shared" si="156"/>
        <v>698228868.75</v>
      </c>
      <c r="BA56" s="481">
        <v>0</v>
      </c>
      <c r="BB56" s="135">
        <f t="shared" si="243"/>
        <v>1388588737.0007517</v>
      </c>
      <c r="BC56" s="21">
        <f t="shared" si="244"/>
        <v>61408.16241523889</v>
      </c>
      <c r="BD56" s="319">
        <f t="shared" si="100"/>
        <v>22612.445681262776</v>
      </c>
      <c r="BE56" s="21">
        <f t="shared" si="157"/>
        <v>22915.616666666669</v>
      </c>
      <c r="BF56" s="21">
        <f t="shared" si="158"/>
        <v>1055218316.2666668</v>
      </c>
      <c r="BG56" s="21">
        <f t="shared" si="59"/>
        <v>1288886309.331672</v>
      </c>
      <c r="BH56" s="21">
        <f t="shared" si="223"/>
        <v>56453.484680347952</v>
      </c>
      <c r="BI56" s="332">
        <f t="shared" si="56"/>
        <v>22830.943326698605</v>
      </c>
      <c r="BJ56" s="141">
        <f t="shared" si="245"/>
        <v>855973665.28741896</v>
      </c>
      <c r="BK56" s="118">
        <f t="shared" si="246"/>
        <v>91232.715395936597</v>
      </c>
      <c r="BL56" s="329">
        <f t="shared" si="107"/>
        <v>9382.3105184649921</v>
      </c>
      <c r="BM56" s="118">
        <f t="shared" si="159"/>
        <v>9521.6999999999989</v>
      </c>
      <c r="BN56" s="118">
        <f t="shared" si="160"/>
        <v>698445260.0999999</v>
      </c>
      <c r="BO56" s="118">
        <f t="shared" si="60"/>
        <v>782324837.77592027</v>
      </c>
      <c r="BP56" s="118">
        <f t="shared" si="224"/>
        <v>82617.36451088039</v>
      </c>
      <c r="BQ56" s="325">
        <f t="shared" si="61"/>
        <v>9469.2543438963257</v>
      </c>
      <c r="BR56" s="6">
        <f t="shared" si="161"/>
        <v>1052473088</v>
      </c>
      <c r="BS56" s="8">
        <f t="shared" si="162"/>
        <v>1057259777.6</v>
      </c>
      <c r="BT56" s="331">
        <f t="shared" si="233"/>
        <v>22693.856698251526</v>
      </c>
      <c r="BU56" s="319">
        <f t="shared" si="207"/>
        <v>22733.263530286302</v>
      </c>
      <c r="BV56" s="319">
        <f t="shared" si="208"/>
        <v>22919.83762081671</v>
      </c>
      <c r="BW56" s="331">
        <f t="shared" si="172"/>
        <v>22020.794674383444</v>
      </c>
      <c r="BX56" s="319">
        <f t="shared" si="234"/>
        <v>22573.839433171921</v>
      </c>
      <c r="BY56" s="332">
        <f t="shared" si="235"/>
        <v>22776.483597312286</v>
      </c>
      <c r="BZ56" s="140">
        <f t="shared" si="163"/>
        <v>696384040.80000007</v>
      </c>
      <c r="CA56" s="142">
        <f t="shared" si="164"/>
        <v>699622575.75</v>
      </c>
      <c r="CB56" s="339">
        <f t="shared" si="236"/>
        <v>9387.2380295727071</v>
      </c>
      <c r="CC56" s="329">
        <f t="shared" si="209"/>
        <v>9441.0896188630177</v>
      </c>
      <c r="CD56" s="329">
        <f t="shared" si="210"/>
        <v>9490.5445949931182</v>
      </c>
      <c r="CE56" s="339">
        <f t="shared" si="173"/>
        <v>9265.2321129365919</v>
      </c>
      <c r="CF56" s="329">
        <f t="shared" si="237"/>
        <v>9360.0990814379529</v>
      </c>
      <c r="CG56" s="325">
        <f t="shared" si="238"/>
        <v>9415.58386853097</v>
      </c>
      <c r="CH56" s="20">
        <f t="shared" si="239"/>
        <v>1380927478.015547</v>
      </c>
      <c r="CI56" s="21">
        <f t="shared" si="240"/>
        <v>60991.807224712582</v>
      </c>
      <c r="CJ56" s="21">
        <f t="shared" si="94"/>
        <v>22641.196266373699</v>
      </c>
      <c r="CK56" s="21">
        <f t="shared" si="142"/>
        <v>1424575943.6650994</v>
      </c>
      <c r="CL56" s="21">
        <f t="shared" si="143"/>
        <v>63954.994653709611</v>
      </c>
      <c r="CM56" s="21">
        <f t="shared" si="148"/>
        <v>22274.662852817062</v>
      </c>
      <c r="CN56" s="342">
        <f t="shared" si="144"/>
        <v>366.53341355663724</v>
      </c>
      <c r="CO56" s="342">
        <f>((CN56-CO55)*(2/(1+9)))+CO55</f>
        <v>352.04643734276272</v>
      </c>
      <c r="CP56" s="343">
        <f t="shared" si="212"/>
        <v>14.486976213874527</v>
      </c>
      <c r="CQ56" s="141">
        <f t="shared" si="241"/>
        <v>848468201.35058618</v>
      </c>
      <c r="CR56" s="118">
        <f t="shared" si="242"/>
        <v>90262.910724236543</v>
      </c>
      <c r="CS56" s="118">
        <f t="shared" si="104"/>
        <v>9399.9649971709096</v>
      </c>
      <c r="CT56" s="118">
        <f t="shared" si="145"/>
        <v>923514450.11964238</v>
      </c>
      <c r="CU56" s="118">
        <f t="shared" si="146"/>
        <v>99171.778463378869</v>
      </c>
      <c r="CV56" s="118">
        <f t="shared" si="149"/>
        <v>9312.270732955225</v>
      </c>
      <c r="CW56" s="350">
        <f t="shared" si="150"/>
        <v>87.694264215684598</v>
      </c>
      <c r="CX56" s="350">
        <f>((CW56-CX55)*(2/(1+9)))+CX55</f>
        <v>73.33352424788049</v>
      </c>
      <c r="CY56" s="351">
        <f t="shared" si="214"/>
        <v>14.360739967804108</v>
      </c>
      <c r="CZ56" s="20">
        <f t="shared" si="174"/>
        <v>33.30000000000291</v>
      </c>
      <c r="DA56" s="21">
        <f t="shared" si="175"/>
        <v>1055218316.2666668</v>
      </c>
      <c r="DB56" s="21">
        <f t="shared" si="176"/>
        <v>0</v>
      </c>
      <c r="DC56" s="21">
        <f>((DA56-DC55)*(2/(1+14)))+DC55</f>
        <v>1147936359.9812202</v>
      </c>
      <c r="DD56" s="21">
        <f>((DB56-DD55)*(2/(1+14)))+DD55</f>
        <v>247492337.02631745</v>
      </c>
      <c r="DE56" s="21">
        <f t="shared" si="257"/>
        <v>4.6382703148467694</v>
      </c>
      <c r="DF56" s="342">
        <f t="shared" si="258"/>
        <v>82.264064258026323</v>
      </c>
      <c r="DG56" s="342">
        <f t="shared" si="247"/>
        <v>69.327363814364716</v>
      </c>
      <c r="DH56" s="355">
        <f t="shared" si="195"/>
        <v>71.932066009315236</v>
      </c>
      <c r="DI56" s="141">
        <f t="shared" si="177"/>
        <v>17.483333333331757</v>
      </c>
      <c r="DJ56" s="118">
        <f t="shared" si="178"/>
        <v>698445260.0999999</v>
      </c>
      <c r="DK56" s="118">
        <f t="shared" si="179"/>
        <v>0</v>
      </c>
      <c r="DL56" s="118">
        <f>((DJ56-DL55)*(2/(1+14)))+DL55</f>
        <v>641963041.6628474</v>
      </c>
      <c r="DM56" s="118">
        <f>((DK56-DM55)*(2/(1+14)))+DM55</f>
        <v>222895311.70927328</v>
      </c>
      <c r="DN56" s="118">
        <f t="shared" si="261"/>
        <v>2.8801101142054186</v>
      </c>
      <c r="DO56" s="350">
        <f t="shared" si="262"/>
        <v>74.227535544960091</v>
      </c>
      <c r="DP56" s="350">
        <f t="shared" si="248"/>
        <v>59.977494539175012</v>
      </c>
      <c r="DQ56" s="351">
        <f t="shared" si="196"/>
        <v>58.857961287092358</v>
      </c>
      <c r="DR56" s="135">
        <f t="shared" si="180"/>
        <v>103.95000000000073</v>
      </c>
      <c r="DS56" s="20">
        <f t="shared" si="181"/>
        <v>4786689.6000000332</v>
      </c>
      <c r="DT56" s="21">
        <f t="shared" si="140"/>
        <v>13700854.692372261</v>
      </c>
      <c r="DU56" s="21">
        <f t="shared" si="135"/>
        <v>63404.993071987694</v>
      </c>
      <c r="DV56" s="319">
        <f t="shared" si="136"/>
        <v>216.08479125321904</v>
      </c>
      <c r="DW56" s="21">
        <f t="shared" si="137"/>
        <v>4321.6958250643811</v>
      </c>
      <c r="DX56" s="21">
        <f>DW56*'Base Data'!$D$10</f>
        <v>8643.3916501287622</v>
      </c>
      <c r="DY56" s="363">
        <f>IF(INT(('Base Data'!$D$7)/DX56)=0,0,INT(('Base Data'!$D$7)/DX56))</f>
        <v>1</v>
      </c>
      <c r="DZ56" s="364">
        <f t="shared" si="126"/>
        <v>9.4233018003313882E-3</v>
      </c>
      <c r="EA56" s="141">
        <f t="shared" si="182"/>
        <v>44.149999999999636</v>
      </c>
      <c r="EB56" s="143">
        <f t="shared" si="183"/>
        <v>3238534.9499999732</v>
      </c>
      <c r="EC56" s="118">
        <f t="shared" si="141"/>
        <v>6192555.9295138698</v>
      </c>
      <c r="ED56" s="118">
        <f t="shared" si="138"/>
        <v>96769.867969020546</v>
      </c>
      <c r="EE56" s="329">
        <f t="shared" si="139"/>
        <v>63.992604924255204</v>
      </c>
      <c r="EF56" s="118">
        <f t="shared" si="127"/>
        <v>4799.4453693191399</v>
      </c>
      <c r="EG56" s="118">
        <f>EF56*'Base Data'!$D$10</f>
        <v>9598.8907386382798</v>
      </c>
      <c r="EH56" s="375">
        <f>IF(INT(('Base Data'!$D$7)/EG56)=0,0,INT(('Base Data'!$D$7)/EG56))</f>
        <v>1</v>
      </c>
      <c r="EI56" s="376">
        <f t="shared" si="128"/>
        <v>6.712217639885166E-3</v>
      </c>
      <c r="EJ56" s="135">
        <f t="shared" si="184"/>
        <v>103.95000000000073</v>
      </c>
      <c r="EK56" s="21">
        <f t="shared" si="185"/>
        <v>4786689.6000000332</v>
      </c>
      <c r="EL56" s="21">
        <f t="shared" si="78"/>
        <v>11395809.124071389</v>
      </c>
      <c r="EM56" s="21">
        <f t="shared" si="231"/>
        <v>58792.240459003311</v>
      </c>
      <c r="EN56" s="319">
        <f t="shared" si="75"/>
        <v>193.83185663791556</v>
      </c>
      <c r="EO56" s="21">
        <f t="shared" si="64"/>
        <v>3876.6371327583111</v>
      </c>
      <c r="EP56" s="21">
        <f>EO56*'Base Data'!$D$13</f>
        <v>2907.4778495687333</v>
      </c>
      <c r="EQ56" s="363">
        <f>IF(INT(('Base Data'!$D$7)/EP56)=0,0,INT(('Base Data'!$D$7)/EP56))</f>
        <v>3</v>
      </c>
      <c r="ER56" s="314">
        <f t="shared" si="227"/>
        <v>8.4528673814772016E-3</v>
      </c>
      <c r="ES56" s="143">
        <f t="shared" si="186"/>
        <v>44.149999999999636</v>
      </c>
      <c r="ET56" s="118">
        <f t="shared" si="187"/>
        <v>3238534.9499999732</v>
      </c>
      <c r="EU56" s="118">
        <f t="shared" si="79"/>
        <v>5089574.6209130781</v>
      </c>
      <c r="EV56" s="118">
        <f t="shared" si="232"/>
        <v>85849.481289915246</v>
      </c>
      <c r="EW56" s="329">
        <f t="shared" si="77"/>
        <v>59.284861649023746</v>
      </c>
      <c r="EX56" s="118">
        <f t="shared" si="66"/>
        <v>4446.3646236767809</v>
      </c>
      <c r="EY56" s="118">
        <f>EX56*'Base Data'!$D$13</f>
        <v>3334.7734677575854</v>
      </c>
      <c r="EZ56" s="375">
        <f>IF(INT(('Base Data'!$D$7)/EY56)=0,0,INT(('Base Data'!$D$7)/EY56))</f>
        <v>3</v>
      </c>
      <c r="FA56" s="385">
        <f t="shared" si="228"/>
        <v>6.2184199972753372E-3</v>
      </c>
      <c r="FB56" s="397">
        <f t="shared" si="129"/>
        <v>2.9048414738106523</v>
      </c>
      <c r="FC56" s="403">
        <f t="shared" si="229"/>
        <v>0.74688875112914255</v>
      </c>
      <c r="FD56" s="510">
        <f t="shared" si="130"/>
        <v>3.4830413475543711</v>
      </c>
      <c r="FE56" s="509">
        <f t="shared" si="230"/>
        <v>2.1838767896570586</v>
      </c>
      <c r="FF56" s="20">
        <f t="shared" si="165"/>
        <v>103.95000000000073</v>
      </c>
      <c r="FG56" s="17">
        <f t="shared" si="166"/>
        <v>4.5367753761552292E-3</v>
      </c>
      <c r="FH56" s="388">
        <f t="shared" si="70"/>
        <v>7.2990471718644978E-3</v>
      </c>
      <c r="FI56" s="388">
        <f t="shared" si="105"/>
        <v>8.3803113662988225E-3</v>
      </c>
      <c r="FJ56" s="314">
        <f t="shared" si="131"/>
        <v>9.0691513299874186E-3</v>
      </c>
      <c r="FK56" s="442">
        <f t="shared" si="167"/>
        <v>44.149999999999636</v>
      </c>
      <c r="FL56" s="18">
        <f t="shared" si="168"/>
        <v>4.6382140512146695E-3</v>
      </c>
      <c r="FM56" s="394">
        <f t="shared" si="71"/>
        <v>4.9736776639593503E-3</v>
      </c>
      <c r="FN56" s="394">
        <f t="shared" si="106"/>
        <v>5.5423679446406004E-3</v>
      </c>
      <c r="FO56" s="385">
        <f t="shared" si="132"/>
        <v>6.4940583807574209E-3</v>
      </c>
      <c r="FP56" s="416">
        <f t="shared" si="188"/>
        <v>2</v>
      </c>
      <c r="FQ56" s="417">
        <f t="shared" si="189"/>
        <v>2</v>
      </c>
      <c r="FR56" s="415">
        <f t="shared" si="122"/>
        <v>77.140453639082835</v>
      </c>
      <c r="FS56" s="413" t="str">
        <f t="shared" si="133"/>
        <v>T-D</v>
      </c>
      <c r="FT56" s="404">
        <f t="shared" si="123"/>
        <v>93.019038984587255</v>
      </c>
      <c r="FU56" s="414" t="str">
        <f t="shared" si="134"/>
        <v>T-R</v>
      </c>
      <c r="FV56" s="415">
        <f t="shared" si="225"/>
        <v>36.071871127633933</v>
      </c>
      <c r="FW56" s="413" t="str">
        <f t="shared" si="72"/>
        <v>T-D</v>
      </c>
      <c r="FX56" s="404">
        <f t="shared" si="226"/>
        <v>88.195732838589663</v>
      </c>
      <c r="FY56" s="414" t="str">
        <f t="shared" si="73"/>
        <v>T-R</v>
      </c>
    </row>
    <row r="57" spans="1:181" ht="12.45" x14ac:dyDescent="0.3">
      <c r="A57" s="464" t="s">
        <v>277</v>
      </c>
      <c r="L57" s="283">
        <f t="shared" si="35"/>
        <v>54</v>
      </c>
      <c r="M57" s="290">
        <f>'[4]BANKNIFTY-I'!C73</f>
        <v>42873</v>
      </c>
      <c r="N57" s="7">
        <f>'[4]BANKNIFTY-I'!D73</f>
        <v>22765</v>
      </c>
      <c r="O57" s="7">
        <f>'[4]BANKNIFTY-I'!E73</f>
        <v>22839</v>
      </c>
      <c r="P57" s="7">
        <f>'[4]BANKNIFTY-I'!F73</f>
        <v>22676.45</v>
      </c>
      <c r="Q57" s="7">
        <f>'[4]BANKNIFTY-I'!G73</f>
        <v>22708.3</v>
      </c>
      <c r="R57" s="11">
        <f>'[4]BANKNIFTY-I'!H73</f>
        <v>69918</v>
      </c>
      <c r="S57" s="291">
        <f>'[5]NIFTY-I'!C73</f>
        <v>42873</v>
      </c>
      <c r="T57" s="9">
        <f>'[5]NIFTY-I'!D73</f>
        <v>9476.0499999999993</v>
      </c>
      <c r="U57" s="9">
        <f>'[5]NIFTY-I'!E73</f>
        <v>9503</v>
      </c>
      <c r="V57" s="9">
        <f>'[5]NIFTY-I'!F73</f>
        <v>9433.2999999999993</v>
      </c>
      <c r="W57" s="9">
        <f>'[5]NIFTY-I'!G73</f>
        <v>9440.7000000000007</v>
      </c>
      <c r="X57" s="12">
        <f>'[5]NIFTY-I'!H73</f>
        <v>134391</v>
      </c>
      <c r="Y57" s="115"/>
      <c r="Z57" s="122">
        <f t="shared" si="36"/>
        <v>-9.7548495662159816E-3</v>
      </c>
      <c r="AA57" s="19">
        <f t="shared" si="169"/>
        <v>-9.8080045456928316E-3</v>
      </c>
      <c r="AB57" s="305">
        <f>IF(OR(SUM(Z37:Z57)=0,SUM('BNF-Nifty'!AA37:AA57)=0),0,(_xlfn.COVARIANCE.P(Z37:Z57,'BNF-Nifty'!AA37:AA57)/_xlfn.VAR.P('BNF-Nifty'!AA37:AA57)))</f>
        <v>1.0960953031884126</v>
      </c>
      <c r="AC57" s="306">
        <f>IF(OR(SUM(AA37:AA57)=0,SUM('BNF-Nifty'!AA37:AA57)=0),0,(_xlfn.COVARIANCE.P(AA37:AA57,'BNF-Nifty'!AA37:AA57)/_xlfn.VAR.P('BNF-Nifty'!AA37:AA57)))</f>
        <v>0.99999999999999978</v>
      </c>
      <c r="AD57" s="122">
        <f t="shared" si="151"/>
        <v>-1.357252917350711E-3</v>
      </c>
      <c r="AE57" s="364">
        <f t="shared" si="124"/>
        <v>9.6667194998457991E-3</v>
      </c>
      <c r="AF57" s="513">
        <f t="shared" si="152"/>
        <v>3.1242801833209242E-4</v>
      </c>
      <c r="AG57" s="522">
        <f t="shared" si="125"/>
        <v>5.8125579953141542E-2</v>
      </c>
      <c r="AH57" s="466">
        <f t="shared" si="170"/>
        <v>-9.7548495662159816E-3</v>
      </c>
      <c r="AI57" s="17">
        <f t="shared" si="38"/>
        <v>6.105307393894842E-3</v>
      </c>
      <c r="AJ57" s="17">
        <f t="shared" si="39"/>
        <v>6.3833938524174147E-3</v>
      </c>
      <c r="AK57" s="314">
        <f t="shared" si="40"/>
        <v>0.12195456831297612</v>
      </c>
      <c r="AL57" s="467">
        <f t="shared" si="171"/>
        <v>-9.8080045456928316E-3</v>
      </c>
      <c r="AM57" s="18">
        <f t="shared" si="198"/>
        <v>4.34658463019281E-3</v>
      </c>
      <c r="AN57" s="18">
        <f t="shared" si="199"/>
        <v>4.8508810808638196E-3</v>
      </c>
      <c r="AO57" s="385">
        <f t="shared" si="200"/>
        <v>9.2675952922800453E-2</v>
      </c>
      <c r="AP57" s="10">
        <f t="shared" si="153"/>
        <v>7.1426599572321442E-3</v>
      </c>
      <c r="AQ57" s="17">
        <f t="shared" si="249"/>
        <v>9.0555077272610248E-3</v>
      </c>
      <c r="AR57" s="17">
        <f t="shared" si="250"/>
        <v>8.9522702406961505E-3</v>
      </c>
      <c r="AS57" s="314">
        <f t="shared" si="251"/>
        <v>0.17103288279975776</v>
      </c>
      <c r="AT57" s="448">
        <f t="shared" si="154"/>
        <v>7.3615558232436101E-3</v>
      </c>
      <c r="AU57" s="18">
        <f t="shared" si="252"/>
        <v>6.3872669144869262E-3</v>
      </c>
      <c r="AV57" s="18">
        <f t="shared" si="253"/>
        <v>6.4498758257046538E-3</v>
      </c>
      <c r="AW57" s="385">
        <f t="shared" si="254"/>
        <v>0.1232247046292195</v>
      </c>
      <c r="AX57" s="6">
        <f t="shared" si="155"/>
        <v>1591683270</v>
      </c>
      <c r="AY57" s="319">
        <v>0</v>
      </c>
      <c r="AZ57" s="140">
        <f t="shared" si="156"/>
        <v>1273495835.55</v>
      </c>
      <c r="BA57" s="481">
        <v>0</v>
      </c>
      <c r="BB57" s="135">
        <f t="shared" si="243"/>
        <v>1417602241.7149301</v>
      </c>
      <c r="BC57" s="21">
        <f t="shared" si="244"/>
        <v>62623.853498776189</v>
      </c>
      <c r="BD57" s="319">
        <f t="shared" si="100"/>
        <v>22636.777561806113</v>
      </c>
      <c r="BE57" s="21">
        <f t="shared" si="157"/>
        <v>22741.25</v>
      </c>
      <c r="BF57" s="21">
        <f t="shared" si="158"/>
        <v>1590022717.5</v>
      </c>
      <c r="BG57" s="21">
        <f t="shared" si="59"/>
        <v>1389265112.0544479</v>
      </c>
      <c r="BH57" s="21">
        <f t="shared" si="223"/>
        <v>60941.656453565301</v>
      </c>
      <c r="BI57" s="332">
        <f t="shared" si="56"/>
        <v>22796.64178660787</v>
      </c>
      <c r="BJ57" s="141">
        <f t="shared" si="245"/>
        <v>915619689.61064482</v>
      </c>
      <c r="BK57" s="118">
        <f t="shared" si="246"/>
        <v>97398.184625088514</v>
      </c>
      <c r="BL57" s="329">
        <f t="shared" si="107"/>
        <v>9400.788044819401</v>
      </c>
      <c r="BM57" s="118">
        <f t="shared" si="159"/>
        <v>9459</v>
      </c>
      <c r="BN57" s="118">
        <f t="shared" si="160"/>
        <v>1271204469</v>
      </c>
      <c r="BO57" s="118">
        <f t="shared" si="60"/>
        <v>945284714.85061347</v>
      </c>
      <c r="BP57" s="118">
        <f t="shared" si="224"/>
        <v>99875.243007253594</v>
      </c>
      <c r="BQ57" s="325">
        <f t="shared" si="61"/>
        <v>9464.6549674173075</v>
      </c>
      <c r="BR57" s="6">
        <f t="shared" si="161"/>
        <v>1585492031.1000001</v>
      </c>
      <c r="BS57" s="8">
        <f t="shared" si="162"/>
        <v>1596857202</v>
      </c>
      <c r="BT57" s="331">
        <f t="shared" si="233"/>
        <v>22731.154608431701</v>
      </c>
      <c r="BU57" s="319">
        <f t="shared" si="207"/>
        <v>22705.964562278452</v>
      </c>
      <c r="BV57" s="319">
        <f t="shared" si="208"/>
        <v>22887.636220286622</v>
      </c>
      <c r="BW57" s="331">
        <f t="shared" si="172"/>
        <v>22066.021438943953</v>
      </c>
      <c r="BX57" s="319">
        <f t="shared" si="234"/>
        <v>22610.199623792734</v>
      </c>
      <c r="BY57" s="332">
        <f t="shared" si="235"/>
        <v>22810.489016035572</v>
      </c>
      <c r="BZ57" s="140">
        <f t="shared" si="163"/>
        <v>1267750620.3</v>
      </c>
      <c r="CA57" s="142">
        <f t="shared" si="164"/>
        <v>1277117673</v>
      </c>
      <c r="CB57" s="339">
        <f t="shared" si="236"/>
        <v>9400.1158661349655</v>
      </c>
      <c r="CC57" s="329">
        <f t="shared" si="209"/>
        <v>9440.2882113679643</v>
      </c>
      <c r="CD57" s="329">
        <f t="shared" si="210"/>
        <v>9498.3157842806631</v>
      </c>
      <c r="CE57" s="339">
        <f t="shared" si="173"/>
        <v>9279.4323074465301</v>
      </c>
      <c r="CF57" s="329">
        <f t="shared" si="237"/>
        <v>9372.285061619983</v>
      </c>
      <c r="CG57" s="325">
        <f t="shared" si="238"/>
        <v>9430.1891022291729</v>
      </c>
      <c r="CH57" s="20">
        <f t="shared" si="239"/>
        <v>1413095976.3977706</v>
      </c>
      <c r="CI57" s="21">
        <f t="shared" si="240"/>
        <v>62365.067651679878</v>
      </c>
      <c r="CJ57" s="21">
        <f t="shared" si="94"/>
        <v>22658.453355493268</v>
      </c>
      <c r="CK57" s="21">
        <f t="shared" si="142"/>
        <v>1436831260.2454624</v>
      </c>
      <c r="CL57" s="21">
        <f t="shared" si="143"/>
        <v>64396.698753434823</v>
      </c>
      <c r="CM57" s="21">
        <f t="shared" si="148"/>
        <v>22312.188172050108</v>
      </c>
      <c r="CN57" s="342">
        <f t="shared" si="144"/>
        <v>346.26518344315991</v>
      </c>
      <c r="CO57" s="342">
        <f t="shared" ref="CO57:CO67" si="263">((CN57-CO56)*(2/(1+9)))+CO56</f>
        <v>350.89018656284213</v>
      </c>
      <c r="CP57" s="343">
        <f t="shared" si="212"/>
        <v>-4.6250031196822192</v>
      </c>
      <c r="CQ57" s="141">
        <f t="shared" si="241"/>
        <v>913504550.2197268</v>
      </c>
      <c r="CR57" s="118">
        <f t="shared" si="242"/>
        <v>97051.847535892462</v>
      </c>
      <c r="CS57" s="118">
        <f t="shared" si="104"/>
        <v>9412.5415786843987</v>
      </c>
      <c r="CT57" s="118">
        <f t="shared" si="145"/>
        <v>949269266.33300221</v>
      </c>
      <c r="CU57" s="118">
        <f t="shared" si="146"/>
        <v>101780.60968831377</v>
      </c>
      <c r="CV57" s="118">
        <f t="shared" si="149"/>
        <v>9326.621929658133</v>
      </c>
      <c r="CW57" s="350">
        <f t="shared" si="150"/>
        <v>85.919649026265688</v>
      </c>
      <c r="CX57" s="350">
        <f t="shared" ref="CX57:CX67" si="264">((CW57-CX56)*(2/(1+9)))+CX56</f>
        <v>75.850749203557527</v>
      </c>
      <c r="CY57" s="351">
        <f t="shared" si="214"/>
        <v>10.068899822708161</v>
      </c>
      <c r="CZ57" s="20">
        <f t="shared" si="174"/>
        <v>-174.36666666666861</v>
      </c>
      <c r="DA57" s="21">
        <f t="shared" si="175"/>
        <v>0</v>
      </c>
      <c r="DB57" s="21">
        <f t="shared" si="176"/>
        <v>1590022717.5</v>
      </c>
      <c r="DC57" s="21">
        <f t="shared" si="255"/>
        <v>994878178.65039086</v>
      </c>
      <c r="DD57" s="21">
        <f t="shared" si="256"/>
        <v>426496387.75614178</v>
      </c>
      <c r="DE57" s="21">
        <f t="shared" si="257"/>
        <v>2.3326766819399962</v>
      </c>
      <c r="DF57" s="342">
        <f t="shared" si="258"/>
        <v>69.994088973014726</v>
      </c>
      <c r="DG57" s="342">
        <f t="shared" si="247"/>
        <v>69.610085346769964</v>
      </c>
      <c r="DH57" s="355">
        <f t="shared" si="195"/>
        <v>71.752996089284736</v>
      </c>
      <c r="DI57" s="141">
        <f t="shared" si="177"/>
        <v>-62.699999999998909</v>
      </c>
      <c r="DJ57" s="118">
        <f t="shared" si="178"/>
        <v>0</v>
      </c>
      <c r="DK57" s="118">
        <f t="shared" si="179"/>
        <v>1271204469</v>
      </c>
      <c r="DL57" s="118">
        <f t="shared" si="259"/>
        <v>556367969.44113445</v>
      </c>
      <c r="DM57" s="118">
        <f t="shared" si="260"/>
        <v>362669866.01470351</v>
      </c>
      <c r="DN57" s="118">
        <f t="shared" si="261"/>
        <v>1.5340893235904467</v>
      </c>
      <c r="DO57" s="350">
        <f t="shared" si="262"/>
        <v>60.538091901861563</v>
      </c>
      <c r="DP57" s="350">
        <f t="shared" si="248"/>
        <v>60.04470127562184</v>
      </c>
      <c r="DQ57" s="351">
        <f t="shared" si="196"/>
        <v>60.184151781379327</v>
      </c>
      <c r="DR57" s="135">
        <f t="shared" si="180"/>
        <v>254.45000000000073</v>
      </c>
      <c r="DS57" s="20">
        <f t="shared" si="181"/>
        <v>17790635.10000005</v>
      </c>
      <c r="DT57" s="21">
        <f t="shared" si="140"/>
        <v>14072652.911247514</v>
      </c>
      <c r="DU57" s="21">
        <f t="shared" si="135"/>
        <v>63997.084610897902</v>
      </c>
      <c r="DV57" s="319">
        <f t="shared" si="136"/>
        <v>219.8952186151792</v>
      </c>
      <c r="DW57" s="21">
        <f t="shared" si="137"/>
        <v>4397.9043723035838</v>
      </c>
      <c r="DX57" s="21">
        <f>DW57*'Base Data'!$D$10</f>
        <v>8795.8087446071677</v>
      </c>
      <c r="DY57" s="363">
        <f>IF(INT(('Base Data'!$D$7)/DX57)=0,0,INT(('Base Data'!$D$7)/DX57))</f>
        <v>1</v>
      </c>
      <c r="DZ57" s="364">
        <f t="shared" si="126"/>
        <v>9.6834733826477188E-3</v>
      </c>
      <c r="EA57" s="141">
        <f t="shared" si="182"/>
        <v>100.45000000000073</v>
      </c>
      <c r="EB57" s="143">
        <f t="shared" si="183"/>
        <v>13499575.950000098</v>
      </c>
      <c r="EC57" s="118">
        <f t="shared" si="141"/>
        <v>6856830.4768308001</v>
      </c>
      <c r="ED57" s="118">
        <f t="shared" si="138"/>
        <v>100189.97088092777</v>
      </c>
      <c r="EE57" s="329">
        <f t="shared" si="139"/>
        <v>68.438291942213468</v>
      </c>
      <c r="EF57" s="118">
        <f t="shared" si="127"/>
        <v>5132.8718956660105</v>
      </c>
      <c r="EG57" s="118">
        <f>EF57*'Base Data'!$D$10</f>
        <v>10265.743791332021</v>
      </c>
      <c r="EH57" s="375">
        <f>IF(INT(('Base Data'!$D$7)/EG57)=0,0,INT(('Base Data'!$D$7)/EG57))</f>
        <v>1</v>
      </c>
      <c r="EI57" s="376">
        <f t="shared" si="128"/>
        <v>7.2492815090208843E-3</v>
      </c>
      <c r="EJ57" s="135">
        <f t="shared" si="184"/>
        <v>254.45000000000073</v>
      </c>
      <c r="EK57" s="21">
        <f t="shared" si="185"/>
        <v>17790635.10000005</v>
      </c>
      <c r="EL57" s="21">
        <f t="shared" si="78"/>
        <v>12816881.563166648</v>
      </c>
      <c r="EM57" s="21">
        <f t="shared" si="231"/>
        <v>61264.631468113686</v>
      </c>
      <c r="EN57" s="319">
        <f t="shared" si="75"/>
        <v>209.20523401560706</v>
      </c>
      <c r="EO57" s="21">
        <f t="shared" si="64"/>
        <v>4184.1046803121408</v>
      </c>
      <c r="EP57" s="21">
        <f>EO57*'Base Data'!$D$13</f>
        <v>3138.0785102341056</v>
      </c>
      <c r="EQ57" s="363">
        <f>IF(INT(('Base Data'!$D$7)/EP57)=0,0,INT(('Base Data'!$D$7)/EP57))</f>
        <v>3</v>
      </c>
      <c r="ER57" s="314">
        <f t="shared" si="227"/>
        <v>9.2127210762411576E-3</v>
      </c>
      <c r="ES57" s="143">
        <f t="shared" si="186"/>
        <v>100.45000000000073</v>
      </c>
      <c r="ET57" s="118">
        <f t="shared" si="187"/>
        <v>13499575.950000098</v>
      </c>
      <c r="EU57" s="118">
        <f t="shared" si="79"/>
        <v>6958463.8051546374</v>
      </c>
      <c r="EV57" s="118">
        <f t="shared" si="232"/>
        <v>96636.485447711864</v>
      </c>
      <c r="EW57" s="329">
        <f t="shared" si="77"/>
        <v>72.006590191235048</v>
      </c>
      <c r="EX57" s="118">
        <f t="shared" si="66"/>
        <v>5400.4942643426284</v>
      </c>
      <c r="EY57" s="118">
        <f>EX57*'Base Data'!$D$13</f>
        <v>4050.3706982569711</v>
      </c>
      <c r="EZ57" s="375">
        <f>IF(INT(('Base Data'!$D$7)/EY57)=0,0,INT(('Base Data'!$D$7)/EY57))</f>
        <v>2</v>
      </c>
      <c r="FA57" s="385">
        <f t="shared" si="228"/>
        <v>7.6272511774799585E-3</v>
      </c>
      <c r="FB57" s="397">
        <f t="shared" si="129"/>
        <v>1.5775154067590436</v>
      </c>
      <c r="FC57" s="403">
        <f t="shared" si="229"/>
        <v>-0.51572164135540299</v>
      </c>
      <c r="FD57" s="510">
        <f t="shared" si="130"/>
        <v>1.648513213431642</v>
      </c>
      <c r="FE57" s="509">
        <f t="shared" si="230"/>
        <v>0.16346883392301967</v>
      </c>
      <c r="FF57" s="20">
        <f t="shared" si="165"/>
        <v>162.54999999999927</v>
      </c>
      <c r="FG57" s="17">
        <f t="shared" si="166"/>
        <v>7.1403470239402274E-3</v>
      </c>
      <c r="FH57" s="388">
        <f t="shared" si="70"/>
        <v>7.1122178519867178E-3</v>
      </c>
      <c r="FI57" s="388">
        <f t="shared" si="105"/>
        <v>8.2799961801061847E-3</v>
      </c>
      <c r="FJ57" s="314">
        <f t="shared" si="131"/>
        <v>8.7465086776767204E-3</v>
      </c>
      <c r="FK57" s="442">
        <f t="shared" si="167"/>
        <v>69.700000000000728</v>
      </c>
      <c r="FL57" s="18">
        <f t="shared" si="168"/>
        <v>7.3553854190301585E-3</v>
      </c>
      <c r="FM57" s="394">
        <f t="shared" si="71"/>
        <v>5.3401397548030428E-3</v>
      </c>
      <c r="FN57" s="394">
        <f t="shared" si="106"/>
        <v>5.7323164821921312E-3</v>
      </c>
      <c r="FO57" s="385">
        <f t="shared" si="132"/>
        <v>6.161806386193726E-3</v>
      </c>
      <c r="FP57" s="416">
        <f t="shared" si="188"/>
        <v>2</v>
      </c>
      <c r="FQ57" s="417">
        <f t="shared" si="189"/>
        <v>2</v>
      </c>
      <c r="FR57" s="415">
        <f t="shared" si="122"/>
        <v>67.989780658025865</v>
      </c>
      <c r="FS57" s="413" t="str">
        <f t="shared" si="133"/>
        <v>T-D</v>
      </c>
      <c r="FT57" s="404">
        <f t="shared" si="123"/>
        <v>69.288304623753447</v>
      </c>
      <c r="FU57" s="414" t="str">
        <f t="shared" si="134"/>
        <v>T-D</v>
      </c>
      <c r="FV57" s="415">
        <f t="shared" si="225"/>
        <v>13.519206939281109</v>
      </c>
      <c r="FW57" s="413" t="str">
        <f t="shared" si="72"/>
        <v>C-D</v>
      </c>
      <c r="FX57" s="404">
        <f t="shared" si="226"/>
        <v>43.877551020408852</v>
      </c>
      <c r="FY57" s="414" t="str">
        <f t="shared" si="73"/>
        <v>T-D</v>
      </c>
    </row>
    <row r="58" spans="1:181" ht="12.45" x14ac:dyDescent="0.3">
      <c r="A58" s="464" t="s">
        <v>265</v>
      </c>
      <c r="E58" s="22"/>
      <c r="F58" s="22"/>
      <c r="G58" s="23"/>
      <c r="H58" s="23"/>
      <c r="I58" s="23"/>
      <c r="J58" s="23"/>
      <c r="L58" s="283">
        <f t="shared" si="35"/>
        <v>55</v>
      </c>
      <c r="M58" s="290">
        <f>'[4]BANKNIFTY-I'!C74</f>
        <v>42877</v>
      </c>
      <c r="N58" s="7">
        <f>'[4]BANKNIFTY-I'!D74</f>
        <v>22920</v>
      </c>
      <c r="O58" s="7">
        <f>'[4]BANKNIFTY-I'!E74</f>
        <v>22920</v>
      </c>
      <c r="P58" s="7">
        <f>'[4]BANKNIFTY-I'!F74</f>
        <v>22657.200000000001</v>
      </c>
      <c r="Q58" s="7">
        <f>'[4]BANKNIFTY-I'!G74</f>
        <v>22677.5</v>
      </c>
      <c r="R58" s="11">
        <f>'[4]BANKNIFTY-I'!H74</f>
        <v>61012</v>
      </c>
      <c r="S58" s="291">
        <f>'[5]NIFTY-I'!C74</f>
        <v>42877</v>
      </c>
      <c r="T58" s="9">
        <f>'[5]NIFTY-I'!D74</f>
        <v>9480</v>
      </c>
      <c r="U58" s="9">
        <f>'[5]NIFTY-I'!E74</f>
        <v>9492.0499999999993</v>
      </c>
      <c r="V58" s="9">
        <f>'[5]NIFTY-I'!F74</f>
        <v>9426.9</v>
      </c>
      <c r="W58" s="9">
        <f>'[5]NIFTY-I'!G74</f>
        <v>9443.65</v>
      </c>
      <c r="X58" s="12">
        <f>'[5]NIFTY-I'!H74</f>
        <v>113056</v>
      </c>
      <c r="Y58" s="115"/>
      <c r="Z58" s="122">
        <f t="shared" si="36"/>
        <v>-1.357252917350711E-3</v>
      </c>
      <c r="AA58" s="19">
        <f t="shared" si="169"/>
        <v>3.1242801833209242E-4</v>
      </c>
      <c r="AB58" s="305">
        <f>IF(OR(SUM(Z38:Z58)=0,SUM('BNF-Nifty'!AA38:AA58)=0),0,(_xlfn.COVARIANCE.P(Z38:Z58,'BNF-Nifty'!AA38:AA58)/_xlfn.VAR.P('BNF-Nifty'!AA38:AA58)))</f>
        <v>1.0986826719041474</v>
      </c>
      <c r="AC58" s="306">
        <f>IF(OR(SUM(AA38:AA58)=0,SUM('BNF-Nifty'!AA38:AA58)=0),0,(_xlfn.COVARIANCE.P(AA38:AA58,'BNF-Nifty'!AA38:AA58)/_xlfn.VAR.P('BNF-Nifty'!AA38:AA58)))</f>
        <v>0.99999999999999967</v>
      </c>
      <c r="AD58" s="122">
        <f t="shared" si="151"/>
        <v>-4.5434333287578677E-3</v>
      </c>
      <c r="AE58" s="364">
        <f t="shared" si="124"/>
        <v>4.5686315467653033E-3</v>
      </c>
      <c r="AF58" s="513">
        <f t="shared" si="152"/>
        <v>-5.6493425743809394E-3</v>
      </c>
      <c r="AG58" s="522">
        <f t="shared" si="125"/>
        <v>7.7605089447463221E-2</v>
      </c>
      <c r="AH58" s="466">
        <f t="shared" si="170"/>
        <v>-1.357252917350711E-3</v>
      </c>
      <c r="AI58" s="17">
        <f t="shared" si="38"/>
        <v>6.3833938524174147E-3</v>
      </c>
      <c r="AJ58" s="17">
        <f t="shared" si="39"/>
        <v>6.1978530298382392E-3</v>
      </c>
      <c r="AK58" s="314">
        <f t="shared" si="40"/>
        <v>0.11840981587481837</v>
      </c>
      <c r="AL58" s="467">
        <f t="shared" si="171"/>
        <v>3.1242801833209242E-4</v>
      </c>
      <c r="AM58" s="18">
        <f t="shared" si="198"/>
        <v>4.8508810808638196E-3</v>
      </c>
      <c r="AN58" s="18">
        <f t="shared" si="199"/>
        <v>4.7037262995459168E-3</v>
      </c>
      <c r="AO58" s="385">
        <f t="shared" si="200"/>
        <v>8.9864564773216207E-2</v>
      </c>
      <c r="AP58" s="10">
        <f t="shared" si="153"/>
        <v>1.1532209636189132E-2</v>
      </c>
      <c r="AQ58" s="17">
        <f t="shared" si="249"/>
        <v>8.9522702406961505E-3</v>
      </c>
      <c r="AR58" s="17">
        <f t="shared" si="250"/>
        <v>9.1276538858727271E-3</v>
      </c>
      <c r="AS58" s="314">
        <f t="shared" si="251"/>
        <v>0.17438358263610979</v>
      </c>
      <c r="AT58" s="448">
        <f t="shared" si="154"/>
        <v>6.8873016242340908E-3</v>
      </c>
      <c r="AU58" s="18">
        <f t="shared" si="252"/>
        <v>6.4498758257046538E-3</v>
      </c>
      <c r="AV58" s="18">
        <f t="shared" si="253"/>
        <v>6.4769545078516167E-3</v>
      </c>
      <c r="AW58" s="385">
        <f t="shared" si="254"/>
        <v>0.12374204212523919</v>
      </c>
      <c r="AX58" s="6">
        <f t="shared" si="155"/>
        <v>1398395040</v>
      </c>
      <c r="AY58" s="319">
        <f t="shared" ref="AY58:AY67" si="265">AVERAGE(AX4:AX58)/AVERAGE(R4:R58)</f>
        <v>21697.693125091861</v>
      </c>
      <c r="AZ58" s="140">
        <f t="shared" si="156"/>
        <v>1071770880</v>
      </c>
      <c r="BA58" s="481">
        <f t="shared" ref="BA58:BA67" si="266">AVERAGE(AZ4:AZ58)/AVERAGE(X4:X58)</f>
        <v>9198.5822500834383</v>
      </c>
      <c r="BB58" s="135">
        <f t="shared" si="243"/>
        <v>1414858355.7556543</v>
      </c>
      <c r="BC58" s="21">
        <f t="shared" si="244"/>
        <v>62393.588713236735</v>
      </c>
      <c r="BD58" s="319">
        <f t="shared" si="100"/>
        <v>22676.341991777332</v>
      </c>
      <c r="BE58" s="21">
        <f t="shared" si="157"/>
        <v>22751.566666666666</v>
      </c>
      <c r="BF58" s="21">
        <f t="shared" si="158"/>
        <v>1388118585.4666667</v>
      </c>
      <c r="BG58" s="21">
        <f t="shared" si="59"/>
        <v>1388882936.5251875</v>
      </c>
      <c r="BH58" s="21">
        <f t="shared" si="223"/>
        <v>60965.104302376865</v>
      </c>
      <c r="BI58" s="332">
        <f t="shared" si="56"/>
        <v>22781.605189036618</v>
      </c>
      <c r="BJ58" s="141">
        <f t="shared" si="245"/>
        <v>937927002.52340984</v>
      </c>
      <c r="BK58" s="118">
        <f t="shared" si="246"/>
        <v>99635.015392933012</v>
      </c>
      <c r="BL58" s="329">
        <f t="shared" si="107"/>
        <v>9413.6283195670167</v>
      </c>
      <c r="BM58" s="118">
        <f t="shared" si="159"/>
        <v>9454.1999999999989</v>
      </c>
      <c r="BN58" s="118">
        <f t="shared" si="160"/>
        <v>1068854035.1999999</v>
      </c>
      <c r="BO58" s="118">
        <f t="shared" si="60"/>
        <v>986474488.30040896</v>
      </c>
      <c r="BP58" s="118">
        <f t="shared" si="224"/>
        <v>104268.8286715024</v>
      </c>
      <c r="BQ58" s="325">
        <f t="shared" si="61"/>
        <v>9460.8762836329934</v>
      </c>
      <c r="BR58" s="6">
        <f t="shared" si="161"/>
        <v>1382361086.4000001</v>
      </c>
      <c r="BS58" s="8">
        <f t="shared" si="162"/>
        <v>1398395040</v>
      </c>
      <c r="BT58" s="331">
        <f t="shared" si="233"/>
        <v>22772.787445528382</v>
      </c>
      <c r="BU58" s="319">
        <f t="shared" si="207"/>
        <v>22725.492461670525</v>
      </c>
      <c r="BV58" s="319">
        <f t="shared" si="208"/>
        <v>22904.109328003597</v>
      </c>
      <c r="BW58" s="331">
        <f t="shared" si="172"/>
        <v>22111.656422796441</v>
      </c>
      <c r="BX58" s="319">
        <f t="shared" si="234"/>
        <v>22637.941317203145</v>
      </c>
      <c r="BY58" s="332">
        <f t="shared" si="235"/>
        <v>22843.437939932344</v>
      </c>
      <c r="BZ58" s="140">
        <f t="shared" si="163"/>
        <v>1065767606.4</v>
      </c>
      <c r="CA58" s="142">
        <f t="shared" si="164"/>
        <v>1073133204.8</v>
      </c>
      <c r="CB58" s="339">
        <f t="shared" si="236"/>
        <v>9413.8042060019961</v>
      </c>
      <c r="CC58" s="329">
        <f t="shared" si="209"/>
        <v>9446.9124677727887</v>
      </c>
      <c r="CD58" s="329">
        <f t="shared" si="210"/>
        <v>9507.3728003368269</v>
      </c>
      <c r="CE58" s="339">
        <f t="shared" si="173"/>
        <v>9291.1592221239789</v>
      </c>
      <c r="CF58" s="329">
        <f t="shared" si="237"/>
        <v>9386.2734268187851</v>
      </c>
      <c r="CG58" s="325">
        <f t="shared" si="238"/>
        <v>9441.6849469357876</v>
      </c>
      <c r="CH58" s="20">
        <f t="shared" si="239"/>
        <v>1409253300.8699086</v>
      </c>
      <c r="CI58" s="21">
        <f t="shared" si="240"/>
        <v>62156.903397575283</v>
      </c>
      <c r="CJ58" s="21">
        <f t="shared" si="94"/>
        <v>22672.514617658431</v>
      </c>
      <c r="CK58" s="21">
        <f t="shared" si="142"/>
        <v>1433222913.9655516</v>
      </c>
      <c r="CL58" s="21">
        <f t="shared" si="143"/>
        <v>64145.980327254467</v>
      </c>
      <c r="CM58" s="21">
        <f t="shared" si="148"/>
        <v>22343.144600077165</v>
      </c>
      <c r="CN58" s="342">
        <f t="shared" si="144"/>
        <v>329.37001758126644</v>
      </c>
      <c r="CO58" s="342">
        <f t="shared" si="263"/>
        <v>346.58615276652699</v>
      </c>
      <c r="CP58" s="343">
        <f t="shared" si="212"/>
        <v>-17.216135185260555</v>
      </c>
      <c r="CQ58" s="141">
        <f t="shared" si="241"/>
        <v>937404470.98592269</v>
      </c>
      <c r="CR58" s="118">
        <f t="shared" si="242"/>
        <v>99514.024838062847</v>
      </c>
      <c r="CS58" s="118">
        <f t="shared" si="104"/>
        <v>9419.8227085211547</v>
      </c>
      <c r="CT58" s="118">
        <f t="shared" si="145"/>
        <v>958127397.36018717</v>
      </c>
      <c r="CU58" s="118">
        <f t="shared" si="146"/>
        <v>102615.8237854757</v>
      </c>
      <c r="CV58" s="118">
        <f t="shared" si="149"/>
        <v>9337.0336271256547</v>
      </c>
      <c r="CW58" s="350">
        <f t="shared" si="150"/>
        <v>82.789081395500034</v>
      </c>
      <c r="CX58" s="350">
        <f t="shared" si="264"/>
        <v>77.238415641946034</v>
      </c>
      <c r="CY58" s="351">
        <f t="shared" si="214"/>
        <v>5.550665753554</v>
      </c>
      <c r="CZ58" s="20">
        <f t="shared" si="174"/>
        <v>10.316666666665697</v>
      </c>
      <c r="DA58" s="21">
        <f t="shared" si="175"/>
        <v>1388118585.4666667</v>
      </c>
      <c r="DB58" s="21">
        <f t="shared" si="176"/>
        <v>0</v>
      </c>
      <c r="DC58" s="21">
        <f t="shared" si="255"/>
        <v>1047310232.892561</v>
      </c>
      <c r="DD58" s="21">
        <f t="shared" si="256"/>
        <v>369630202.72198951</v>
      </c>
      <c r="DE58" s="21">
        <f t="shared" si="257"/>
        <v>2.8334000446394145</v>
      </c>
      <c r="DF58" s="342">
        <f t="shared" si="258"/>
        <v>73.913497460344914</v>
      </c>
      <c r="DG58" s="342">
        <f t="shared" si="247"/>
        <v>69.847194142175439</v>
      </c>
      <c r="DH58" s="355">
        <f t="shared" si="195"/>
        <v>72.303470816030867</v>
      </c>
      <c r="DI58" s="141">
        <f t="shared" si="177"/>
        <v>-4.8000000000010914</v>
      </c>
      <c r="DJ58" s="118">
        <f t="shared" si="178"/>
        <v>0</v>
      </c>
      <c r="DK58" s="118">
        <f t="shared" si="179"/>
        <v>1068854035.1999999</v>
      </c>
      <c r="DL58" s="118">
        <f t="shared" si="259"/>
        <v>482185573.51564986</v>
      </c>
      <c r="DM58" s="118">
        <f t="shared" si="260"/>
        <v>456827755.23940969</v>
      </c>
      <c r="DN58" s="118">
        <f t="shared" si="261"/>
        <v>1.0555084886708579</v>
      </c>
      <c r="DO58" s="350">
        <f t="shared" si="262"/>
        <v>51.350237398113379</v>
      </c>
      <c r="DP58" s="350">
        <f t="shared" si="248"/>
        <v>59.650775561847929</v>
      </c>
      <c r="DQ58" s="351">
        <f t="shared" si="196"/>
        <v>61.250627206493405</v>
      </c>
      <c r="DR58" s="135">
        <f t="shared" si="180"/>
        <v>262.79999999999927</v>
      </c>
      <c r="DS58" s="20">
        <f t="shared" si="181"/>
        <v>16033953.599999955</v>
      </c>
      <c r="DT58" s="21">
        <f t="shared" si="140"/>
        <v>14250952.973861372</v>
      </c>
      <c r="DU58" s="21">
        <f t="shared" si="135"/>
        <v>63725.713282634453</v>
      </c>
      <c r="DV58" s="319">
        <f t="shared" si="136"/>
        <v>223.62955610486389</v>
      </c>
      <c r="DW58" s="21">
        <f t="shared" si="137"/>
        <v>4472.5911220972775</v>
      </c>
      <c r="DX58" s="21">
        <f>DW58*'Base Data'!$D$10</f>
        <v>8945.1822441945551</v>
      </c>
      <c r="DY58" s="363">
        <f>IF(INT(('Base Data'!$D$7)/DX58)=0,0,INT(('Base Data'!$D$7)/DX58))</f>
        <v>1</v>
      </c>
      <c r="DZ58" s="364">
        <f t="shared" si="126"/>
        <v>9.8612967084054197E-3</v>
      </c>
      <c r="EA58" s="141">
        <f t="shared" si="182"/>
        <v>65.149999999999636</v>
      </c>
      <c r="EB58" s="143">
        <f t="shared" si="183"/>
        <v>7365598.3999999585</v>
      </c>
      <c r="EC58" s="118">
        <f t="shared" si="141"/>
        <v>6903082.1062098145</v>
      </c>
      <c r="ED58" s="118">
        <f t="shared" si="138"/>
        <v>101359.60989175251</v>
      </c>
      <c r="EE58" s="329">
        <f t="shared" si="139"/>
        <v>68.104860640071479</v>
      </c>
      <c r="EF58" s="118">
        <f t="shared" si="127"/>
        <v>5107.864548005361</v>
      </c>
      <c r="EG58" s="118">
        <f>EF58*'Base Data'!$D$10</f>
        <v>10215.729096010722</v>
      </c>
      <c r="EH58" s="375">
        <f>IF(INT(('Base Data'!$D$7)/EG58)=0,0,INT(('Base Data'!$D$7)/EG58))</f>
        <v>1</v>
      </c>
      <c r="EI58" s="376">
        <f t="shared" si="128"/>
        <v>7.2117095233380614E-3</v>
      </c>
      <c r="EJ58" s="135">
        <f t="shared" si="184"/>
        <v>262.79999999999927</v>
      </c>
      <c r="EK58" s="21">
        <f t="shared" si="185"/>
        <v>16033953.599999955</v>
      </c>
      <c r="EL58" s="21">
        <f t="shared" si="78"/>
        <v>13531786.460240716</v>
      </c>
      <c r="EM58" s="21">
        <f t="shared" si="231"/>
        <v>61208.491141866201</v>
      </c>
      <c r="EN58" s="319">
        <f t="shared" si="75"/>
        <v>221.07694876642799</v>
      </c>
      <c r="EO58" s="21">
        <f t="shared" si="64"/>
        <v>4421.5389753285599</v>
      </c>
      <c r="EP58" s="21">
        <f>EO58*'Base Data'!$D$13</f>
        <v>3316.1542314964199</v>
      </c>
      <c r="EQ58" s="363">
        <f>IF(INT(('Base Data'!$D$7)/EP58)=0,0,INT(('Base Data'!$D$7)/EP58))</f>
        <v>3</v>
      </c>
      <c r="ER58" s="314">
        <f t="shared" si="227"/>
        <v>9.7487354764161822E-3</v>
      </c>
      <c r="ES58" s="143">
        <f t="shared" si="186"/>
        <v>65.149999999999636</v>
      </c>
      <c r="ET58" s="118">
        <f t="shared" si="187"/>
        <v>7365598.3999999585</v>
      </c>
      <c r="EU58" s="118">
        <f t="shared" si="79"/>
        <v>7048938.1595647084</v>
      </c>
      <c r="EV58" s="118">
        <f t="shared" si="232"/>
        <v>100285.26645933145</v>
      </c>
      <c r="EW58" s="329">
        <f t="shared" si="77"/>
        <v>70.288871021978636</v>
      </c>
      <c r="EX58" s="118">
        <f t="shared" si="66"/>
        <v>5271.6653266483981</v>
      </c>
      <c r="EY58" s="118">
        <f>EX58*'Base Data'!$D$13</f>
        <v>3953.7489949862984</v>
      </c>
      <c r="EZ58" s="375">
        <f>IF(INT(('Base Data'!$D$7)/EY58)=0,0,INT(('Base Data'!$D$7)/EY58))</f>
        <v>2</v>
      </c>
      <c r="FA58" s="385">
        <f t="shared" si="228"/>
        <v>7.4429771351096916E-3</v>
      </c>
      <c r="FB58" s="397">
        <f t="shared" si="129"/>
        <v>1.2085711161340695</v>
      </c>
      <c r="FC58" s="403">
        <f t="shared" si="229"/>
        <v>-0.61939218040324495</v>
      </c>
      <c r="FD58" s="510">
        <f t="shared" si="130"/>
        <v>1.4920502304953618</v>
      </c>
      <c r="FE58" s="509">
        <f t="shared" si="230"/>
        <v>3.2603549229635823E-3</v>
      </c>
      <c r="FF58" s="20">
        <f t="shared" si="165"/>
        <v>262.79999999999927</v>
      </c>
      <c r="FG58" s="17">
        <f t="shared" si="166"/>
        <v>1.1465968586387402E-2</v>
      </c>
      <c r="FH58" s="388">
        <f t="shared" si="70"/>
        <v>7.7839438741215527E-3</v>
      </c>
      <c r="FI58" s="388">
        <f t="shared" si="105"/>
        <v>8.4969532482990009E-3</v>
      </c>
      <c r="FJ58" s="314">
        <f t="shared" si="131"/>
        <v>8.8203818332235409E-3</v>
      </c>
      <c r="FK58" s="442">
        <f t="shared" si="167"/>
        <v>65.149999999999636</v>
      </c>
      <c r="FL58" s="18">
        <f t="shared" si="168"/>
        <v>6.872362869198274E-3</v>
      </c>
      <c r="FM58" s="394">
        <f t="shared" si="71"/>
        <v>5.6550820146052169E-3</v>
      </c>
      <c r="FN58" s="394">
        <f t="shared" si="106"/>
        <v>5.5112543069728162E-3</v>
      </c>
      <c r="FO58" s="385">
        <f t="shared" si="132"/>
        <v>6.2256413526497571E-3</v>
      </c>
      <c r="FP58" s="416">
        <f t="shared" si="188"/>
        <v>1</v>
      </c>
      <c r="FQ58" s="417">
        <f t="shared" si="189"/>
        <v>1</v>
      </c>
      <c r="FR58" s="415">
        <f t="shared" si="122"/>
        <v>69.796859421734737</v>
      </c>
      <c r="FS58" s="413" t="str">
        <f t="shared" si="133"/>
        <v>T-R</v>
      </c>
      <c r="FT58" s="404">
        <f t="shared" si="123"/>
        <v>67.373846338247517</v>
      </c>
      <c r="FU58" s="414" t="str">
        <f t="shared" si="134"/>
        <v>T-D</v>
      </c>
      <c r="FV58" s="415">
        <f t="shared" si="225"/>
        <v>45.452292441140386</v>
      </c>
      <c r="FW58" s="413" t="str">
        <f t="shared" si="72"/>
        <v>T-R</v>
      </c>
      <c r="FX58" s="404">
        <f t="shared" si="226"/>
        <v>13.598442714126255</v>
      </c>
      <c r="FY58" s="414" t="str">
        <f t="shared" si="73"/>
        <v>C-D</v>
      </c>
    </row>
    <row r="59" spans="1:181" ht="12.45" x14ac:dyDescent="0.3">
      <c r="A59" s="1" t="s">
        <v>266</v>
      </c>
      <c r="E59" s="22"/>
      <c r="F59" s="22"/>
      <c r="G59" s="23"/>
      <c r="H59" s="23"/>
      <c r="I59" s="23"/>
      <c r="J59" s="23"/>
      <c r="L59" s="283">
        <f t="shared" si="35"/>
        <v>56</v>
      </c>
      <c r="M59" s="290">
        <f>'[4]BANKNIFTY-I'!C75</f>
        <v>42878</v>
      </c>
      <c r="N59" s="7">
        <f>'[4]BANKNIFTY-I'!D75</f>
        <v>22695</v>
      </c>
      <c r="O59" s="7">
        <f>'[4]BANKNIFTY-I'!E75</f>
        <v>22740</v>
      </c>
      <c r="P59" s="7">
        <f>'[4]BANKNIFTY-I'!F75</f>
        <v>22500</v>
      </c>
      <c r="Q59" s="7">
        <f>'[4]BANKNIFTY-I'!G75</f>
        <v>22574.7</v>
      </c>
      <c r="R59" s="11">
        <f>'[4]BANKNIFTY-I'!H75</f>
        <v>90761</v>
      </c>
      <c r="S59" s="291">
        <f>'[5]NIFTY-I'!C75</f>
        <v>42878</v>
      </c>
      <c r="T59" s="9">
        <f>'[5]NIFTY-I'!D75</f>
        <v>9458.65</v>
      </c>
      <c r="U59" s="9">
        <f>'[5]NIFTY-I'!E75</f>
        <v>9464</v>
      </c>
      <c r="V59" s="9">
        <f>'[5]NIFTY-I'!F75</f>
        <v>9371</v>
      </c>
      <c r="W59" s="9">
        <f>'[5]NIFTY-I'!G75</f>
        <v>9390.4500000000007</v>
      </c>
      <c r="X59" s="12">
        <f>'[5]NIFTY-I'!H75</f>
        <v>179973</v>
      </c>
      <c r="Y59" s="115"/>
      <c r="Z59" s="122">
        <f t="shared" si="36"/>
        <v>-4.5434333287578677E-3</v>
      </c>
      <c r="AA59" s="19">
        <f t="shared" si="169"/>
        <v>-5.6493425743809394E-3</v>
      </c>
      <c r="AB59" s="305">
        <f>IF(OR(SUM(Z39:Z59)=0,SUM('BNF-Nifty'!AA39:AA59)=0),0,(_xlfn.COVARIANCE.P(Z39:Z59,'BNF-Nifty'!AA39:AA59)/_xlfn.VAR.P('BNF-Nifty'!AA39:AA59)))</f>
        <v>1.1089309824808946</v>
      </c>
      <c r="AC59" s="306">
        <f>IF(OR(SUM(AA39:AA59)=0,SUM('BNF-Nifty'!AA39:AA59)=0),0,(_xlfn.COVARIANCE.P(AA39:AA59,'BNF-Nifty'!AA39:AA59)/_xlfn.VAR.P('BNF-Nifty'!AA39:AA59)))</f>
        <v>1.0000000000000002</v>
      </c>
      <c r="AD59" s="122">
        <f t="shared" si="151"/>
        <v>-1.8378140290860718E-3</v>
      </c>
      <c r="AE59" s="364">
        <f t="shared" si="124"/>
        <v>1.8968476097611309E-2</v>
      </c>
      <c r="AF59" s="513">
        <f t="shared" si="152"/>
        <v>-2.7298967116830817E-3</v>
      </c>
      <c r="AG59" s="522">
        <f t="shared" si="125"/>
        <v>0.14025059459082412</v>
      </c>
      <c r="AH59" s="466">
        <f t="shared" si="170"/>
        <v>-4.5434333287578677E-3</v>
      </c>
      <c r="AI59" s="17">
        <f t="shared" si="38"/>
        <v>6.1978530298382392E-3</v>
      </c>
      <c r="AJ59" s="17">
        <f t="shared" si="39"/>
        <v>6.1112311716607975E-3</v>
      </c>
      <c r="AK59" s="314">
        <f t="shared" si="40"/>
        <v>0.1167549075980093</v>
      </c>
      <c r="AL59" s="467">
        <f t="shared" si="171"/>
        <v>-5.6493425743809394E-3</v>
      </c>
      <c r="AM59" s="18">
        <f t="shared" si="198"/>
        <v>4.7037262995459168E-3</v>
      </c>
      <c r="AN59" s="18">
        <f t="shared" si="199"/>
        <v>4.7657573297787952E-3</v>
      </c>
      <c r="AO59" s="385">
        <f t="shared" si="200"/>
        <v>9.1049665941804608E-2</v>
      </c>
      <c r="AP59" s="10">
        <f t="shared" si="153"/>
        <v>1.0610179112015469E-2</v>
      </c>
      <c r="AQ59" s="17">
        <f t="shared" si="249"/>
        <v>9.1276538858727271E-3</v>
      </c>
      <c r="AR59" s="17">
        <f t="shared" si="250"/>
        <v>9.2233277931565039E-3</v>
      </c>
      <c r="AS59" s="314">
        <f t="shared" si="251"/>
        <v>0.17621143006827003</v>
      </c>
      <c r="AT59" s="448">
        <f t="shared" si="154"/>
        <v>9.8753125343990396E-3</v>
      </c>
      <c r="AU59" s="18">
        <f t="shared" si="252"/>
        <v>6.4769545078516167E-3</v>
      </c>
      <c r="AV59" s="18">
        <f t="shared" si="253"/>
        <v>6.7294272545363127E-3</v>
      </c>
      <c r="AW59" s="385">
        <f t="shared" si="254"/>
        <v>0.12856552717795344</v>
      </c>
      <c r="AX59" s="6">
        <f t="shared" si="155"/>
        <v>2059820895</v>
      </c>
      <c r="AY59" s="319">
        <f t="shared" si="265"/>
        <v>21735.880477824619</v>
      </c>
      <c r="AZ59" s="140">
        <f t="shared" si="156"/>
        <v>1702301616.45</v>
      </c>
      <c r="BA59" s="481">
        <f t="shared" si="266"/>
        <v>9210.3440463633779</v>
      </c>
      <c r="BB59" s="135">
        <f t="shared" si="243"/>
        <v>1506995861.3619895</v>
      </c>
      <c r="BC59" s="21">
        <f t="shared" si="244"/>
        <v>66446.0760399172</v>
      </c>
      <c r="BD59" s="319">
        <f t="shared" si="100"/>
        <v>22679.982794720159</v>
      </c>
      <c r="BE59" s="21">
        <f t="shared" si="157"/>
        <v>22604.899999999998</v>
      </c>
      <c r="BF59" s="21">
        <f t="shared" si="158"/>
        <v>2051643328.8999999</v>
      </c>
      <c r="BG59" s="21">
        <f t="shared" si="59"/>
        <v>1609803067.3167915</v>
      </c>
      <c r="BH59" s="21">
        <f t="shared" si="223"/>
        <v>70897.069534917915</v>
      </c>
      <c r="BI59" s="332">
        <f t="shared" si="56"/>
        <v>22706.200381440849</v>
      </c>
      <c r="BJ59" s="141">
        <f t="shared" si="245"/>
        <v>1047123375.9414941</v>
      </c>
      <c r="BK59" s="118">
        <f t="shared" si="246"/>
        <v>111111.87033679972</v>
      </c>
      <c r="BL59" s="329">
        <f t="shared" si="107"/>
        <v>9424.0459886732006</v>
      </c>
      <c r="BM59" s="118">
        <f t="shared" si="159"/>
        <v>9408.4833333333336</v>
      </c>
      <c r="BN59" s="118">
        <f t="shared" si="160"/>
        <v>1693272970.95</v>
      </c>
      <c r="BO59" s="118">
        <f t="shared" si="60"/>
        <v>1222073982.5169394</v>
      </c>
      <c r="BP59" s="118">
        <f t="shared" si="224"/>
        <v>129503.55244766826</v>
      </c>
      <c r="BQ59" s="325">
        <f t="shared" si="61"/>
        <v>9436.6058646211532</v>
      </c>
      <c r="BR59" s="6">
        <f t="shared" si="161"/>
        <v>2042122500</v>
      </c>
      <c r="BS59" s="8">
        <f t="shared" si="162"/>
        <v>2063905140</v>
      </c>
      <c r="BT59" s="331">
        <f t="shared" si="233"/>
        <v>22781.808973233747</v>
      </c>
      <c r="BU59" s="319">
        <f t="shared" si="207"/>
        <v>22664.860378341738</v>
      </c>
      <c r="BV59" s="319">
        <f t="shared" si="208"/>
        <v>22866.677821362016</v>
      </c>
      <c r="BW59" s="331">
        <f t="shared" si="172"/>
        <v>22162.667965285164</v>
      </c>
      <c r="BX59" s="319">
        <f t="shared" si="234"/>
        <v>22643.705948818129</v>
      </c>
      <c r="BY59" s="332">
        <f t="shared" si="235"/>
        <v>22854.018879396015</v>
      </c>
      <c r="BZ59" s="140">
        <f t="shared" si="163"/>
        <v>1686526983</v>
      </c>
      <c r="CA59" s="142">
        <f t="shared" si="164"/>
        <v>1703264472</v>
      </c>
      <c r="CB59" s="339">
        <f t="shared" si="236"/>
        <v>9423.8964054837215</v>
      </c>
      <c r="CC59" s="329">
        <f t="shared" si="209"/>
        <v>9425.3075486807447</v>
      </c>
      <c r="CD59" s="329">
        <f t="shared" si="210"/>
        <v>9498.8227301503266</v>
      </c>
      <c r="CE59" s="339">
        <f t="shared" si="173"/>
        <v>9305.5322429103089</v>
      </c>
      <c r="CF59" s="329">
        <f t="shared" si="237"/>
        <v>9387.9846506692593</v>
      </c>
      <c r="CG59" s="325">
        <f t="shared" si="238"/>
        <v>9448.8596069715659</v>
      </c>
      <c r="CH59" s="20">
        <f t="shared" si="239"/>
        <v>1508082535.9514611</v>
      </c>
      <c r="CI59" s="21">
        <f t="shared" si="240"/>
        <v>66557.533644102165</v>
      </c>
      <c r="CJ59" s="21">
        <f t="shared" si="94"/>
        <v>22658.329619236065</v>
      </c>
      <c r="CK59" s="21">
        <f t="shared" si="142"/>
        <v>1479031833.5903256</v>
      </c>
      <c r="CL59" s="21">
        <f t="shared" si="143"/>
        <v>66117.463265976359</v>
      </c>
      <c r="CM59" s="21">
        <f t="shared" si="148"/>
        <v>22369.760733869931</v>
      </c>
      <c r="CN59" s="342">
        <f t="shared" si="144"/>
        <v>288.56888536613405</v>
      </c>
      <c r="CO59" s="342">
        <f t="shared" si="263"/>
        <v>334.98269928644839</v>
      </c>
      <c r="CP59" s="343">
        <f t="shared" si="212"/>
        <v>-46.41381392031434</v>
      </c>
      <c r="CQ59" s="141">
        <f t="shared" si="241"/>
        <v>1053691932.5188577</v>
      </c>
      <c r="CR59" s="118">
        <f t="shared" si="242"/>
        <v>111892.3287091301</v>
      </c>
      <c r="CS59" s="118">
        <f t="shared" si="104"/>
        <v>9417.0167398873637</v>
      </c>
      <c r="CT59" s="118">
        <f t="shared" si="145"/>
        <v>1012582625.0335066</v>
      </c>
      <c r="CU59" s="118">
        <f t="shared" si="146"/>
        <v>108345.98498655157</v>
      </c>
      <c r="CV59" s="118">
        <f t="shared" si="149"/>
        <v>9345.8250913422708</v>
      </c>
      <c r="CW59" s="350">
        <f t="shared" si="150"/>
        <v>71.191648545092903</v>
      </c>
      <c r="CX59" s="350">
        <f t="shared" si="264"/>
        <v>76.029062222575405</v>
      </c>
      <c r="CY59" s="351">
        <f t="shared" si="214"/>
        <v>-4.8374136774825018</v>
      </c>
      <c r="CZ59" s="20">
        <f t="shared" si="174"/>
        <v>-146.66666666666788</v>
      </c>
      <c r="DA59" s="21">
        <f t="shared" si="175"/>
        <v>0</v>
      </c>
      <c r="DB59" s="21">
        <f t="shared" si="176"/>
        <v>2051643328.8999999</v>
      </c>
      <c r="DC59" s="21">
        <f t="shared" si="255"/>
        <v>907668868.50688612</v>
      </c>
      <c r="DD59" s="21">
        <f t="shared" si="256"/>
        <v>593898619.54572427</v>
      </c>
      <c r="DE59" s="21">
        <f t="shared" si="257"/>
        <v>1.5283229134311949</v>
      </c>
      <c r="DF59" s="342">
        <f t="shared" si="258"/>
        <v>60.448090127740173</v>
      </c>
      <c r="DG59" s="342">
        <f t="shared" si="247"/>
        <v>69.513751499923899</v>
      </c>
      <c r="DH59" s="355">
        <f t="shared" si="195"/>
        <v>72.628727663538442</v>
      </c>
      <c r="DI59" s="141">
        <f t="shared" si="177"/>
        <v>-45.716666666665333</v>
      </c>
      <c r="DJ59" s="118">
        <f t="shared" si="178"/>
        <v>0</v>
      </c>
      <c r="DK59" s="118">
        <f t="shared" si="179"/>
        <v>1693272970.95</v>
      </c>
      <c r="DL59" s="118">
        <f t="shared" si="259"/>
        <v>417894163.7135632</v>
      </c>
      <c r="DM59" s="118">
        <f t="shared" si="260"/>
        <v>621687117.33415508</v>
      </c>
      <c r="DN59" s="118">
        <f t="shared" si="261"/>
        <v>0.67219370011321344</v>
      </c>
      <c r="DO59" s="350">
        <f t="shared" si="262"/>
        <v>40.198315546081986</v>
      </c>
      <c r="DP59" s="350">
        <f t="shared" si="248"/>
        <v>58.756559709595592</v>
      </c>
      <c r="DQ59" s="351">
        <f t="shared" si="196"/>
        <v>61.42882880880699</v>
      </c>
      <c r="DR59" s="135">
        <f t="shared" si="180"/>
        <v>240</v>
      </c>
      <c r="DS59" s="20">
        <f t="shared" si="181"/>
        <v>21782640</v>
      </c>
      <c r="DT59" s="21">
        <f t="shared" si="140"/>
        <v>14935651.794419428</v>
      </c>
      <c r="DU59" s="21">
        <f t="shared" si="135"/>
        <v>66183.466620576772</v>
      </c>
      <c r="DV59" s="319">
        <f t="shared" si="136"/>
        <v>225.67043639530146</v>
      </c>
      <c r="DW59" s="21">
        <f t="shared" si="137"/>
        <v>4513.4087279060295</v>
      </c>
      <c r="DX59" s="21">
        <f>DW59*'Base Data'!$D$10</f>
        <v>9026.8174558120591</v>
      </c>
      <c r="DY59" s="363">
        <f>IF(INT(('Base Data'!$D$7)/DX59)=0,0,INT(('Base Data'!$D$7)/DX59))</f>
        <v>1</v>
      </c>
      <c r="DZ59" s="364">
        <f t="shared" si="126"/>
        <v>9.99660843312653E-3</v>
      </c>
      <c r="EA59" s="141">
        <f t="shared" si="182"/>
        <v>93</v>
      </c>
      <c r="EB59" s="143">
        <f t="shared" si="183"/>
        <v>16737489</v>
      </c>
      <c r="EC59" s="118">
        <f t="shared" si="141"/>
        <v>7797119.0965543771</v>
      </c>
      <c r="ED59" s="118">
        <f t="shared" si="138"/>
        <v>108506.28171977501</v>
      </c>
      <c r="EE59" s="329">
        <f t="shared" si="139"/>
        <v>71.858688483040794</v>
      </c>
      <c r="EF59" s="118">
        <f t="shared" si="127"/>
        <v>5389.4016362280599</v>
      </c>
      <c r="EG59" s="118">
        <f>EF59*'Base Data'!$D$10</f>
        <v>10778.80327245612</v>
      </c>
      <c r="EH59" s="375">
        <f>IF(INT(('Base Data'!$D$7)/EG59)=0,0,INT(('Base Data'!$D$7)/EG59))</f>
        <v>0</v>
      </c>
      <c r="EI59" s="376">
        <f t="shared" si="128"/>
        <v>7.6523157551598477E-3</v>
      </c>
      <c r="EJ59" s="135">
        <f t="shared" si="184"/>
        <v>240</v>
      </c>
      <c r="EK59" s="21">
        <f t="shared" si="185"/>
        <v>21782640</v>
      </c>
      <c r="EL59" s="21">
        <f t="shared" si="78"/>
        <v>15365309.469076112</v>
      </c>
      <c r="EM59" s="21">
        <f t="shared" si="231"/>
        <v>67775.715332562599</v>
      </c>
      <c r="EN59" s="319">
        <f t="shared" si="75"/>
        <v>226.70818586984214</v>
      </c>
      <c r="EO59" s="21">
        <f t="shared" si="64"/>
        <v>4534.1637173968429</v>
      </c>
      <c r="EP59" s="21">
        <f>EO59*'Base Data'!$D$13</f>
        <v>3400.6227880476322</v>
      </c>
      <c r="EQ59" s="363">
        <f>IF(INT(('Base Data'!$D$7)/EP59)=0,0,INT(('Base Data'!$D$7)/EP59))</f>
        <v>3</v>
      </c>
      <c r="ER59" s="314">
        <f t="shared" si="227"/>
        <v>1.0042578012989857E-2</v>
      </c>
      <c r="ES59" s="143">
        <f t="shared" si="186"/>
        <v>93</v>
      </c>
      <c r="ET59" s="118">
        <f t="shared" si="187"/>
        <v>16737489</v>
      </c>
      <c r="EU59" s="118">
        <f t="shared" si="79"/>
        <v>9201949.4574392177</v>
      </c>
      <c r="EV59" s="118">
        <f t="shared" si="232"/>
        <v>117993.65169059113</v>
      </c>
      <c r="EW59" s="329">
        <f t="shared" si="77"/>
        <v>77.986818151615736</v>
      </c>
      <c r="EX59" s="118">
        <f t="shared" si="66"/>
        <v>5849.0113613711801</v>
      </c>
      <c r="EY59" s="118">
        <f>EX59*'Base Data'!$D$13</f>
        <v>4386.7585210283851</v>
      </c>
      <c r="EZ59" s="375">
        <f>IF(INT(('Base Data'!$D$7)/EY59)=0,0,INT(('Base Data'!$D$7)/EY59))</f>
        <v>2</v>
      </c>
      <c r="FA59" s="385">
        <f t="shared" si="228"/>
        <v>8.3049074486968924E-3</v>
      </c>
      <c r="FB59" s="397">
        <f t="shared" si="129"/>
        <v>0.50490821466428437</v>
      </c>
      <c r="FC59" s="403">
        <f t="shared" si="229"/>
        <v>-1.0520223714826873</v>
      </c>
      <c r="FD59" s="510">
        <f t="shared" si="130"/>
        <v>0.4563961914469537</v>
      </c>
      <c r="FE59" s="509">
        <f t="shared" si="230"/>
        <v>-0.84357204921605788</v>
      </c>
      <c r="FF59" s="20">
        <f t="shared" si="165"/>
        <v>240</v>
      </c>
      <c r="FG59" s="17">
        <f t="shared" si="166"/>
        <v>1.0575016523463317E-2</v>
      </c>
      <c r="FH59" s="388">
        <f t="shared" si="70"/>
        <v>8.5126191851684994E-3</v>
      </c>
      <c r="FI59" s="388">
        <f t="shared" si="105"/>
        <v>8.6721212422141286E-3</v>
      </c>
      <c r="FJ59" s="314">
        <f t="shared" si="131"/>
        <v>9.0853665925528567E-3</v>
      </c>
      <c r="FK59" s="442">
        <f t="shared" si="167"/>
        <v>93</v>
      </c>
      <c r="FL59" s="18">
        <f t="shared" si="168"/>
        <v>9.8322699328128229E-3</v>
      </c>
      <c r="FM59" s="394">
        <f t="shared" si="71"/>
        <v>5.9952986909191765E-3</v>
      </c>
      <c r="FN59" s="394">
        <f t="shared" si="106"/>
        <v>5.8484686914439758E-3</v>
      </c>
      <c r="FO59" s="385">
        <f t="shared" si="132"/>
        <v>6.4360650473227225E-3</v>
      </c>
      <c r="FP59" s="416">
        <f t="shared" si="188"/>
        <v>1</v>
      </c>
      <c r="FQ59" s="417">
        <f t="shared" si="189"/>
        <v>1</v>
      </c>
      <c r="FR59" s="415">
        <f t="shared" si="122"/>
        <v>64.384970089730842</v>
      </c>
      <c r="FS59" s="413" t="str">
        <f t="shared" si="133"/>
        <v>T-D</v>
      </c>
      <c r="FT59" s="404">
        <f t="shared" si="123"/>
        <v>57.191078963231035</v>
      </c>
      <c r="FU59" s="414" t="str">
        <f t="shared" si="134"/>
        <v>T-D</v>
      </c>
      <c r="FV59" s="415">
        <f t="shared" si="225"/>
        <v>55.053519967064865</v>
      </c>
      <c r="FW59" s="413" t="str">
        <f t="shared" si="72"/>
        <v>T-R</v>
      </c>
      <c r="FX59" s="404">
        <f t="shared" si="226"/>
        <v>29.625187406296632</v>
      </c>
      <c r="FY59" s="414" t="str">
        <f t="shared" si="73"/>
        <v>C-R</v>
      </c>
    </row>
    <row r="60" spans="1:181" ht="12.45" x14ac:dyDescent="0.3">
      <c r="A60" s="1" t="s">
        <v>267</v>
      </c>
      <c r="E60" s="22"/>
      <c r="F60" s="22"/>
      <c r="G60" s="23"/>
      <c r="H60" s="23"/>
      <c r="I60" s="23"/>
      <c r="J60" s="23"/>
      <c r="L60" s="283">
        <f t="shared" si="35"/>
        <v>57</v>
      </c>
      <c r="M60" s="290">
        <f>'[4]BANKNIFTY-I'!C76</f>
        <v>42879</v>
      </c>
      <c r="N60" s="7">
        <f>'[4]BANKNIFTY-I'!D76</f>
        <v>22630.05</v>
      </c>
      <c r="O60" s="7">
        <f>'[4]BANKNIFTY-I'!E76</f>
        <v>22659.599999999999</v>
      </c>
      <c r="P60" s="7">
        <f>'[4]BANKNIFTY-I'!F76</f>
        <v>22460</v>
      </c>
      <c r="Q60" s="7">
        <f>'[4]BANKNIFTY-I'!G76</f>
        <v>22533.25</v>
      </c>
      <c r="R60" s="11">
        <f>'[4]BANKNIFTY-I'!H76</f>
        <v>69554</v>
      </c>
      <c r="S60" s="291">
        <f>'[5]NIFTY-I'!C76</f>
        <v>42879</v>
      </c>
      <c r="T60" s="9">
        <f>'[5]NIFTY-I'!D76</f>
        <v>9401.25</v>
      </c>
      <c r="U60" s="9">
        <f>'[5]NIFTY-I'!E76</f>
        <v>9439.9</v>
      </c>
      <c r="V60" s="9">
        <f>'[5]NIFTY-I'!F76</f>
        <v>9340</v>
      </c>
      <c r="W60" s="9">
        <f>'[5]NIFTY-I'!G76</f>
        <v>9364.85</v>
      </c>
      <c r="X60" s="12">
        <f>'[5]NIFTY-I'!H76</f>
        <v>210649</v>
      </c>
      <c r="Y60" s="115"/>
      <c r="Z60" s="122">
        <f t="shared" si="36"/>
        <v>-1.8378140290860718E-3</v>
      </c>
      <c r="AA60" s="19">
        <f t="shared" si="169"/>
        <v>-2.7298967116830817E-3</v>
      </c>
      <c r="AB60" s="305">
        <f>IF(OR(SUM(Z40:Z60)=0,SUM('BNF-Nifty'!AA40:AA60)=0),0,(_xlfn.COVARIANCE.P(Z40:Z60,'BNF-Nifty'!AA40:AA60)/_xlfn.VAR.P('BNF-Nifty'!AA40:AA60)))</f>
        <v>1.1041756089140482</v>
      </c>
      <c r="AC60" s="306">
        <f>IF(OR(SUM(AA40:AA60)=0,SUM('BNF-Nifty'!AA40:AA60)=0),0,(_xlfn.COVARIANCE.P(AA40:AA60,'BNF-Nifty'!AA40:AA60)/_xlfn.VAR.P('BNF-Nifty'!AA40:AA60)))</f>
        <v>0.99999999999999989</v>
      </c>
      <c r="AD60" s="122">
        <f t="shared" si="151"/>
        <v>2.8959831399679073E-2</v>
      </c>
      <c r="AE60" s="364">
        <f t="shared" si="124"/>
        <v>-5.1412713932055494E-2</v>
      </c>
      <c r="AF60" s="513">
        <f t="shared" si="152"/>
        <v>1.5391073066235918E-2</v>
      </c>
      <c r="AG60" s="522">
        <f t="shared" si="125"/>
        <v>4.3261296475799821E-2</v>
      </c>
      <c r="AH60" s="466">
        <f t="shared" si="170"/>
        <v>-1.8378140290860718E-3</v>
      </c>
      <c r="AI60" s="17">
        <f t="shared" si="38"/>
        <v>6.1112311716607975E-3</v>
      </c>
      <c r="AJ60" s="17">
        <f t="shared" si="39"/>
        <v>5.9421352451623161E-3</v>
      </c>
      <c r="AK60" s="314">
        <f t="shared" si="40"/>
        <v>0.11352433445833135</v>
      </c>
      <c r="AL60" s="467">
        <f t="shared" si="171"/>
        <v>-2.7298967116830817E-3</v>
      </c>
      <c r="AM60" s="18">
        <f t="shared" si="198"/>
        <v>4.7657573297787952E-3</v>
      </c>
      <c r="AN60" s="18">
        <f t="shared" si="199"/>
        <v>4.6687082275665261E-3</v>
      </c>
      <c r="AO60" s="385">
        <f t="shared" si="200"/>
        <v>8.9195545447425736E-2</v>
      </c>
      <c r="AP60" s="10">
        <f t="shared" si="153"/>
        <v>8.8476538830983258E-3</v>
      </c>
      <c r="AQ60" s="17">
        <f t="shared" si="249"/>
        <v>9.2233277931565039E-3</v>
      </c>
      <c r="AR60" s="17">
        <f t="shared" si="250"/>
        <v>9.2012199082142747E-3</v>
      </c>
      <c r="AS60" s="314">
        <f t="shared" si="251"/>
        <v>0.17578905951950288</v>
      </c>
      <c r="AT60" s="448">
        <f t="shared" si="154"/>
        <v>1.0639134640210598E-2</v>
      </c>
      <c r="AU60" s="18">
        <f t="shared" si="252"/>
        <v>6.7294272545363127E-3</v>
      </c>
      <c r="AV60" s="18">
        <f t="shared" si="253"/>
        <v>7.0256352636044314E-3</v>
      </c>
      <c r="AW60" s="385">
        <f t="shared" si="254"/>
        <v>0.13422457324528458</v>
      </c>
      <c r="AX60" s="6">
        <f t="shared" si="155"/>
        <v>1574010497.7</v>
      </c>
      <c r="AY60" s="319">
        <f t="shared" si="265"/>
        <v>21769.543910691849</v>
      </c>
      <c r="AZ60" s="140">
        <f t="shared" si="156"/>
        <v>1980363911.25</v>
      </c>
      <c r="BA60" s="481">
        <f t="shared" si="266"/>
        <v>9222.1220501246389</v>
      </c>
      <c r="BB60" s="135">
        <f t="shared" si="243"/>
        <v>1516569380.8388481</v>
      </c>
      <c r="BC60" s="21">
        <f t="shared" si="244"/>
        <v>66890.065177071883</v>
      </c>
      <c r="BD60" s="319">
        <f t="shared" si="100"/>
        <v>22672.565452345938</v>
      </c>
      <c r="BE60" s="21">
        <f t="shared" si="157"/>
        <v>22550.95</v>
      </c>
      <c r="BF60" s="21">
        <f t="shared" si="158"/>
        <v>1568508776.3</v>
      </c>
      <c r="BG60" s="21">
        <f t="shared" si="59"/>
        <v>1596038303.6445277</v>
      </c>
      <c r="BH60" s="21">
        <f t="shared" si="223"/>
        <v>70449.379689945272</v>
      </c>
      <c r="BI60" s="332">
        <f t="shared" si="56"/>
        <v>22655.107974958064</v>
      </c>
      <c r="BJ60" s="141">
        <f t="shared" si="245"/>
        <v>1180443452.4141378</v>
      </c>
      <c r="BK60" s="118">
        <f t="shared" si="246"/>
        <v>125331.46028868547</v>
      </c>
      <c r="BL60" s="329">
        <f t="shared" si="107"/>
        <v>9418.5725570828963</v>
      </c>
      <c r="BM60" s="118">
        <f t="shared" si="159"/>
        <v>9381.5833333333339</v>
      </c>
      <c r="BN60" s="118">
        <f t="shared" si="160"/>
        <v>1976221147.5833335</v>
      </c>
      <c r="BO60" s="118">
        <f t="shared" si="60"/>
        <v>1473456370.8724041</v>
      </c>
      <c r="BP60" s="118">
        <f t="shared" si="224"/>
        <v>156552.03496511217</v>
      </c>
      <c r="BQ60" s="325">
        <f t="shared" si="61"/>
        <v>9411.9272943386895</v>
      </c>
      <c r="BR60" s="6">
        <f t="shared" si="161"/>
        <v>1562182840</v>
      </c>
      <c r="BS60" s="8">
        <f t="shared" si="162"/>
        <v>1576065818.3999999</v>
      </c>
      <c r="BT60" s="331">
        <f t="shared" si="233"/>
        <v>22787.979376979234</v>
      </c>
      <c r="BU60" s="319">
        <f t="shared" si="207"/>
        <v>22605.365499728719</v>
      </c>
      <c r="BV60" s="319">
        <f t="shared" si="208"/>
        <v>22806.530162203184</v>
      </c>
      <c r="BW60" s="331">
        <f t="shared" si="172"/>
        <v>22190.604545560436</v>
      </c>
      <c r="BX60" s="319">
        <f t="shared" si="234"/>
        <v>22649.489753003603</v>
      </c>
      <c r="BY60" s="332">
        <f t="shared" si="235"/>
        <v>22847.585086361119</v>
      </c>
      <c r="BZ60" s="140">
        <f t="shared" si="163"/>
        <v>1967461660</v>
      </c>
      <c r="CA60" s="142">
        <f t="shared" si="164"/>
        <v>1988505495.0999999</v>
      </c>
      <c r="CB60" s="339">
        <f t="shared" si="236"/>
        <v>9424.7154752052411</v>
      </c>
      <c r="CC60" s="329">
        <f t="shared" si="209"/>
        <v>9395.114166415995</v>
      </c>
      <c r="CD60" s="329">
        <f t="shared" si="210"/>
        <v>9476.2931433804406</v>
      </c>
      <c r="CE60" s="339">
        <f t="shared" si="173"/>
        <v>9314.0280506812524</v>
      </c>
      <c r="CF60" s="329">
        <f t="shared" si="237"/>
        <v>9384.3673345827356</v>
      </c>
      <c r="CG60" s="325">
        <f t="shared" si="238"/>
        <v>9451.6643706934174</v>
      </c>
      <c r="CH60" s="20">
        <f t="shared" si="239"/>
        <v>1517378880.6204669</v>
      </c>
      <c r="CI60" s="21">
        <f t="shared" si="240"/>
        <v>67018.528468086442</v>
      </c>
      <c r="CJ60" s="21">
        <f t="shared" si="94"/>
        <v>22641.18468884359</v>
      </c>
      <c r="CK60" s="21">
        <f t="shared" si="142"/>
        <v>1485659755.2725236</v>
      </c>
      <c r="CL60" s="21">
        <f t="shared" si="143"/>
        <v>66372.021542570699</v>
      </c>
      <c r="CM60" s="21">
        <f t="shared" si="148"/>
        <v>22383.82560518559</v>
      </c>
      <c r="CN60" s="342">
        <f t="shared" si="144"/>
        <v>257.3590836580006</v>
      </c>
      <c r="CO60" s="342">
        <f t="shared" si="263"/>
        <v>319.45797616075885</v>
      </c>
      <c r="CP60" s="343">
        <f t="shared" si="212"/>
        <v>-62.098892502758247</v>
      </c>
      <c r="CQ60" s="141">
        <f t="shared" si="241"/>
        <v>1195619504.0672386</v>
      </c>
      <c r="CR60" s="118">
        <f t="shared" si="242"/>
        <v>127085.66275387933</v>
      </c>
      <c r="CS60" s="118">
        <f t="shared" si="104"/>
        <v>9407.9810275903201</v>
      </c>
      <c r="CT60" s="118">
        <f t="shared" si="145"/>
        <v>1083963256.3334937</v>
      </c>
      <c r="CU60" s="118">
        <f t="shared" si="146"/>
        <v>115923.98609865886</v>
      </c>
      <c r="CV60" s="118">
        <f t="shared" si="149"/>
        <v>9350.6382312541464</v>
      </c>
      <c r="CW60" s="350">
        <f t="shared" si="150"/>
        <v>57.342796336173706</v>
      </c>
      <c r="CX60" s="350">
        <f t="shared" si="264"/>
        <v>72.291809045295068</v>
      </c>
      <c r="CY60" s="351">
        <f t="shared" si="214"/>
        <v>-14.949012709121362</v>
      </c>
      <c r="CZ60" s="20">
        <f t="shared" si="174"/>
        <v>-53.94999999999709</v>
      </c>
      <c r="DA60" s="21">
        <f t="shared" si="175"/>
        <v>0</v>
      </c>
      <c r="DB60" s="21">
        <f t="shared" si="176"/>
        <v>1568508776.3</v>
      </c>
      <c r="DC60" s="21">
        <f t="shared" si="255"/>
        <v>786646352.70596802</v>
      </c>
      <c r="DD60" s="21">
        <f t="shared" si="256"/>
        <v>723846640.44629431</v>
      </c>
      <c r="DE60" s="21">
        <f t="shared" si="257"/>
        <v>1.0867583114303798</v>
      </c>
      <c r="DF60" s="342">
        <f t="shared" si="258"/>
        <v>52.078781978611381</v>
      </c>
      <c r="DG60" s="342">
        <f t="shared" si="247"/>
        <v>69.150594631849074</v>
      </c>
      <c r="DH60" s="355">
        <f t="shared" si="195"/>
        <v>72.943092691434089</v>
      </c>
      <c r="DI60" s="141">
        <f t="shared" si="177"/>
        <v>-26.899999999999636</v>
      </c>
      <c r="DJ60" s="118">
        <f t="shared" si="178"/>
        <v>0</v>
      </c>
      <c r="DK60" s="118">
        <f t="shared" si="179"/>
        <v>1976221147.5833335</v>
      </c>
      <c r="DL60" s="118">
        <f t="shared" si="259"/>
        <v>362174941.88508809</v>
      </c>
      <c r="DM60" s="118">
        <f t="shared" si="260"/>
        <v>802291654.7007122</v>
      </c>
      <c r="DN60" s="118">
        <f t="shared" si="261"/>
        <v>0.45142553803603286</v>
      </c>
      <c r="DO60" s="350">
        <f t="shared" si="262"/>
        <v>31.102218212783427</v>
      </c>
      <c r="DP60" s="350">
        <f t="shared" si="248"/>
        <v>57.502846647480752</v>
      </c>
      <c r="DQ60" s="351">
        <f t="shared" si="196"/>
        <v>61.167769737585687</v>
      </c>
      <c r="DR60" s="135">
        <f t="shared" si="180"/>
        <v>199.59999999999854</v>
      </c>
      <c r="DS60" s="20">
        <f t="shared" si="181"/>
        <v>13882978.399999898</v>
      </c>
      <c r="DT60" s="21">
        <f t="shared" si="140"/>
        <v>14839954.213108562</v>
      </c>
      <c r="DU60" s="21">
        <f t="shared" si="135"/>
        <v>66489.878745978887</v>
      </c>
      <c r="DV60" s="319">
        <f t="shared" si="136"/>
        <v>223.19117575479169</v>
      </c>
      <c r="DW60" s="21">
        <f t="shared" si="137"/>
        <v>4463.8235150958335</v>
      </c>
      <c r="DX60" s="21">
        <f>DW60*'Base Data'!$D$10</f>
        <v>8927.647030191667</v>
      </c>
      <c r="DY60" s="363">
        <f>IF(INT(('Base Data'!$D$7)/DX60)=0,0,INT(('Base Data'!$D$7)/DX60))</f>
        <v>1</v>
      </c>
      <c r="DZ60" s="364">
        <f t="shared" si="126"/>
        <v>9.9049704660797572E-3</v>
      </c>
      <c r="EA60" s="141">
        <f t="shared" si="182"/>
        <v>99.899999999999636</v>
      </c>
      <c r="EB60" s="143">
        <f t="shared" si="183"/>
        <v>21043835.099999923</v>
      </c>
      <c r="EC60" s="118">
        <f t="shared" si="141"/>
        <v>9001366.005958518</v>
      </c>
      <c r="ED60" s="118">
        <f t="shared" si="138"/>
        <v>117791.98338161365</v>
      </c>
      <c r="EE60" s="329">
        <f t="shared" si="139"/>
        <v>76.417475515261216</v>
      </c>
      <c r="EF60" s="118">
        <f t="shared" si="127"/>
        <v>5731.3106636445909</v>
      </c>
      <c r="EG60" s="118">
        <f>EF60*'Base Data'!$D$10</f>
        <v>11462.621327289182</v>
      </c>
      <c r="EH60" s="375">
        <f>IF(INT(('Base Data'!$D$7)/EG60)=0,0,INT(('Base Data'!$D$7)/EG60))</f>
        <v>0</v>
      </c>
      <c r="EI60" s="376">
        <f t="shared" si="128"/>
        <v>8.1600319829213726E-3</v>
      </c>
      <c r="EJ60" s="135">
        <f t="shared" si="184"/>
        <v>199.59999999999854</v>
      </c>
      <c r="EK60" s="21">
        <f t="shared" si="185"/>
        <v>13882978.399999898</v>
      </c>
      <c r="EL60" s="21">
        <f t="shared" si="78"/>
        <v>15035902.564836953</v>
      </c>
      <c r="EM60" s="21">
        <f t="shared" si="231"/>
        <v>68170.889703104243</v>
      </c>
      <c r="EN60" s="319">
        <f t="shared" si="75"/>
        <v>220.56192357648334</v>
      </c>
      <c r="EO60" s="21">
        <f t="shared" si="64"/>
        <v>4411.2384715296666</v>
      </c>
      <c r="EP60" s="21">
        <f>EO60*'Base Data'!$D$13</f>
        <v>3308.42885364725</v>
      </c>
      <c r="EQ60" s="363">
        <f>IF(INT(('Base Data'!$D$7)/EP60)=0,0,INT(('Base Data'!$D$7)/EP60))</f>
        <v>3</v>
      </c>
      <c r="ER60" s="314">
        <f t="shared" si="227"/>
        <v>9.7882872455807898E-3</v>
      </c>
      <c r="ES60" s="143">
        <f t="shared" si="186"/>
        <v>99.899999999999636</v>
      </c>
      <c r="ET60" s="118">
        <f t="shared" si="187"/>
        <v>21043835.099999923</v>
      </c>
      <c r="EU60" s="118">
        <f t="shared" si="79"/>
        <v>11833479.600230485</v>
      </c>
      <c r="EV60" s="118">
        <f t="shared" si="232"/>
        <v>138583.72909268198</v>
      </c>
      <c r="EW60" s="329">
        <f t="shared" si="77"/>
        <v>85.388664872169045</v>
      </c>
      <c r="EX60" s="118">
        <f t="shared" si="66"/>
        <v>6404.1498654126781</v>
      </c>
      <c r="EY60" s="118">
        <f>EX60*'Base Data'!$D$13</f>
        <v>4803.1123990595088</v>
      </c>
      <c r="EZ60" s="375">
        <f>IF(INT(('Base Data'!$D$7)/EY60)=0,0,INT(('Base Data'!$D$7)/EY60))</f>
        <v>2</v>
      </c>
      <c r="FA60" s="385">
        <f t="shared" si="228"/>
        <v>9.1179960033710133E-3</v>
      </c>
      <c r="FB60" s="397">
        <f t="shared" si="129"/>
        <v>9.9686765276302963E-2</v>
      </c>
      <c r="FC60" s="403">
        <f t="shared" si="229"/>
        <v>-1.1379740706376356</v>
      </c>
      <c r="FD60" s="510">
        <f t="shared" si="130"/>
        <v>-6.6240146351010706E-2</v>
      </c>
      <c r="FE60" s="509">
        <f t="shared" si="230"/>
        <v>-1.0818668590844203</v>
      </c>
      <c r="FF60" s="20">
        <f t="shared" si="165"/>
        <v>199.59999999999854</v>
      </c>
      <c r="FG60" s="17">
        <f t="shared" si="166"/>
        <v>8.8201307553451517E-3</v>
      </c>
      <c r="FH60" s="388">
        <f t="shared" si="70"/>
        <v>8.6137752735178878E-3</v>
      </c>
      <c r="FI60" s="388">
        <f t="shared" si="105"/>
        <v>8.3022446885652208E-3</v>
      </c>
      <c r="FJ60" s="314">
        <f t="shared" si="131"/>
        <v>8.8896966549644549E-3</v>
      </c>
      <c r="FK60" s="442">
        <f t="shared" si="167"/>
        <v>99.899999999999636</v>
      </c>
      <c r="FL60" s="18">
        <f t="shared" si="168"/>
        <v>1.0626246509772598E-2</v>
      </c>
      <c r="FM60" s="394">
        <f t="shared" si="71"/>
        <v>6.8941719809968351E-3</v>
      </c>
      <c r="FN60" s="394">
        <f t="shared" si="106"/>
        <v>6.2450177783260046E-3</v>
      </c>
      <c r="FO60" s="385">
        <f t="shared" si="132"/>
        <v>6.4198200571048561E-3</v>
      </c>
      <c r="FP60" s="416">
        <f t="shared" si="188"/>
        <v>1</v>
      </c>
      <c r="FQ60" s="417">
        <f t="shared" si="189"/>
        <v>1</v>
      </c>
      <c r="FR60" s="415">
        <f t="shared" si="122"/>
        <v>49.57692850091653</v>
      </c>
      <c r="FS60" s="413" t="str">
        <f t="shared" si="133"/>
        <v>T-D</v>
      </c>
      <c r="FT60" s="404">
        <f t="shared" si="123"/>
        <v>34.41598235077813</v>
      </c>
      <c r="FU60" s="414" t="str">
        <f t="shared" si="134"/>
        <v>T-D</v>
      </c>
      <c r="FV60" s="415">
        <f t="shared" si="225"/>
        <v>27.222722272226889</v>
      </c>
      <c r="FW60" s="413" t="str">
        <f t="shared" si="72"/>
        <v>C-D</v>
      </c>
      <c r="FX60" s="404">
        <f t="shared" si="226"/>
        <v>25.25916561314736</v>
      </c>
      <c r="FY60" s="414" t="str">
        <f t="shared" si="73"/>
        <v>C-D</v>
      </c>
    </row>
    <row r="61" spans="1:181" s="255" customFormat="1" ht="12.45" x14ac:dyDescent="0.3">
      <c r="A61" s="1" t="s">
        <v>273</v>
      </c>
      <c r="B61" s="2"/>
      <c r="C61" s="2"/>
      <c r="D61" s="2"/>
      <c r="E61" s="22"/>
      <c r="F61" s="22"/>
      <c r="G61" s="23"/>
      <c r="H61" s="23"/>
      <c r="I61" s="23"/>
      <c r="J61" s="23"/>
      <c r="K61" s="2"/>
      <c r="L61" s="284">
        <f t="shared" si="35"/>
        <v>58</v>
      </c>
      <c r="M61" s="290">
        <f>'[4]BANKNIFTY-I'!C77</f>
        <v>42880</v>
      </c>
      <c r="N61" s="7">
        <f>'[4]BANKNIFTY-I'!D77</f>
        <v>22531.15</v>
      </c>
      <c r="O61" s="7">
        <f>'[4]BANKNIFTY-I'!E77</f>
        <v>23238</v>
      </c>
      <c r="P61" s="7">
        <f>'[4]BANKNIFTY-I'!F77</f>
        <v>22517.85</v>
      </c>
      <c r="Q61" s="7">
        <f>'[4]BANKNIFTY-I'!G77</f>
        <v>23195.35</v>
      </c>
      <c r="R61" s="11">
        <f>'[4]BANKNIFTY-I'!H77</f>
        <v>140932</v>
      </c>
      <c r="S61" s="291">
        <f>'[5]NIFTY-I'!C77</f>
        <v>42880</v>
      </c>
      <c r="T61" s="9">
        <f>'[5]NIFTY-I'!D77</f>
        <v>9384.9500000000007</v>
      </c>
      <c r="U61" s="9">
        <f>'[5]NIFTY-I'!E77</f>
        <v>9517.9</v>
      </c>
      <c r="V61" s="9">
        <f>'[5]NIFTY-I'!F77</f>
        <v>9378.5</v>
      </c>
      <c r="W61" s="9">
        <f>'[5]NIFTY-I'!G77</f>
        <v>9510.1</v>
      </c>
      <c r="X61" s="12">
        <f>'[5]NIFTY-I'!H77</f>
        <v>201508</v>
      </c>
      <c r="Y61" s="115"/>
      <c r="Z61" s="122">
        <f t="shared" si="36"/>
        <v>2.8959831399679073E-2</v>
      </c>
      <c r="AA61" s="19">
        <f t="shared" si="169"/>
        <v>1.5391073066235918E-2</v>
      </c>
      <c r="AB61" s="307">
        <f>IF(OR(SUM(Z41:Z61)=0,SUM('BNF-Nifty'!AA41:AA61)=0),0,(_xlfn.COVARIANCE.P(Z41:Z61,'BNF-Nifty'!AA41:AA61)/_xlfn.VAR.P('BNF-Nifty'!AA41:AA61)))</f>
        <v>1.3147430146998951</v>
      </c>
      <c r="AC61" s="308">
        <f>IF(OR(SUM(AA41:AA61)=0,SUM('BNF-Nifty'!AA41:AA61)=0),0,(_xlfn.COVARIANCE.P(AA41:AA61,'BNF-Nifty'!AA41:AA61)/_xlfn.VAR.P('BNF-Nifty'!AA41:AA61)))</f>
        <v>0.99999999999999956</v>
      </c>
      <c r="AD61" s="122">
        <f t="shared" si="151"/>
        <v>2.652184546654896E-3</v>
      </c>
      <c r="AE61" s="364">
        <f t="shared" si="124"/>
        <v>-7.7816152707968433E-2</v>
      </c>
      <c r="AF61" s="513">
        <f t="shared" si="152"/>
        <v>6.8846907412421611E-3</v>
      </c>
      <c r="AG61" s="522">
        <f t="shared" si="125"/>
        <v>9.9032890626840911E-2</v>
      </c>
      <c r="AH61" s="471">
        <f t="shared" si="170"/>
        <v>2.8959831399679073E-2</v>
      </c>
      <c r="AI61" s="258">
        <f t="shared" si="38"/>
        <v>5.9421352451623161E-3</v>
      </c>
      <c r="AJ61" s="258">
        <f t="shared" si="39"/>
        <v>9.1384212573815231E-3</v>
      </c>
      <c r="AK61" s="315">
        <f t="shared" si="40"/>
        <v>0.17458929297994569</v>
      </c>
      <c r="AL61" s="471">
        <f t="shared" si="171"/>
        <v>1.5391073066235918E-2</v>
      </c>
      <c r="AM61" s="258">
        <f t="shared" si="198"/>
        <v>4.6687082275665261E-3</v>
      </c>
      <c r="AN61" s="258">
        <f t="shared" si="199"/>
        <v>5.8908517322294992E-3</v>
      </c>
      <c r="AO61" s="315">
        <f t="shared" si="200"/>
        <v>0.11254456431945356</v>
      </c>
      <c r="AP61" s="450">
        <f t="shared" si="153"/>
        <v>3.1480541739514728E-2</v>
      </c>
      <c r="AQ61" s="258">
        <f t="shared" si="249"/>
        <v>9.2012199082142747E-3</v>
      </c>
      <c r="AR61" s="258">
        <f t="shared" si="250"/>
        <v>1.1791699259401052E-2</v>
      </c>
      <c r="AS61" s="315">
        <f t="shared" si="251"/>
        <v>0.22528009803313329</v>
      </c>
      <c r="AT61" s="451">
        <f t="shared" si="154"/>
        <v>1.4754400716557696E-2</v>
      </c>
      <c r="AU61" s="258">
        <f t="shared" si="252"/>
        <v>7.0256352636044314E-3</v>
      </c>
      <c r="AV61" s="258">
        <f t="shared" si="253"/>
        <v>7.710999820779111E-3</v>
      </c>
      <c r="AW61" s="315">
        <f t="shared" si="254"/>
        <v>0.14731844472488925</v>
      </c>
      <c r="AX61" s="263">
        <f t="shared" si="155"/>
        <v>3175360031.8000002</v>
      </c>
      <c r="AY61" s="320">
        <f t="shared" si="265"/>
        <v>21823.711705190712</v>
      </c>
      <c r="AZ61" s="263">
        <f t="shared" si="156"/>
        <v>1891142504.6000001</v>
      </c>
      <c r="BA61" s="322">
        <f t="shared" si="266"/>
        <v>9232.6210908932717</v>
      </c>
      <c r="BB61" s="259">
        <f t="shared" si="243"/>
        <v>1753539473.8332984</v>
      </c>
      <c r="BC61" s="260">
        <f t="shared" si="244"/>
        <v>77467.484437490188</v>
      </c>
      <c r="BD61" s="320">
        <f t="shared" si="100"/>
        <v>22635.812774432594</v>
      </c>
      <c r="BE61" s="260">
        <f t="shared" si="157"/>
        <v>22983.733333333334</v>
      </c>
      <c r="BF61" s="260">
        <f t="shared" si="158"/>
        <v>3239143506.1333332</v>
      </c>
      <c r="BG61" s="260">
        <f t="shared" si="59"/>
        <v>2143740037.8074627</v>
      </c>
      <c r="BH61" s="260">
        <f t="shared" si="223"/>
        <v>93943.58645996351</v>
      </c>
      <c r="BI61" s="326">
        <f t="shared" si="56"/>
        <v>22819.44003405781</v>
      </c>
      <c r="BJ61" s="259">
        <f t="shared" si="245"/>
        <v>1281971888.4406896</v>
      </c>
      <c r="BK61" s="260">
        <f t="shared" si="246"/>
        <v>136213.82310458756</v>
      </c>
      <c r="BL61" s="320">
        <f t="shared" si="107"/>
        <v>9411.4669071168137</v>
      </c>
      <c r="BM61" s="260">
        <f t="shared" si="159"/>
        <v>9468.8333333333339</v>
      </c>
      <c r="BN61" s="260">
        <f t="shared" si="160"/>
        <v>1908045667.3333335</v>
      </c>
      <c r="BO61" s="260">
        <f t="shared" si="60"/>
        <v>1618319469.692714</v>
      </c>
      <c r="BP61" s="260">
        <f t="shared" si="224"/>
        <v>171537.3566434081</v>
      </c>
      <c r="BQ61" s="326">
        <f t="shared" si="61"/>
        <v>9434.2101415079924</v>
      </c>
      <c r="BR61" s="263">
        <f t="shared" si="161"/>
        <v>3173485636.1999998</v>
      </c>
      <c r="BS61" s="500">
        <f t="shared" si="162"/>
        <v>3274977816</v>
      </c>
      <c r="BT61" s="333">
        <f t="shared" si="233"/>
        <v>22745.641975934228</v>
      </c>
      <c r="BU61" s="333">
        <f t="shared" si="207"/>
        <v>22550.122041894876</v>
      </c>
      <c r="BV61" s="333">
        <f t="shared" si="208"/>
        <v>22930.884837462429</v>
      </c>
      <c r="BW61" s="333">
        <f t="shared" si="172"/>
        <v>22222.713947406664</v>
      </c>
      <c r="BX61" s="333">
        <f t="shared" si="234"/>
        <v>22637.963700530272</v>
      </c>
      <c r="BY61" s="326">
        <f t="shared" si="235"/>
        <v>22913.167015118735</v>
      </c>
      <c r="BZ61" s="263">
        <f t="shared" si="163"/>
        <v>1889842778</v>
      </c>
      <c r="CA61" s="500">
        <f t="shared" si="164"/>
        <v>1917932993.1999998</v>
      </c>
      <c r="CB61" s="333">
        <f t="shared" si="236"/>
        <v>9424.7000827997381</v>
      </c>
      <c r="CC61" s="320">
        <f t="shared" si="209"/>
        <v>9382.5219696347085</v>
      </c>
      <c r="CD61" s="320">
        <f t="shared" si="210"/>
        <v>9480.9098368583218</v>
      </c>
      <c r="CE61" s="320">
        <f t="shared" si="173"/>
        <v>9320.2742923737769</v>
      </c>
      <c r="CF61" s="320">
        <f t="shared" si="237"/>
        <v>9390.7713211157734</v>
      </c>
      <c r="CG61" s="326">
        <f t="shared" si="238"/>
        <v>9468.1601142134514</v>
      </c>
      <c r="CH61" s="262">
        <f t="shared" si="239"/>
        <v>1782265746.0839849</v>
      </c>
      <c r="CI61" s="260">
        <f t="shared" si="240"/>
        <v>78389.831780688532</v>
      </c>
      <c r="CJ61" s="260">
        <f t="shared" si="94"/>
        <v>22735.93022970422</v>
      </c>
      <c r="CK61" s="260">
        <f t="shared" si="142"/>
        <v>1615547440.5214725</v>
      </c>
      <c r="CL61" s="260">
        <f t="shared" si="143"/>
        <v>71894.982909787679</v>
      </c>
      <c r="CM61" s="260">
        <f t="shared" si="148"/>
        <v>22470.934342506593</v>
      </c>
      <c r="CN61" s="344">
        <f t="shared" si="144"/>
        <v>264.99588719762687</v>
      </c>
      <c r="CO61" s="344">
        <f t="shared" si="263"/>
        <v>308.56555836813243</v>
      </c>
      <c r="CP61" s="345">
        <f t="shared" si="212"/>
        <v>-43.569671170505558</v>
      </c>
      <c r="CQ61" s="259">
        <f t="shared" si="241"/>
        <v>1305223529.1850994</v>
      </c>
      <c r="CR61" s="260">
        <f t="shared" si="242"/>
        <v>138535.25309943635</v>
      </c>
      <c r="CS61" s="260">
        <f t="shared" si="104"/>
        <v>9421.5984739151554</v>
      </c>
      <c r="CT61" s="260">
        <f t="shared" si="145"/>
        <v>1145006397.8890374</v>
      </c>
      <c r="CU61" s="260">
        <f t="shared" si="146"/>
        <v>122263.54268394339</v>
      </c>
      <c r="CV61" s="260">
        <f t="shared" si="149"/>
        <v>9365.0680550696052</v>
      </c>
      <c r="CW61" s="344">
        <f t="shared" si="150"/>
        <v>56.53041884555023</v>
      </c>
      <c r="CX61" s="344">
        <f t="shared" si="264"/>
        <v>69.1395310053461</v>
      </c>
      <c r="CY61" s="352">
        <f t="shared" si="214"/>
        <v>-12.60911215979587</v>
      </c>
      <c r="CZ61" s="262">
        <f t="shared" si="174"/>
        <v>432.78333333333285</v>
      </c>
      <c r="DA61" s="260">
        <f t="shared" si="175"/>
        <v>3239143506.1333332</v>
      </c>
      <c r="DB61" s="260">
        <f t="shared" si="176"/>
        <v>0</v>
      </c>
      <c r="DC61" s="260">
        <f t="shared" si="255"/>
        <v>1113645973.16295</v>
      </c>
      <c r="DD61" s="260">
        <f t="shared" si="256"/>
        <v>627333755.05345511</v>
      </c>
      <c r="DE61" s="260">
        <f t="shared" si="257"/>
        <v>1.775204927507936</v>
      </c>
      <c r="DF61" s="344">
        <f t="shared" si="258"/>
        <v>63.966624947658374</v>
      </c>
      <c r="DG61" s="344">
        <f t="shared" si="247"/>
        <v>69.038180391230867</v>
      </c>
      <c r="DH61" s="352">
        <f t="shared" si="195"/>
        <v>73.442952937814624</v>
      </c>
      <c r="DI61" s="259">
        <f t="shared" si="177"/>
        <v>87.25</v>
      </c>
      <c r="DJ61" s="260">
        <f t="shared" si="178"/>
        <v>1908045667.3333335</v>
      </c>
      <c r="DK61" s="260">
        <f t="shared" si="179"/>
        <v>0</v>
      </c>
      <c r="DL61" s="260">
        <f t="shared" si="259"/>
        <v>568291038.61152077</v>
      </c>
      <c r="DM61" s="260">
        <f t="shared" si="260"/>
        <v>695319434.07395053</v>
      </c>
      <c r="DN61" s="260">
        <f t="shared" si="261"/>
        <v>0.81730929809029373</v>
      </c>
      <c r="DO61" s="344">
        <f t="shared" si="262"/>
        <v>44.973593595166065</v>
      </c>
      <c r="DP61" s="344">
        <f t="shared" si="248"/>
        <v>56.565901666599217</v>
      </c>
      <c r="DQ61" s="352">
        <f t="shared" si="196"/>
        <v>60.902308217025016</v>
      </c>
      <c r="DR61" s="259">
        <f t="shared" si="180"/>
        <v>720.15000000000146</v>
      </c>
      <c r="DS61" s="262">
        <f t="shared" si="181"/>
        <v>101492179.80000021</v>
      </c>
      <c r="DT61" s="260">
        <f t="shared" si="140"/>
        <v>22717429.266462348</v>
      </c>
      <c r="DU61" s="260">
        <f t="shared" si="135"/>
        <v>73257.344314526257</v>
      </c>
      <c r="DV61" s="320">
        <f t="shared" si="136"/>
        <v>310.10446091147332</v>
      </c>
      <c r="DW61" s="260">
        <f t="shared" si="137"/>
        <v>6202.0892182294665</v>
      </c>
      <c r="DX61" s="260">
        <f>DW61*'Base Data'!$D$10</f>
        <v>12404.178436458933</v>
      </c>
      <c r="DY61" s="365">
        <f>IF(INT(('Base Data'!$D$7)/DX61)=0,0,INT(('Base Data'!$D$7)/DX61))</f>
        <v>0</v>
      </c>
      <c r="DZ61" s="366">
        <f t="shared" si="126"/>
        <v>1.3369251203860831E-2</v>
      </c>
      <c r="EA61" s="259">
        <f t="shared" si="182"/>
        <v>153.04999999999927</v>
      </c>
      <c r="EB61" s="262">
        <f t="shared" si="183"/>
        <v>30840799.399999853</v>
      </c>
      <c r="EC61" s="260">
        <f t="shared" si="141"/>
        <v>10986769.041780457</v>
      </c>
      <c r="ED61" s="260">
        <f t="shared" si="138"/>
        <v>125402.5303469215</v>
      </c>
      <c r="EE61" s="320">
        <f t="shared" si="139"/>
        <v>87.612020358647982</v>
      </c>
      <c r="EF61" s="260">
        <f t="shared" si="127"/>
        <v>6570.9015268985986</v>
      </c>
      <c r="EG61" s="260">
        <f>EF61*'Base Data'!$D$10</f>
        <v>13141.803053797197</v>
      </c>
      <c r="EH61" s="365">
        <f>IF(INT(('Base Data'!$D$7)/EG61)=0,0,INT(('Base Data'!$D$7)/EG61))</f>
        <v>0</v>
      </c>
      <c r="EI61" s="377">
        <f t="shared" si="128"/>
        <v>9.2125235653303314E-3</v>
      </c>
      <c r="EJ61" s="259">
        <f t="shared" si="184"/>
        <v>720.15000000000146</v>
      </c>
      <c r="EK61" s="260">
        <f t="shared" si="185"/>
        <v>101492179.80000021</v>
      </c>
      <c r="EL61" s="260">
        <f t="shared" si="78"/>
        <v>34248408.617095456</v>
      </c>
      <c r="EM61" s="260">
        <f t="shared" si="231"/>
        <v>84340.025324636634</v>
      </c>
      <c r="EN61" s="320">
        <f t="shared" si="75"/>
        <v>406.07538929788683</v>
      </c>
      <c r="EO61" s="260">
        <f t="shared" si="64"/>
        <v>8121.5077859577368</v>
      </c>
      <c r="EP61" s="260">
        <f>EO61*'Base Data'!$D$13</f>
        <v>6091.1308394683028</v>
      </c>
      <c r="EQ61" s="365">
        <f>IF(INT(('Base Data'!$D$7)/EP61)=0,0,INT(('Base Data'!$D$7)/EP61))</f>
        <v>1</v>
      </c>
      <c r="ER61" s="315">
        <f t="shared" si="227"/>
        <v>1.7506758436405867E-2</v>
      </c>
      <c r="ES61" s="262">
        <f t="shared" si="186"/>
        <v>153.04999999999927</v>
      </c>
      <c r="ET61" s="260">
        <f t="shared" si="187"/>
        <v>30840799.399999853</v>
      </c>
      <c r="EU61" s="260">
        <f t="shared" si="79"/>
        <v>16057328.444623679</v>
      </c>
      <c r="EV61" s="260">
        <f t="shared" si="232"/>
        <v>152566.90040541932</v>
      </c>
      <c r="EW61" s="320">
        <f t="shared" si="77"/>
        <v>105.24778573828395</v>
      </c>
      <c r="EX61" s="260">
        <f t="shared" si="66"/>
        <v>7893.5839303712964</v>
      </c>
      <c r="EY61" s="260">
        <f>EX61*'Base Data'!$D$13</f>
        <v>5920.1879477784723</v>
      </c>
      <c r="EZ61" s="365">
        <f>IF(INT(('Base Data'!$D$7)/EY61)=0,0,INT(('Base Data'!$D$7)/EY61))</f>
        <v>1</v>
      </c>
      <c r="FA61" s="315">
        <f t="shared" si="228"/>
        <v>1.1066948374705203E-2</v>
      </c>
      <c r="FB61" s="398">
        <f t="shared" si="129"/>
        <v>2.0496933380152247</v>
      </c>
      <c r="FC61" s="308">
        <f t="shared" si="229"/>
        <v>1.1126833717122373</v>
      </c>
      <c r="FD61" s="398">
        <f t="shared" si="130"/>
        <v>1.4833164293479317</v>
      </c>
      <c r="FE61" s="511">
        <f t="shared" si="230"/>
        <v>0.57784271887579874</v>
      </c>
      <c r="FF61" s="262">
        <f t="shared" si="165"/>
        <v>720.15000000000146</v>
      </c>
      <c r="FG61" s="258">
        <f t="shared" si="166"/>
        <v>3.1962416476744478E-2</v>
      </c>
      <c r="FH61" s="389">
        <f t="shared" si="70"/>
        <v>1.1160856560142937E-2</v>
      </c>
      <c r="FI61" s="389">
        <f t="shared" si="105"/>
        <v>9.8735582108305051E-3</v>
      </c>
      <c r="FJ61" s="315">
        <f t="shared" si="131"/>
        <v>9.7949200153588326E-3</v>
      </c>
      <c r="FK61" s="443">
        <f t="shared" si="167"/>
        <v>139.39999999999964</v>
      </c>
      <c r="FL61" s="258">
        <f t="shared" si="168"/>
        <v>1.4853568745704518E-2</v>
      </c>
      <c r="FM61" s="389">
        <f t="shared" si="71"/>
        <v>8.0342716750902189E-3</v>
      </c>
      <c r="FN61" s="389">
        <f t="shared" si="106"/>
        <v>6.8714811375533225E-3</v>
      </c>
      <c r="FO61" s="315">
        <f t="shared" si="132"/>
        <v>6.5816588430737755E-3</v>
      </c>
      <c r="FP61" s="418">
        <f t="shared" si="188"/>
        <v>1</v>
      </c>
      <c r="FQ61" s="419">
        <f t="shared" si="189"/>
        <v>1</v>
      </c>
      <c r="FR61" s="420">
        <f t="shared" si="122"/>
        <v>87.114449524638744</v>
      </c>
      <c r="FS61" s="421" t="str">
        <f t="shared" si="133"/>
        <v>T-R</v>
      </c>
      <c r="FT61" s="420">
        <f t="shared" si="123"/>
        <v>73.637602179836676</v>
      </c>
      <c r="FU61" s="421" t="str">
        <f t="shared" si="134"/>
        <v>T-R</v>
      </c>
      <c r="FV61" s="420">
        <f t="shared" si="225"/>
        <v>47.300771208226223</v>
      </c>
      <c r="FW61" s="421" t="str">
        <f t="shared" si="72"/>
        <v>T-R</v>
      </c>
      <c r="FX61" s="420">
        <f t="shared" si="226"/>
        <v>28.723135271808392</v>
      </c>
      <c r="FY61" s="421" t="str">
        <f t="shared" si="73"/>
        <v>C-R</v>
      </c>
    </row>
    <row r="62" spans="1:181" ht="12.45" x14ac:dyDescent="0.3">
      <c r="A62" s="1" t="s">
        <v>269</v>
      </c>
      <c r="E62" s="22"/>
      <c r="F62" s="22"/>
      <c r="G62" s="23"/>
      <c r="H62" s="23"/>
      <c r="I62" s="23"/>
      <c r="J62" s="23"/>
      <c r="L62" s="283">
        <f t="shared" si="35"/>
        <v>59</v>
      </c>
      <c r="M62" s="290">
        <f>'[4]BANKNIFTY-I'!C78</f>
        <v>42881</v>
      </c>
      <c r="N62" s="7">
        <f>'[4]BANKNIFTY-I'!D78</f>
        <v>23020</v>
      </c>
      <c r="O62" s="7">
        <f>'[4]BANKNIFTY-I'!E78</f>
        <v>23320</v>
      </c>
      <c r="P62" s="7">
        <f>'[4]BANKNIFTY-I'!F78</f>
        <v>23000</v>
      </c>
      <c r="Q62" s="7">
        <f>'[4]BANKNIFTY-I'!G78</f>
        <v>23256.95</v>
      </c>
      <c r="R62" s="11">
        <f>'[4]BANKNIFTY-I'!H78</f>
        <v>72473</v>
      </c>
      <c r="S62" s="291">
        <f>'[5]NIFTY-I'!C78</f>
        <v>42881</v>
      </c>
      <c r="T62" s="9">
        <f>'[5]NIFTY-I'!D78</f>
        <v>9490.1</v>
      </c>
      <c r="U62" s="9">
        <f>'[5]NIFTY-I'!E78</f>
        <v>9586.5</v>
      </c>
      <c r="V62" s="9">
        <f>'[5]NIFTY-I'!F78</f>
        <v>9475</v>
      </c>
      <c r="W62" s="9">
        <f>'[5]NIFTY-I'!G78</f>
        <v>9575.7999999999993</v>
      </c>
      <c r="X62" s="12">
        <f>'[5]NIFTY-I'!H78</f>
        <v>122805</v>
      </c>
      <c r="Y62" s="115"/>
      <c r="Z62" s="122">
        <f t="shared" si="36"/>
        <v>2.652184546654896E-3</v>
      </c>
      <c r="AA62" s="19">
        <f t="shared" si="169"/>
        <v>6.8846907412421611E-3</v>
      </c>
      <c r="AB62" s="305">
        <f>IF(OR(SUM(Z42:Z62)=0,SUM('BNF-Nifty'!AA42:AA62)=0),0,(_xlfn.COVARIANCE.P(Z42:Z62,'BNF-Nifty'!AA42:AA62)/_xlfn.VAR.P('BNF-Nifty'!AA42:AA62)))</f>
        <v>1.2816528446276945</v>
      </c>
      <c r="AC62" s="306">
        <f>IF(OR(SUM(AA42:AA62)=0,SUM('BNF-Nifty'!AA42:AA62)=0),0,(_xlfn.COVARIANCE.P(AA42:AA62,'BNF-Nifty'!AA42:AA62)/_xlfn.VAR.P('BNF-Nifty'!AA42:AA62)))</f>
        <v>0.99999999999999989</v>
      </c>
      <c r="AD62" s="122">
        <f t="shared" si="151"/>
        <v>-5.2163272555965281E-3</v>
      </c>
      <c r="AE62" s="364">
        <f t="shared" si="124"/>
        <v>-0.1024445118299641</v>
      </c>
      <c r="AF62" s="513">
        <f t="shared" si="152"/>
        <v>3.1175897836371951E-3</v>
      </c>
      <c r="AG62" s="522">
        <f t="shared" si="125"/>
        <v>7.8100780733927844E-2</v>
      </c>
      <c r="AH62" s="466">
        <f t="shared" si="170"/>
        <v>2.652184546654896E-3</v>
      </c>
      <c r="AI62" s="17">
        <f t="shared" si="38"/>
        <v>9.1384212573815231E-3</v>
      </c>
      <c r="AJ62" s="17">
        <f t="shared" si="39"/>
        <v>8.8838135654059989E-3</v>
      </c>
      <c r="AK62" s="314">
        <f t="shared" si="40"/>
        <v>0.16972501985472102</v>
      </c>
      <c r="AL62" s="467">
        <f t="shared" si="171"/>
        <v>6.8846907412421611E-3</v>
      </c>
      <c r="AM62" s="18">
        <f t="shared" si="198"/>
        <v>5.8908517322294992E-3</v>
      </c>
      <c r="AN62" s="18">
        <f t="shared" si="199"/>
        <v>5.9551611295914856E-3</v>
      </c>
      <c r="AO62" s="385">
        <f t="shared" si="200"/>
        <v>0.11377319363092532</v>
      </c>
      <c r="AP62" s="10">
        <f t="shared" si="153"/>
        <v>1.3817145553141903E-2</v>
      </c>
      <c r="AQ62" s="17">
        <f t="shared" ref="AQ62:AQ66" si="267">AR61</f>
        <v>1.1791699259401052E-2</v>
      </c>
      <c r="AR62" s="17">
        <f t="shared" ref="AR62:AR66" si="268">SQRT((0.94*(AQ62^2))+(0.06*(AP62^2)))</f>
        <v>1.1922933020566387E-2</v>
      </c>
      <c r="AS62" s="314">
        <f t="shared" ref="AS62:AS66" si="269">AR62*SQRT(365)</f>
        <v>0.22778731551979137</v>
      </c>
      <c r="AT62" s="448">
        <f t="shared" si="154"/>
        <v>1.1699107807818996E-2</v>
      </c>
      <c r="AU62" s="18">
        <f t="shared" ref="AU62:AU66" si="270">AV61</f>
        <v>7.710999820779111E-3</v>
      </c>
      <c r="AV62" s="18">
        <f t="shared" ref="AV62:AV66" si="271">SQRT((0.94*(AU62^2))+(0.06*(AT62^2)))</f>
        <v>8.0065032662099394E-3</v>
      </c>
      <c r="AW62" s="385">
        <f t="shared" ref="AW62:AW66" si="272">AV62*SQRT(365)</f>
        <v>0.15296403012283019</v>
      </c>
      <c r="AX62" s="6">
        <f t="shared" si="155"/>
        <v>1668328460</v>
      </c>
      <c r="AY62" s="319">
        <f t="shared" si="265"/>
        <v>21866.614907275318</v>
      </c>
      <c r="AZ62" s="140">
        <f t="shared" si="156"/>
        <v>1165431730.5</v>
      </c>
      <c r="BA62" s="481">
        <f t="shared" si="266"/>
        <v>9243.8981374484756</v>
      </c>
      <c r="BB62" s="135">
        <f t="shared" si="243"/>
        <v>1741366471.8571129</v>
      </c>
      <c r="BC62" s="21">
        <f t="shared" si="244"/>
        <v>76753.986660705879</v>
      </c>
      <c r="BD62" s="319">
        <f t="shared" si="100"/>
        <v>22687.635491233756</v>
      </c>
      <c r="BE62" s="21">
        <f t="shared" si="157"/>
        <v>23192.316666666666</v>
      </c>
      <c r="BF62" s="21">
        <f t="shared" si="158"/>
        <v>1680816765.7833333</v>
      </c>
      <c r="BG62" s="21">
        <f t="shared" si="59"/>
        <v>1989432280.4660861</v>
      </c>
      <c r="BH62" s="21">
        <f t="shared" si="223"/>
        <v>86786.72430664234</v>
      </c>
      <c r="BI62" s="332">
        <f t="shared" si="56"/>
        <v>22923.232745101112</v>
      </c>
      <c r="BJ62" s="141">
        <f t="shared" si="245"/>
        <v>1265323294.4491625</v>
      </c>
      <c r="BK62" s="118">
        <f t="shared" si="246"/>
        <v>134298.27694678932</v>
      </c>
      <c r="BL62" s="329">
        <f t="shared" si="107"/>
        <v>9421.7388578298705</v>
      </c>
      <c r="BM62" s="118">
        <f t="shared" si="159"/>
        <v>9545.7666666666664</v>
      </c>
      <c r="BN62" s="118">
        <f t="shared" si="160"/>
        <v>1172267875.5</v>
      </c>
      <c r="BO62" s="118">
        <f t="shared" si="60"/>
        <v>1469635604.9618094</v>
      </c>
      <c r="BP62" s="118">
        <f t="shared" si="224"/>
        <v>155293.23776227207</v>
      </c>
      <c r="BQ62" s="325">
        <f t="shared" si="61"/>
        <v>9463.6162278461561</v>
      </c>
      <c r="BR62" s="6">
        <f t="shared" si="161"/>
        <v>1666879000</v>
      </c>
      <c r="BS62" s="8">
        <f t="shared" si="162"/>
        <v>1690070360</v>
      </c>
      <c r="BT62" s="331">
        <f t="shared" si="233"/>
        <v>22769.687365950733</v>
      </c>
      <c r="BU62" s="319">
        <f t="shared" si="207"/>
        <v>22604.802643007646</v>
      </c>
      <c r="BV62" s="319">
        <f t="shared" si="208"/>
        <v>23010.531026931534</v>
      </c>
      <c r="BW62" s="331">
        <f t="shared" si="172"/>
        <v>22261.14676472728</v>
      </c>
      <c r="BX62" s="319">
        <f t="shared" si="234"/>
        <v>22666.831545214827</v>
      </c>
      <c r="BY62" s="332">
        <f t="shared" si="235"/>
        <v>22950.042051837001</v>
      </c>
      <c r="BZ62" s="140">
        <f t="shared" si="163"/>
        <v>1163577375</v>
      </c>
      <c r="CA62" s="142">
        <f t="shared" si="164"/>
        <v>1177270132.5</v>
      </c>
      <c r="CB62" s="339">
        <f t="shared" si="236"/>
        <v>9434.2753350447256</v>
      </c>
      <c r="CC62" s="329">
        <f t="shared" si="209"/>
        <v>9387.9962492345931</v>
      </c>
      <c r="CD62" s="329">
        <f t="shared" si="210"/>
        <v>9492.9851865539586</v>
      </c>
      <c r="CE62" s="339">
        <f t="shared" si="173"/>
        <v>9326.6104896301658</v>
      </c>
      <c r="CF62" s="329">
        <f t="shared" si="237"/>
        <v>9400.8623903619737</v>
      </c>
      <c r="CG62" s="325">
        <f t="shared" si="238"/>
        <v>9482.7467146543859</v>
      </c>
      <c r="CH62" s="20">
        <f t="shared" si="239"/>
        <v>1766658210.6531153</v>
      </c>
      <c r="CI62" s="21">
        <f t="shared" si="240"/>
        <v>77479.549968274907</v>
      </c>
      <c r="CJ62" s="21">
        <f t="shared" si="94"/>
        <v>22801.606506187742</v>
      </c>
      <c r="CK62" s="21">
        <f t="shared" si="142"/>
        <v>1620382205.3556843</v>
      </c>
      <c r="CL62" s="21">
        <f t="shared" si="143"/>
        <v>71937.79899054415</v>
      </c>
      <c r="CM62" s="21">
        <f t="shared" si="148"/>
        <v>22524.767619991751</v>
      </c>
      <c r="CN62" s="342">
        <f t="shared" si="144"/>
        <v>276.8388861959902</v>
      </c>
      <c r="CO62" s="342">
        <f t="shared" si="263"/>
        <v>302.22022393370401</v>
      </c>
      <c r="CP62" s="343">
        <f t="shared" si="212"/>
        <v>-25.381337737713807</v>
      </c>
      <c r="CQ62" s="141">
        <f t="shared" si="241"/>
        <v>1284768813.2335455</v>
      </c>
      <c r="CR62" s="118">
        <f t="shared" si="242"/>
        <v>136115.21416106154</v>
      </c>
      <c r="CS62" s="118">
        <f t="shared" si="104"/>
        <v>9438.8332792344027</v>
      </c>
      <c r="CT62" s="118">
        <f t="shared" si="145"/>
        <v>1147025766.6009605</v>
      </c>
      <c r="CU62" s="118">
        <f t="shared" si="146"/>
        <v>122303.65063328092</v>
      </c>
      <c r="CV62" s="118">
        <f t="shared" si="149"/>
        <v>9378.50800578503</v>
      </c>
      <c r="CW62" s="350">
        <f t="shared" si="150"/>
        <v>60.325273449372617</v>
      </c>
      <c r="CX62" s="350">
        <f t="shared" si="264"/>
        <v>67.376679494151404</v>
      </c>
      <c r="CY62" s="351">
        <f t="shared" si="214"/>
        <v>-7.051406044778787</v>
      </c>
      <c r="CZ62" s="20">
        <f t="shared" si="174"/>
        <v>208.58333333333212</v>
      </c>
      <c r="DA62" s="21">
        <f t="shared" si="175"/>
        <v>1680816765.7833333</v>
      </c>
      <c r="DB62" s="21">
        <f t="shared" si="176"/>
        <v>0</v>
      </c>
      <c r="DC62" s="21">
        <f t="shared" ref="DC62:DC66" si="273">((DA62-DC61)*(2/(1+14)))+DC61</f>
        <v>1189268745.5123343</v>
      </c>
      <c r="DD62" s="21">
        <f t="shared" ref="DD62:DD66" si="274">((DB62-DD61)*(2/(1+14)))+DD61</f>
        <v>543689254.37966108</v>
      </c>
      <c r="DE62" s="21">
        <f t="shared" ref="DE62:DE66" si="275">IF(DD62=0,100000,(DC62/DD62))</f>
        <v>2.1874052796376615</v>
      </c>
      <c r="DF62" s="342">
        <f t="shared" ref="DF62:DF66" si="276">100-(100/(1+DE62))</f>
        <v>68.626518679994206</v>
      </c>
      <c r="DG62" s="342">
        <f t="shared" si="247"/>
        <v>68.945068358685106</v>
      </c>
      <c r="DH62" s="355">
        <f t="shared" si="195"/>
        <v>73.872415676561047</v>
      </c>
      <c r="DI62" s="141">
        <f t="shared" si="177"/>
        <v>76.933333333332484</v>
      </c>
      <c r="DJ62" s="118">
        <f t="shared" si="178"/>
        <v>1172267875.5</v>
      </c>
      <c r="DK62" s="118">
        <f t="shared" si="179"/>
        <v>0</v>
      </c>
      <c r="DL62" s="118">
        <f t="shared" ref="DL62:DL66" si="277">((DJ62-DL61)*(2/(1+14)))+DL61</f>
        <v>648821283.52998471</v>
      </c>
      <c r="DM62" s="118">
        <f t="shared" ref="DM62:DM66" si="278">((DK62-DM61)*(2/(1+14)))+DM61</f>
        <v>602610176.19742382</v>
      </c>
      <c r="DN62" s="118">
        <f t="shared" ref="DN62:DN66" si="279">IF(DM62=0,100000,(DL62/DM62))</f>
        <v>1.0766849103414766</v>
      </c>
      <c r="DO62" s="350">
        <f t="shared" ref="DO62:DO66" si="280">100-(100/(1+DN62))</f>
        <v>51.84632993574521</v>
      </c>
      <c r="DP62" s="350">
        <f t="shared" si="248"/>
        <v>55.758737759909309</v>
      </c>
      <c r="DQ62" s="351">
        <f t="shared" si="196"/>
        <v>60.480120516584762</v>
      </c>
      <c r="DR62" s="135">
        <f t="shared" si="180"/>
        <v>320</v>
      </c>
      <c r="DS62" s="20">
        <f t="shared" si="181"/>
        <v>23191360</v>
      </c>
      <c r="DT62" s="21">
        <f t="shared" si="140"/>
        <v>22760513.878602136</v>
      </c>
      <c r="DU62" s="21">
        <f t="shared" si="135"/>
        <v>73186.040285932962</v>
      </c>
      <c r="DV62" s="319">
        <f t="shared" si="136"/>
        <v>310.99529076417213</v>
      </c>
      <c r="DW62" s="21">
        <f t="shared" si="137"/>
        <v>6219.9058152834423</v>
      </c>
      <c r="DX62" s="21">
        <f>DW62*'Base Data'!$D$10</f>
        <v>12439.811630566885</v>
      </c>
      <c r="DY62" s="363">
        <f>IF(INT(('Base Data'!$D$7)/DX62)=0,0,INT(('Base Data'!$D$7)/DX62))</f>
        <v>0</v>
      </c>
      <c r="DZ62" s="364">
        <f t="shared" si="126"/>
        <v>1.3372144273611636E-2</v>
      </c>
      <c r="EA62" s="141">
        <f t="shared" si="182"/>
        <v>111.5</v>
      </c>
      <c r="EB62" s="143">
        <f t="shared" si="183"/>
        <v>13692757.5</v>
      </c>
      <c r="EC62" s="118">
        <f t="shared" si="141"/>
        <v>11232767.992527688</v>
      </c>
      <c r="ED62" s="118">
        <f t="shared" si="138"/>
        <v>125166.39122447409</v>
      </c>
      <c r="EE62" s="329">
        <f t="shared" si="139"/>
        <v>89.742684778558328</v>
      </c>
      <c r="EF62" s="118">
        <f t="shared" si="127"/>
        <v>6730.7013583918742</v>
      </c>
      <c r="EG62" s="118">
        <f>EF62*'Base Data'!$D$10</f>
        <v>13461.402716783748</v>
      </c>
      <c r="EH62" s="375">
        <f>IF(INT(('Base Data'!$D$7)/EG62)=0,0,INT(('Base Data'!$D$7)/EG62))</f>
        <v>0</v>
      </c>
      <c r="EI62" s="376">
        <f t="shared" si="128"/>
        <v>9.3718211301988697E-3</v>
      </c>
      <c r="EJ62" s="135">
        <f t="shared" si="184"/>
        <v>320</v>
      </c>
      <c r="EK62" s="21">
        <f t="shared" si="185"/>
        <v>23191360</v>
      </c>
      <c r="EL62" s="21">
        <f t="shared" si="78"/>
        <v>31791286.702185355</v>
      </c>
      <c r="EM62" s="21">
        <f t="shared" si="231"/>
        <v>81702.908585828496</v>
      </c>
      <c r="EN62" s="319">
        <f t="shared" si="75"/>
        <v>389.10838368488152</v>
      </c>
      <c r="EO62" s="21">
        <f t="shared" si="64"/>
        <v>7782.1676736976306</v>
      </c>
      <c r="EP62" s="21">
        <f>EO62*'Base Data'!$D$13</f>
        <v>5836.6257552732231</v>
      </c>
      <c r="EQ62" s="363">
        <f>IF(INT(('Base Data'!$D$7)/EP62)=0,0,INT(('Base Data'!$D$7)/EP62))</f>
        <v>1</v>
      </c>
      <c r="ER62" s="314">
        <f t="shared" si="227"/>
        <v>1.6730843196759743E-2</v>
      </c>
      <c r="ES62" s="143">
        <f t="shared" si="186"/>
        <v>111.5</v>
      </c>
      <c r="ET62" s="118">
        <f t="shared" si="187"/>
        <v>13692757.5</v>
      </c>
      <c r="EU62" s="118">
        <f t="shared" si="79"/>
        <v>15531868.234707305</v>
      </c>
      <c r="EV62" s="118">
        <f t="shared" si="232"/>
        <v>145953.14475977057</v>
      </c>
      <c r="EW62" s="329">
        <f t="shared" si="77"/>
        <v>106.41681109558657</v>
      </c>
      <c r="EX62" s="118">
        <f t="shared" si="66"/>
        <v>7981.2608321689922</v>
      </c>
      <c r="EY62" s="118">
        <f>EX62*'Base Data'!$D$13</f>
        <v>5985.9456241267444</v>
      </c>
      <c r="EZ62" s="375">
        <f>IF(INT(('Base Data'!$D$7)/EY62)=0,0,INT(('Base Data'!$D$7)/EY62))</f>
        <v>1</v>
      </c>
      <c r="FA62" s="385">
        <f t="shared" si="228"/>
        <v>1.1113098758911692E-2</v>
      </c>
      <c r="FB62" s="397">
        <f t="shared" si="129"/>
        <v>2.0527335787684629</v>
      </c>
      <c r="FC62" s="403">
        <f t="shared" si="229"/>
        <v>1.2282192743852578</v>
      </c>
      <c r="FD62" s="510">
        <f t="shared" si="130"/>
        <v>2.0355552202047962</v>
      </c>
      <c r="FE62" s="509">
        <f t="shared" si="230"/>
        <v>1.1264080248780617</v>
      </c>
      <c r="FF62" s="20">
        <f t="shared" si="165"/>
        <v>320</v>
      </c>
      <c r="FG62" s="17">
        <f t="shared" si="166"/>
        <v>1.3900955690703735E-2</v>
      </c>
      <c r="FH62" s="388">
        <f t="shared" si="70"/>
        <v>1.2160823186629388E-2</v>
      </c>
      <c r="FI62" s="388">
        <f t="shared" si="105"/>
        <v>1.0278633142195218E-2</v>
      </c>
      <c r="FJ62" s="314">
        <f t="shared" si="131"/>
        <v>1.0101868280989886E-2</v>
      </c>
      <c r="FK62" s="442">
        <f t="shared" si="167"/>
        <v>111.5</v>
      </c>
      <c r="FL62" s="18">
        <f t="shared" si="168"/>
        <v>1.1749085889505906E-2</v>
      </c>
      <c r="FM62" s="394">
        <f t="shared" si="71"/>
        <v>9.2250708321082626E-3</v>
      </c>
      <c r="FN62" s="394">
        <f t="shared" si="106"/>
        <v>7.4349732296475745E-3</v>
      </c>
      <c r="FO62" s="385">
        <f t="shared" si="132"/>
        <v>6.8646188789550696E-3</v>
      </c>
      <c r="FP62" s="416">
        <f t="shared" si="188"/>
        <v>2</v>
      </c>
      <c r="FQ62" s="417">
        <f t="shared" si="189"/>
        <v>2</v>
      </c>
      <c r="FR62" s="415">
        <f t="shared" si="122"/>
        <v>80.958644434987932</v>
      </c>
      <c r="FS62" s="413" t="str">
        <f t="shared" si="133"/>
        <v>T-D</v>
      </c>
      <c r="FT62" s="404">
        <f t="shared" si="123"/>
        <v>76.497545008182939</v>
      </c>
      <c r="FU62" s="414" t="str">
        <f t="shared" si="134"/>
        <v>T-R</v>
      </c>
      <c r="FV62" s="415">
        <f t="shared" si="225"/>
        <v>36.732558139535051</v>
      </c>
      <c r="FW62" s="413" t="str">
        <f t="shared" si="72"/>
        <v>T-D</v>
      </c>
      <c r="FX62" s="404">
        <f t="shared" si="226"/>
        <v>21.764705882352793</v>
      </c>
      <c r="FY62" s="414" t="str">
        <f t="shared" si="73"/>
        <v>C-D</v>
      </c>
    </row>
    <row r="63" spans="1:181" ht="15.05" x14ac:dyDescent="0.3">
      <c r="A63" s="527" t="s">
        <v>270</v>
      </c>
      <c r="E63" s="22"/>
      <c r="F63" s="22"/>
      <c r="G63" s="23"/>
      <c r="H63" s="23"/>
      <c r="I63" s="23"/>
      <c r="J63" s="23"/>
      <c r="L63" s="283">
        <f t="shared" si="35"/>
        <v>60</v>
      </c>
      <c r="M63" s="290">
        <f>'[4]BANKNIFTY-I'!C79</f>
        <v>42884</v>
      </c>
      <c r="N63" s="7">
        <f>'[4]BANKNIFTY-I'!D79</f>
        <v>23220.05</v>
      </c>
      <c r="O63" s="7">
        <f>'[4]BANKNIFTY-I'!E79</f>
        <v>23380</v>
      </c>
      <c r="P63" s="7">
        <f>'[4]BANKNIFTY-I'!F79</f>
        <v>23102</v>
      </c>
      <c r="Q63" s="7">
        <f>'[4]BANKNIFTY-I'!G79</f>
        <v>23135.95</v>
      </c>
      <c r="R63" s="11">
        <f>'[4]BANKNIFTY-I'!H79</f>
        <v>73645</v>
      </c>
      <c r="S63" s="291">
        <f>'[5]NIFTY-I'!C79</f>
        <v>42884</v>
      </c>
      <c r="T63" s="9">
        <f>'[5]NIFTY-I'!D79</f>
        <v>9560</v>
      </c>
      <c r="U63" s="9">
        <f>'[5]NIFTY-I'!E79</f>
        <v>9639.85</v>
      </c>
      <c r="V63" s="9">
        <f>'[5]NIFTY-I'!F79</f>
        <v>9543.5499999999993</v>
      </c>
      <c r="W63" s="9">
        <f>'[5]NIFTY-I'!G79</f>
        <v>9605.7000000000007</v>
      </c>
      <c r="X63" s="12">
        <f>'[5]NIFTY-I'!H79</f>
        <v>144402</v>
      </c>
      <c r="Y63" s="115"/>
      <c r="Z63" s="122">
        <f t="shared" si="36"/>
        <v>-5.2163272555965281E-3</v>
      </c>
      <c r="AA63" s="19">
        <f t="shared" si="169"/>
        <v>3.1175897836371951E-3</v>
      </c>
      <c r="AB63" s="305">
        <f>IF(OR(SUM(Z43:Z63)=0,SUM('BNF-Nifty'!AA43:AA63)=0),0,(_xlfn.COVARIANCE.P(Z43:Z63,'BNF-Nifty'!AA43:AA63)/_xlfn.VAR.P('BNF-Nifty'!AA43:AA63)))</f>
        <v>1.2367320722078594</v>
      </c>
      <c r="AC63" s="306">
        <f>IF(OR(SUM(AA43:AA63)=0,SUM('BNF-Nifty'!AA43:AA63)=0),0,(_xlfn.COVARIANCE.P(AA43:AA63,'BNF-Nifty'!AA43:AA63)/_xlfn.VAR.P('BNF-Nifty'!AA43:AA63)))</f>
        <v>1</v>
      </c>
      <c r="AD63" s="122">
        <f t="shared" si="151"/>
        <v>4.9819612414658031E-3</v>
      </c>
      <c r="AE63" s="364">
        <f t="shared" si="124"/>
        <v>-0.13614702328305733</v>
      </c>
      <c r="AF63" s="513">
        <f t="shared" si="152"/>
        <v>1.4719997664564145E-3</v>
      </c>
      <c r="AG63" s="522">
        <f t="shared" si="125"/>
        <v>8.5369049376005104E-2</v>
      </c>
      <c r="AH63" s="466">
        <f t="shared" si="170"/>
        <v>-5.2163272555965281E-3</v>
      </c>
      <c r="AI63" s="17">
        <f t="shared" si="38"/>
        <v>8.8838135654059989E-3</v>
      </c>
      <c r="AJ63" s="17">
        <f t="shared" si="39"/>
        <v>8.7074347002574128E-3</v>
      </c>
      <c r="AK63" s="314">
        <f t="shared" si="40"/>
        <v>0.16635530636750098</v>
      </c>
      <c r="AL63" s="467">
        <f t="shared" si="171"/>
        <v>3.1175897836371951E-3</v>
      </c>
      <c r="AM63" s="18">
        <f t="shared" si="198"/>
        <v>5.9551611295914856E-3</v>
      </c>
      <c r="AN63" s="18">
        <f t="shared" si="199"/>
        <v>5.8240251886625492E-3</v>
      </c>
      <c r="AO63" s="385">
        <f t="shared" si="200"/>
        <v>0.11126784499725957</v>
      </c>
      <c r="AP63" s="10">
        <f t="shared" si="153"/>
        <v>1.1961762177433792E-2</v>
      </c>
      <c r="AQ63" s="17">
        <f t="shared" si="267"/>
        <v>1.1922933020566387E-2</v>
      </c>
      <c r="AR63" s="17">
        <f t="shared" si="268"/>
        <v>1.1925266335286048E-2</v>
      </c>
      <c r="AS63" s="314">
        <f t="shared" si="269"/>
        <v>0.22783189343491825</v>
      </c>
      <c r="AT63" s="448">
        <f t="shared" si="154"/>
        <v>1.0040014693312961E-2</v>
      </c>
      <c r="AU63" s="18">
        <f t="shared" si="270"/>
        <v>8.0065032662099394E-3</v>
      </c>
      <c r="AV63" s="18">
        <f t="shared" si="271"/>
        <v>8.1428473264108913E-3</v>
      </c>
      <c r="AW63" s="385">
        <f t="shared" si="272"/>
        <v>0.15556887973547762</v>
      </c>
      <c r="AX63" s="6">
        <f t="shared" si="155"/>
        <v>1710040582.25</v>
      </c>
      <c r="AY63" s="319">
        <f t="shared" si="265"/>
        <v>21914.096249679063</v>
      </c>
      <c r="AZ63" s="140">
        <f t="shared" si="156"/>
        <v>1380483120</v>
      </c>
      <c r="BA63" s="481">
        <f t="shared" si="266"/>
        <v>9255.713757905236</v>
      </c>
      <c r="BB63" s="135">
        <f t="shared" si="243"/>
        <v>1736891344.7703824</v>
      </c>
      <c r="BC63" s="21">
        <f t="shared" si="244"/>
        <v>76309.845709176472</v>
      </c>
      <c r="BD63" s="319">
        <f t="shared" si="100"/>
        <v>22761.038613415993</v>
      </c>
      <c r="BE63" s="21">
        <f t="shared" si="157"/>
        <v>23205.983333333334</v>
      </c>
      <c r="BF63" s="21">
        <f t="shared" si="158"/>
        <v>1709004642.5833333</v>
      </c>
      <c r="BG63" s="21">
        <f t="shared" si="59"/>
        <v>1895956401.1718352</v>
      </c>
      <c r="BH63" s="21">
        <f t="shared" si="223"/>
        <v>82406.149537761565</v>
      </c>
      <c r="BI63" s="332">
        <f t="shared" si="56"/>
        <v>23007.462571746997</v>
      </c>
      <c r="BJ63" s="141">
        <f t="shared" si="245"/>
        <v>1281774698.099282</v>
      </c>
      <c r="BK63" s="118">
        <f t="shared" si="246"/>
        <v>135741.66595439086</v>
      </c>
      <c r="BL63" s="329">
        <f t="shared" si="107"/>
        <v>9442.7506034142662</v>
      </c>
      <c r="BM63" s="118">
        <f t="shared" si="159"/>
        <v>9596.3666666666668</v>
      </c>
      <c r="BN63" s="118">
        <f t="shared" si="160"/>
        <v>1385734539.4000001</v>
      </c>
      <c r="BO63" s="118">
        <f t="shared" si="60"/>
        <v>1441668583.107873</v>
      </c>
      <c r="BP63" s="118">
        <f t="shared" si="224"/>
        <v>151662.82517484805</v>
      </c>
      <c r="BQ63" s="325">
        <f t="shared" si="61"/>
        <v>9505.7479078726865</v>
      </c>
      <c r="BR63" s="6">
        <f t="shared" si="161"/>
        <v>1701346790</v>
      </c>
      <c r="BS63" s="8">
        <f t="shared" si="162"/>
        <v>1721820100</v>
      </c>
      <c r="BT63" s="331">
        <f t="shared" si="233"/>
        <v>22806.483137995117</v>
      </c>
      <c r="BU63" s="319">
        <f t="shared" si="207"/>
        <v>22679.505026544324</v>
      </c>
      <c r="BV63" s="319">
        <f t="shared" si="208"/>
        <v>23083.699516949247</v>
      </c>
      <c r="BW63" s="331">
        <f t="shared" si="172"/>
        <v>22312.238493128145</v>
      </c>
      <c r="BX63" s="319">
        <f t="shared" si="234"/>
        <v>22700.132616031977</v>
      </c>
      <c r="BY63" s="332">
        <f t="shared" si="235"/>
        <v>22990.496328774723</v>
      </c>
      <c r="BZ63" s="140">
        <f t="shared" si="163"/>
        <v>1378107707.0999999</v>
      </c>
      <c r="CA63" s="142">
        <f t="shared" si="164"/>
        <v>1392013619.7</v>
      </c>
      <c r="CB63" s="339">
        <f t="shared" si="236"/>
        <v>9449.2028095804817</v>
      </c>
      <c r="CC63" s="329">
        <f t="shared" si="209"/>
        <v>9409.017071416687</v>
      </c>
      <c r="CD63" s="329">
        <f t="shared" si="210"/>
        <v>9517.7872156092417</v>
      </c>
      <c r="CE63" s="339">
        <f t="shared" si="173"/>
        <v>9337.134576333885</v>
      </c>
      <c r="CF63" s="329">
        <f t="shared" si="237"/>
        <v>9416.6436099683469</v>
      </c>
      <c r="CG63" s="325">
        <f t="shared" si="238"/>
        <v>9501.6235514788932</v>
      </c>
      <c r="CH63" s="20">
        <f t="shared" si="239"/>
        <v>1757788430.9500718</v>
      </c>
      <c r="CI63" s="21">
        <f t="shared" si="240"/>
        <v>76889.619203924914</v>
      </c>
      <c r="CJ63" s="21">
        <f t="shared" si="94"/>
        <v>22861.193086261814</v>
      </c>
      <c r="CK63" s="21">
        <f t="shared" si="142"/>
        <v>1626946830.33551</v>
      </c>
      <c r="CL63" s="21">
        <f t="shared" si="143"/>
        <v>72064.25832457791</v>
      </c>
      <c r="CM63" s="21">
        <f t="shared" si="148"/>
        <v>22576.334901106322</v>
      </c>
      <c r="CN63" s="342">
        <f t="shared" si="144"/>
        <v>284.85818515549181</v>
      </c>
      <c r="CO63" s="342">
        <f t="shared" si="263"/>
        <v>298.74781617806156</v>
      </c>
      <c r="CP63" s="343">
        <f t="shared" si="212"/>
        <v>-13.889631022569745</v>
      </c>
      <c r="CQ63" s="141">
        <f t="shared" si="241"/>
        <v>1300302001.8745387</v>
      </c>
      <c r="CR63" s="118">
        <f t="shared" si="242"/>
        <v>137390.10429012901</v>
      </c>
      <c r="CS63" s="118">
        <f t="shared" si="104"/>
        <v>9464.3060982665029</v>
      </c>
      <c r="CT63" s="118">
        <f t="shared" si="145"/>
        <v>1164707897.9194078</v>
      </c>
      <c r="CU63" s="118">
        <f t="shared" si="146"/>
        <v>123940.56540118605</v>
      </c>
      <c r="CV63" s="118">
        <f t="shared" si="149"/>
        <v>9397.3098650093962</v>
      </c>
      <c r="CW63" s="350">
        <f t="shared" si="150"/>
        <v>66.996233257106724</v>
      </c>
      <c r="CX63" s="350">
        <f t="shared" si="264"/>
        <v>67.300590246742473</v>
      </c>
      <c r="CY63" s="351">
        <f t="shared" si="214"/>
        <v>-0.30435698963574964</v>
      </c>
      <c r="CZ63" s="20">
        <f t="shared" si="174"/>
        <v>13.666666666667879</v>
      </c>
      <c r="DA63" s="21">
        <f t="shared" si="175"/>
        <v>1709004642.5833333</v>
      </c>
      <c r="DB63" s="21">
        <f t="shared" si="176"/>
        <v>0</v>
      </c>
      <c r="DC63" s="21">
        <f t="shared" si="273"/>
        <v>1258566865.1218009</v>
      </c>
      <c r="DD63" s="21">
        <f t="shared" si="274"/>
        <v>471197353.79570627</v>
      </c>
      <c r="DE63" s="21">
        <f t="shared" si="275"/>
        <v>2.6709973113886987</v>
      </c>
      <c r="DF63" s="342">
        <f t="shared" si="276"/>
        <v>72.759446134769547</v>
      </c>
      <c r="DG63" s="342">
        <f t="shared" si="247"/>
        <v>69.329168952925897</v>
      </c>
      <c r="DH63" s="355">
        <f t="shared" si="195"/>
        <v>74.19359114881253</v>
      </c>
      <c r="DI63" s="141">
        <f t="shared" si="177"/>
        <v>50.600000000000364</v>
      </c>
      <c r="DJ63" s="118">
        <f t="shared" si="178"/>
        <v>1385734539.4000001</v>
      </c>
      <c r="DK63" s="118">
        <f t="shared" si="179"/>
        <v>0</v>
      </c>
      <c r="DL63" s="118">
        <f t="shared" si="277"/>
        <v>747076384.31265342</v>
      </c>
      <c r="DM63" s="118">
        <f t="shared" si="278"/>
        <v>522262152.70443398</v>
      </c>
      <c r="DN63" s="118">
        <f t="shared" si="279"/>
        <v>1.4304624228350882</v>
      </c>
      <c r="DO63" s="350">
        <f t="shared" si="280"/>
        <v>58.855566306862748</v>
      </c>
      <c r="DP63" s="350">
        <f t="shared" si="248"/>
        <v>55.443068705745354</v>
      </c>
      <c r="DQ63" s="351">
        <f t="shared" si="196"/>
        <v>60.023486835638302</v>
      </c>
      <c r="DR63" s="135">
        <f t="shared" si="180"/>
        <v>278</v>
      </c>
      <c r="DS63" s="20">
        <f t="shared" si="181"/>
        <v>20473310</v>
      </c>
      <c r="DT63" s="21">
        <f t="shared" si="140"/>
        <v>22552586.253274668</v>
      </c>
      <c r="DU63" s="21">
        <f t="shared" si="135"/>
        <v>73227.763896302698</v>
      </c>
      <c r="DV63" s="319">
        <f t="shared" si="136"/>
        <v>307.97862795880565</v>
      </c>
      <c r="DW63" s="21">
        <f t="shared" si="137"/>
        <v>6159.5725591761129</v>
      </c>
      <c r="DX63" s="21">
        <f>DW63*'Base Data'!$D$10</f>
        <v>12319.145118352226</v>
      </c>
      <c r="DY63" s="363">
        <f>IF(INT(('Base Data'!$D$7)/DX63)=0,0,INT(('Base Data'!$D$7)/DX63))</f>
        <v>0</v>
      </c>
      <c r="DZ63" s="364">
        <f t="shared" si="126"/>
        <v>1.3311691456750452E-2</v>
      </c>
      <c r="EA63" s="141">
        <f t="shared" si="182"/>
        <v>96.300000000001091</v>
      </c>
      <c r="EB63" s="143">
        <f t="shared" si="183"/>
        <v>13905912.600000158</v>
      </c>
      <c r="EC63" s="118">
        <f t="shared" si="141"/>
        <v>11475781.138661548</v>
      </c>
      <c r="ED63" s="118">
        <f t="shared" si="138"/>
        <v>126915.08293134009</v>
      </c>
      <c r="EE63" s="329">
        <f t="shared" si="139"/>
        <v>90.420940313846245</v>
      </c>
      <c r="EF63" s="118">
        <f t="shared" si="127"/>
        <v>6781.5705235384685</v>
      </c>
      <c r="EG63" s="118">
        <f>EF63*'Base Data'!$D$10</f>
        <v>13563.141047076937</v>
      </c>
      <c r="EH63" s="375">
        <f>IF(INT(('Base Data'!$D$7)/EG63)=0,0,INT(('Base Data'!$D$7)/EG63))</f>
        <v>0</v>
      </c>
      <c r="EI63" s="376">
        <f t="shared" si="128"/>
        <v>9.4132588269304936E-3</v>
      </c>
      <c r="EJ63" s="135">
        <f t="shared" si="184"/>
        <v>278</v>
      </c>
      <c r="EK63" s="21">
        <f t="shared" si="185"/>
        <v>20473310</v>
      </c>
      <c r="EL63" s="21">
        <f t="shared" si="78"/>
        <v>29276180.768366389</v>
      </c>
      <c r="EM63" s="21">
        <f t="shared" si="231"/>
        <v>79912.262233422167</v>
      </c>
      <c r="EN63" s="319">
        <f t="shared" si="75"/>
        <v>366.35404817912968</v>
      </c>
      <c r="EO63" s="21">
        <f t="shared" si="64"/>
        <v>7327.0809635825935</v>
      </c>
      <c r="EP63" s="21">
        <f>EO63*'Base Data'!$D$13</f>
        <v>5495.3107226869452</v>
      </c>
      <c r="EQ63" s="363">
        <f>IF(INT(('Base Data'!$D$7)/EP63)=0,0,INT(('Base Data'!$D$7)/EP63))</f>
        <v>1</v>
      </c>
      <c r="ER63" s="314">
        <f t="shared" si="227"/>
        <v>1.5834839208207559E-2</v>
      </c>
      <c r="ES63" s="143">
        <f t="shared" si="186"/>
        <v>96.300000000001091</v>
      </c>
      <c r="ET63" s="118">
        <f t="shared" si="187"/>
        <v>13905912.600000158</v>
      </c>
      <c r="EU63" s="118">
        <f t="shared" si="79"/>
        <v>15170544.760327939</v>
      </c>
      <c r="EV63" s="118">
        <f t="shared" si="232"/>
        <v>145608.44592426601</v>
      </c>
      <c r="EW63" s="329">
        <f t="shared" si="77"/>
        <v>104.18725825985709</v>
      </c>
      <c r="EX63" s="118">
        <f t="shared" si="66"/>
        <v>7814.044369489282</v>
      </c>
      <c r="EY63" s="118">
        <f>EX63*'Base Data'!$D$13</f>
        <v>5860.5332771169615</v>
      </c>
      <c r="EZ63" s="375">
        <f>IF(INT(('Base Data'!$D$7)/EY63)=0,0,INT(('Base Data'!$D$7)/EY63))</f>
        <v>1</v>
      </c>
      <c r="FA63" s="385">
        <f t="shared" si="228"/>
        <v>1.0846399352452928E-2</v>
      </c>
      <c r="FB63" s="397">
        <f t="shared" si="129"/>
        <v>1.4893632929406313</v>
      </c>
      <c r="FC63" s="403">
        <f t="shared" si="229"/>
        <v>0.84104093166548666</v>
      </c>
      <c r="FD63" s="510">
        <f t="shared" si="130"/>
        <v>2.2102971077656108</v>
      </c>
      <c r="FE63" s="509">
        <f t="shared" si="230"/>
        <v>1.3219186840469983</v>
      </c>
      <c r="FF63" s="20">
        <f t="shared" si="165"/>
        <v>278</v>
      </c>
      <c r="FG63" s="17">
        <f t="shared" si="166"/>
        <v>1.1972411773445794E-2</v>
      </c>
      <c r="FH63" s="388">
        <f t="shared" si="70"/>
        <v>1.2546752775773167E-2</v>
      </c>
      <c r="FI63" s="388">
        <f t="shared" si="105"/>
        <v>1.0730960170205762E-2</v>
      </c>
      <c r="FJ63" s="314">
        <f t="shared" si="131"/>
        <v>1.0204542186709445E-2</v>
      </c>
      <c r="FK63" s="442">
        <f t="shared" si="167"/>
        <v>96.300000000001091</v>
      </c>
      <c r="FL63" s="18">
        <f t="shared" si="168"/>
        <v>1.007322175732229E-2</v>
      </c>
      <c r="FM63" s="394">
        <f t="shared" si="71"/>
        <v>9.500044396820154E-3</v>
      </c>
      <c r="FN63" s="394">
        <f t="shared" si="106"/>
        <v>7.8750037655353749E-3</v>
      </c>
      <c r="FO63" s="385">
        <f t="shared" si="132"/>
        <v>7.038116103882751E-3</v>
      </c>
      <c r="FP63" s="416">
        <f t="shared" si="188"/>
        <v>2</v>
      </c>
      <c r="FQ63" s="417">
        <f t="shared" si="189"/>
        <v>2</v>
      </c>
      <c r="FR63" s="415">
        <f t="shared" si="122"/>
        <v>66.279021984795619</v>
      </c>
      <c r="FS63" s="413" t="str">
        <f t="shared" si="133"/>
        <v>T-D</v>
      </c>
      <c r="FT63" s="404">
        <f t="shared" si="123"/>
        <v>72.439738052111039</v>
      </c>
      <c r="FU63" s="414" t="str">
        <f t="shared" si="134"/>
        <v>T-D</v>
      </c>
      <c r="FV63" s="415">
        <f t="shared" si="225"/>
        <v>22.288043478260793</v>
      </c>
      <c r="FW63" s="413" t="str">
        <f t="shared" si="72"/>
        <v>C-D</v>
      </c>
      <c r="FX63" s="404">
        <f t="shared" si="226"/>
        <v>23.995330998832966</v>
      </c>
      <c r="FY63" s="414" t="str">
        <f t="shared" si="73"/>
        <v>C-R</v>
      </c>
    </row>
    <row r="64" spans="1:181" x14ac:dyDescent="0.3">
      <c r="E64" s="22"/>
      <c r="F64" s="22"/>
      <c r="G64" s="23"/>
      <c r="H64" s="23"/>
      <c r="I64" s="23"/>
      <c r="J64" s="23"/>
      <c r="L64" s="283">
        <f t="shared" si="35"/>
        <v>61</v>
      </c>
      <c r="M64" s="290">
        <f>'[4]BANKNIFTY-I'!C80</f>
        <v>42885</v>
      </c>
      <c r="N64" s="7">
        <f>'[4]BANKNIFTY-I'!D80</f>
        <v>23102.05</v>
      </c>
      <c r="O64" s="7">
        <f>'[4]BANKNIFTY-I'!E80</f>
        <v>23273.75</v>
      </c>
      <c r="P64" s="7">
        <f>'[4]BANKNIFTY-I'!F80</f>
        <v>23050.55</v>
      </c>
      <c r="Q64" s="7">
        <f>'[4]BANKNIFTY-I'!G80</f>
        <v>23251.5</v>
      </c>
      <c r="R64" s="11">
        <f>'[4]BANKNIFTY-I'!H80</f>
        <v>52489</v>
      </c>
      <c r="S64" s="291">
        <f>'[5]NIFTY-I'!C80</f>
        <v>42885</v>
      </c>
      <c r="T64" s="9">
        <f>'[5]NIFTY-I'!D80</f>
        <v>9590.25</v>
      </c>
      <c r="U64" s="9">
        <f>'[5]NIFTY-I'!E80</f>
        <v>9633.35</v>
      </c>
      <c r="V64" s="9">
        <f>'[5]NIFTY-I'!F80</f>
        <v>9582.4</v>
      </c>
      <c r="W64" s="9">
        <f>'[5]NIFTY-I'!G80</f>
        <v>9619.85</v>
      </c>
      <c r="X64" s="12">
        <f>'[5]NIFTY-I'!H80</f>
        <v>82581</v>
      </c>
      <c r="Y64" s="115"/>
      <c r="Z64" s="122">
        <f t="shared" si="36"/>
        <v>4.9819612414658031E-3</v>
      </c>
      <c r="AA64" s="19">
        <f t="shared" si="169"/>
        <v>1.4719997664564145E-3</v>
      </c>
      <c r="AB64" s="305">
        <f>IF(OR(SUM(Z44:Z64)=0,SUM('BNF-Nifty'!AA44:AA64)=0),0,(_xlfn.COVARIANCE.P(Z44:Z64,'BNF-Nifty'!AA44:AA64)/_xlfn.VAR.P('BNF-Nifty'!AA44:AA64)))</f>
        <v>1.2447144320368924</v>
      </c>
      <c r="AC64" s="306">
        <f>IF(OR(SUM(AA44:AA64)=0,SUM('BNF-Nifty'!AA44:AA64)=0),0,(_xlfn.COVARIANCE.P(AA44:AA64,'BNF-Nifty'!AA44:AA64)/_xlfn.VAR.P('BNF-Nifty'!AA44:AA64)))</f>
        <v>0.99999999999999967</v>
      </c>
      <c r="AD64" s="122">
        <f t="shared" si="151"/>
        <v>3.0167554670403746E-3</v>
      </c>
      <c r="AE64" s="364">
        <f t="shared" si="124"/>
        <v>-0.13322921732671622</v>
      </c>
      <c r="AF64" s="513">
        <f t="shared" si="152"/>
        <v>6.4429309250005329E-4</v>
      </c>
      <c r="AG64" s="522">
        <f t="shared" si="125"/>
        <v>8.1369426649996163E-2</v>
      </c>
      <c r="AH64" s="466">
        <f t="shared" si="170"/>
        <v>4.9819612414658031E-3</v>
      </c>
      <c r="AI64" s="17">
        <f t="shared" si="38"/>
        <v>8.7074347002574128E-3</v>
      </c>
      <c r="AJ64" s="17">
        <f t="shared" si="39"/>
        <v>8.529915016246066E-3</v>
      </c>
      <c r="AK64" s="314">
        <f t="shared" si="40"/>
        <v>0.16296379756651089</v>
      </c>
      <c r="AL64" s="467">
        <f t="shared" si="171"/>
        <v>1.4719997664564145E-3</v>
      </c>
      <c r="AM64" s="18">
        <f t="shared" si="198"/>
        <v>5.8240251886625492E-3</v>
      </c>
      <c r="AN64" s="18">
        <f t="shared" si="199"/>
        <v>5.6581021759095299E-3</v>
      </c>
      <c r="AO64" s="385">
        <f t="shared" si="200"/>
        <v>0.10809789028957381</v>
      </c>
      <c r="AP64" s="10">
        <f t="shared" si="153"/>
        <v>9.6364856987742019E-3</v>
      </c>
      <c r="AQ64" s="17">
        <f t="shared" si="267"/>
        <v>1.1925266335286048E-2</v>
      </c>
      <c r="AR64" s="17">
        <f t="shared" si="268"/>
        <v>1.1800464818591557E-2</v>
      </c>
      <c r="AS64" s="314">
        <f t="shared" si="269"/>
        <v>0.22544756380632777</v>
      </c>
      <c r="AT64" s="448">
        <f t="shared" si="154"/>
        <v>5.3029540245255044E-3</v>
      </c>
      <c r="AU64" s="18">
        <f t="shared" si="270"/>
        <v>8.1428473264108913E-3</v>
      </c>
      <c r="AV64" s="18">
        <f t="shared" si="271"/>
        <v>8.0009302027662169E-3</v>
      </c>
      <c r="AW64" s="385">
        <f t="shared" si="272"/>
        <v>0.15285755689523786</v>
      </c>
      <c r="AX64" s="6">
        <f t="shared" si="155"/>
        <v>1212603502.45</v>
      </c>
      <c r="AY64" s="319">
        <f t="shared" si="265"/>
        <v>21943.331971487853</v>
      </c>
      <c r="AZ64" s="140">
        <f t="shared" si="156"/>
        <v>791972435.25</v>
      </c>
      <c r="BA64" s="481">
        <f t="shared" si="266"/>
        <v>9262.6120888697442</v>
      </c>
      <c r="BB64" s="135">
        <f t="shared" si="243"/>
        <v>1661993081.5817564</v>
      </c>
      <c r="BC64" s="21">
        <f t="shared" si="244"/>
        <v>72906.867750722697</v>
      </c>
      <c r="BD64" s="319">
        <f t="shared" si="100"/>
        <v>22796.111434444141</v>
      </c>
      <c r="BE64" s="21">
        <f t="shared" si="157"/>
        <v>23191.933333333334</v>
      </c>
      <c r="BF64" s="21">
        <f t="shared" si="158"/>
        <v>1217321388.7333333</v>
      </c>
      <c r="BG64" s="21">
        <f t="shared" si="59"/>
        <v>1669744730.3590012</v>
      </c>
      <c r="BH64" s="21">
        <f t="shared" si="223"/>
        <v>72433.76635850771</v>
      </c>
      <c r="BI64" s="332">
        <f t="shared" si="56"/>
        <v>23052.021374874719</v>
      </c>
      <c r="BJ64" s="141">
        <f t="shared" si="245"/>
        <v>1211802946.2636702</v>
      </c>
      <c r="BK64" s="118">
        <f t="shared" si="246"/>
        <v>128147.2851037636</v>
      </c>
      <c r="BL64" s="329">
        <f t="shared" si="107"/>
        <v>9456.3294515560538</v>
      </c>
      <c r="BM64" s="118">
        <f t="shared" si="159"/>
        <v>9611.8666666666668</v>
      </c>
      <c r="BN64" s="118">
        <f t="shared" si="160"/>
        <v>793757561.20000005</v>
      </c>
      <c r="BO64" s="118">
        <f t="shared" si="60"/>
        <v>1225698242.4719152</v>
      </c>
      <c r="BP64" s="118">
        <f t="shared" si="224"/>
        <v>128635.55011656537</v>
      </c>
      <c r="BQ64" s="325">
        <f t="shared" si="61"/>
        <v>9528.4564909251549</v>
      </c>
      <c r="BR64" s="6">
        <f t="shared" si="161"/>
        <v>1209900318.95</v>
      </c>
      <c r="BS64" s="8">
        <f t="shared" si="162"/>
        <v>1221615863.75</v>
      </c>
      <c r="BT64" s="331">
        <f t="shared" si="233"/>
        <v>22823.606919107278</v>
      </c>
      <c r="BU64" s="319">
        <f t="shared" si="207"/>
        <v>22766.937066021659</v>
      </c>
      <c r="BV64" s="319">
        <f t="shared" si="208"/>
        <v>23184.336955533334</v>
      </c>
      <c r="BW64" s="331">
        <f t="shared" si="172"/>
        <v>22348.819812760434</v>
      </c>
      <c r="BX64" s="319">
        <f t="shared" si="234"/>
        <v>22715.976749389352</v>
      </c>
      <c r="BY64" s="332">
        <f t="shared" si="235"/>
        <v>23012.963258018328</v>
      </c>
      <c r="BZ64" s="140">
        <f t="shared" si="163"/>
        <v>791324174.39999998</v>
      </c>
      <c r="CA64" s="142">
        <f t="shared" si="164"/>
        <v>795531676.35000002</v>
      </c>
      <c r="CB64" s="339">
        <f t="shared" si="236"/>
        <v>9462.8615220109186</v>
      </c>
      <c r="CC64" s="329">
        <f t="shared" si="209"/>
        <v>9436.788343646851</v>
      </c>
      <c r="CD64" s="329">
        <f t="shared" si="210"/>
        <v>9543.0167752921789</v>
      </c>
      <c r="CE64" s="339">
        <f t="shared" si="173"/>
        <v>9345.2758628829088</v>
      </c>
      <c r="CF64" s="329">
        <f t="shared" si="237"/>
        <v>9429.398891903973</v>
      </c>
      <c r="CG64" s="325">
        <f t="shared" si="238"/>
        <v>9513.9023390091024</v>
      </c>
      <c r="CH64" s="20">
        <f t="shared" si="239"/>
        <v>1674639655.2244198</v>
      </c>
      <c r="CI64" s="21">
        <f t="shared" si="240"/>
        <v>73135.677787936467</v>
      </c>
      <c r="CJ64" s="21">
        <f t="shared" si="94"/>
        <v>22897.711566715625</v>
      </c>
      <c r="CK64" s="21">
        <f t="shared" si="142"/>
        <v>1596604205.0316451</v>
      </c>
      <c r="CL64" s="21">
        <f t="shared" si="143"/>
        <v>70614.239189423984</v>
      </c>
      <c r="CM64" s="21">
        <f t="shared" si="148"/>
        <v>22610.23022210471</v>
      </c>
      <c r="CN64" s="342">
        <f t="shared" si="144"/>
        <v>287.48134461091468</v>
      </c>
      <c r="CO64" s="342">
        <f t="shared" si="263"/>
        <v>296.49452186463219</v>
      </c>
      <c r="CP64" s="343">
        <f t="shared" si="212"/>
        <v>-9.0131772537175152</v>
      </c>
      <c r="CQ64" s="141">
        <f t="shared" si="241"/>
        <v>1222372087.9246097</v>
      </c>
      <c r="CR64" s="118">
        <f t="shared" si="242"/>
        <v>128957.93439933992</v>
      </c>
      <c r="CS64" s="118">
        <f t="shared" si="104"/>
        <v>9478.8435749856926</v>
      </c>
      <c r="CT64" s="118">
        <f t="shared" si="145"/>
        <v>1137230095.1994517</v>
      </c>
      <c r="CU64" s="118">
        <f t="shared" si="146"/>
        <v>120876.89388998708</v>
      </c>
      <c r="CV64" s="118">
        <f t="shared" si="149"/>
        <v>9408.1677531726746</v>
      </c>
      <c r="CW64" s="350">
        <f t="shared" si="150"/>
        <v>70.675821813018047</v>
      </c>
      <c r="CX64" s="350">
        <f t="shared" si="264"/>
        <v>67.975636559997582</v>
      </c>
      <c r="CY64" s="351">
        <f t="shared" si="214"/>
        <v>2.7001852530204644</v>
      </c>
      <c r="CZ64" s="20">
        <f t="shared" si="174"/>
        <v>-14.049999999999272</v>
      </c>
      <c r="DA64" s="21">
        <f t="shared" si="175"/>
        <v>0</v>
      </c>
      <c r="DB64" s="21">
        <f t="shared" si="176"/>
        <v>1217321388.7333333</v>
      </c>
      <c r="DC64" s="21">
        <f>((DA64-DC63)*(2/(1+14)))+DC63</f>
        <v>1090757949.7722275</v>
      </c>
      <c r="DD64" s="21">
        <f t="shared" si="274"/>
        <v>570680558.4540565</v>
      </c>
      <c r="DE64" s="21">
        <f t="shared" si="275"/>
        <v>1.9113283843539952</v>
      </c>
      <c r="DF64" s="342">
        <f t="shared" si="276"/>
        <v>65.651418597291155</v>
      </c>
      <c r="DG64" s="342">
        <f t="shared" si="247"/>
        <v>69.734724037140197</v>
      </c>
      <c r="DH64" s="355">
        <f t="shared" si="195"/>
        <v>73.936237759051608</v>
      </c>
      <c r="DI64" s="141">
        <f t="shared" si="177"/>
        <v>15.5</v>
      </c>
      <c r="DJ64" s="118">
        <f t="shared" si="178"/>
        <v>793757561.20000005</v>
      </c>
      <c r="DK64" s="118">
        <f t="shared" si="179"/>
        <v>0</v>
      </c>
      <c r="DL64" s="118">
        <f t="shared" si="277"/>
        <v>753300541.23096633</v>
      </c>
      <c r="DM64" s="118">
        <f t="shared" si="278"/>
        <v>452627199.01050943</v>
      </c>
      <c r="DN64" s="118">
        <f t="shared" si="279"/>
        <v>1.6642847422288374</v>
      </c>
      <c r="DO64" s="350">
        <f t="shared" si="280"/>
        <v>62.46647424165937</v>
      </c>
      <c r="DP64" s="350">
        <f t="shared" si="248"/>
        <v>55.488505372698775</v>
      </c>
      <c r="DQ64" s="351">
        <f t="shared" si="196"/>
        <v>59.464597167399795</v>
      </c>
      <c r="DR64" s="135">
        <f t="shared" si="180"/>
        <v>223.20000000000073</v>
      </c>
      <c r="DS64" s="20">
        <f t="shared" si="181"/>
        <v>11715544.800000038</v>
      </c>
      <c r="DT64" s="21">
        <f t="shared" si="140"/>
        <v>21567400.666613337</v>
      </c>
      <c r="DU64" s="21">
        <f t="shared" si="135"/>
        <v>71342.421723911539</v>
      </c>
      <c r="DV64" s="319">
        <f t="shared" si="136"/>
        <v>302.30822202920371</v>
      </c>
      <c r="DW64" s="21">
        <f t="shared" si="137"/>
        <v>6046.1644405840743</v>
      </c>
      <c r="DX64" s="21">
        <f>DW64*'Base Data'!$D$10</f>
        <v>12092.328881168149</v>
      </c>
      <c r="DY64" s="363">
        <f>IF(INT(('Base Data'!$D$7)/DX64)=0,0,INT(('Base Data'!$D$7)/DX64))</f>
        <v>0</v>
      </c>
      <c r="DZ64" s="364">
        <f t="shared" si="126"/>
        <v>1.300166535617933E-2</v>
      </c>
      <c r="EA64" s="141">
        <f t="shared" si="182"/>
        <v>50.950000000000728</v>
      </c>
      <c r="EB64" s="143">
        <f t="shared" si="183"/>
        <v>4207501.9500000598</v>
      </c>
      <c r="EC64" s="118">
        <f t="shared" si="141"/>
        <v>10815028.485146867</v>
      </c>
      <c r="ED64" s="118">
        <f t="shared" si="138"/>
        <v>122884.71175576372</v>
      </c>
      <c r="EE64" s="329">
        <f t="shared" si="139"/>
        <v>88.009552454677944</v>
      </c>
      <c r="EF64" s="118">
        <f t="shared" si="127"/>
        <v>6600.7164341008456</v>
      </c>
      <c r="EG64" s="118">
        <f>EF64*'Base Data'!$D$10</f>
        <v>13201.432868201691</v>
      </c>
      <c r="EH64" s="375">
        <f>IF(INT(('Base Data'!$D$7)/EG64)=0,0,INT(('Base Data'!$D$7)/EG64))</f>
        <v>0</v>
      </c>
      <c r="EI64" s="376">
        <f t="shared" si="128"/>
        <v>9.1487447782115042E-3</v>
      </c>
      <c r="EJ64" s="135">
        <f t="shared" si="184"/>
        <v>223.20000000000073</v>
      </c>
      <c r="EK64" s="21">
        <f t="shared" si="185"/>
        <v>11715544.800000038</v>
      </c>
      <c r="EL64" s="21">
        <f t="shared" si="78"/>
        <v>25373817.219840534</v>
      </c>
      <c r="EM64" s="21">
        <f t="shared" si="231"/>
        <v>73818.203959328355</v>
      </c>
      <c r="EN64" s="319">
        <f t="shared" si="75"/>
        <v>343.73387401596437</v>
      </c>
      <c r="EO64" s="21">
        <f t="shared" si="64"/>
        <v>6874.6774803192875</v>
      </c>
      <c r="EP64" s="21">
        <f>EO64*'Base Data'!$D$13</f>
        <v>5156.0081102394652</v>
      </c>
      <c r="EQ64" s="363">
        <f>IF(INT(('Base Data'!$D$7)/EP64)=0,0,INT(('Base Data'!$D$7)/EP64))</f>
        <v>2</v>
      </c>
      <c r="ER64" s="314">
        <f t="shared" si="227"/>
        <v>1.4783298884629566E-2</v>
      </c>
      <c r="ES64" s="143">
        <f t="shared" si="186"/>
        <v>50.950000000000728</v>
      </c>
      <c r="ET64" s="118">
        <f t="shared" si="187"/>
        <v>4207501.9500000598</v>
      </c>
      <c r="EU64" s="118">
        <f t="shared" si="79"/>
        <v>12734313.02469952</v>
      </c>
      <c r="EV64" s="118">
        <f t="shared" si="232"/>
        <v>131602.34682998469</v>
      </c>
      <c r="EW64" s="329">
        <f t="shared" si="77"/>
        <v>96.763570950226367</v>
      </c>
      <c r="EX64" s="118">
        <f t="shared" si="66"/>
        <v>7257.2678212669771</v>
      </c>
      <c r="EY64" s="118">
        <f>EX64*'Base Data'!$D$13</f>
        <v>5442.9508659502326</v>
      </c>
      <c r="EZ64" s="375">
        <f>IF(INT(('Base Data'!$D$7)/EY64)=0,0,INT(('Base Data'!$D$7)/EY64))</f>
        <v>1</v>
      </c>
      <c r="FA64" s="385">
        <f t="shared" si="228"/>
        <v>1.0058740099921139E-2</v>
      </c>
      <c r="FB64" s="397">
        <f t="shared" si="129"/>
        <v>1.7348765997730486</v>
      </c>
      <c r="FC64" s="403">
        <f t="shared" si="229"/>
        <v>1.114846239008934</v>
      </c>
      <c r="FD64" s="510">
        <f t="shared" si="130"/>
        <v>2.2888027755878011</v>
      </c>
      <c r="FE64" s="509">
        <f t="shared" si="230"/>
        <v>1.4505286644033804</v>
      </c>
      <c r="FF64" s="20">
        <f t="shared" si="165"/>
        <v>223.20000000000073</v>
      </c>
      <c r="FG64" s="17">
        <f t="shared" si="166"/>
        <v>9.6614802582455118E-3</v>
      </c>
      <c r="FH64" s="388">
        <f t="shared" si="70"/>
        <v>1.3187340886034453E-2</v>
      </c>
      <c r="FI64" s="388">
        <f t="shared" si="105"/>
        <v>1.1109103725833283E-2</v>
      </c>
      <c r="FJ64" s="314">
        <f t="shared" si="131"/>
        <v>1.0211560707150491E-2</v>
      </c>
      <c r="FK64" s="442">
        <f t="shared" si="167"/>
        <v>50.950000000000728</v>
      </c>
      <c r="FL64" s="18">
        <f t="shared" si="168"/>
        <v>5.3126873647715888E-3</v>
      </c>
      <c r="FM64" s="394">
        <f t="shared" si="71"/>
        <v>9.5843535610147697E-3</v>
      </c>
      <c r="FN64" s="394">
        <f t="shared" si="106"/>
        <v>7.7367076764946396E-3</v>
      </c>
      <c r="FO64" s="385">
        <f t="shared" si="132"/>
        <v>7.0821719889736165E-3</v>
      </c>
      <c r="FP64" s="416">
        <f t="shared" si="188"/>
        <v>1</v>
      </c>
      <c r="FQ64" s="417">
        <f t="shared" si="189"/>
        <v>2</v>
      </c>
      <c r="FR64" s="415">
        <f t="shared" si="122"/>
        <v>75.250807685767555</v>
      </c>
      <c r="FS64" s="413" t="str">
        <f t="shared" si="133"/>
        <v>T-R</v>
      </c>
      <c r="FT64" s="404">
        <f t="shared" si="123"/>
        <v>79.740838790580838</v>
      </c>
      <c r="FU64" s="414" t="str">
        <f t="shared" si="134"/>
        <v>T-R</v>
      </c>
      <c r="FV64" s="415">
        <f t="shared" si="225"/>
        <v>59.043478260869641</v>
      </c>
      <c r="FW64" s="413" t="str">
        <f t="shared" si="72"/>
        <v>T-R</v>
      </c>
      <c r="FX64" s="404">
        <f t="shared" si="226"/>
        <v>59.74653993663479</v>
      </c>
      <c r="FY64" s="414" t="str">
        <f t="shared" si="73"/>
        <v>T-R</v>
      </c>
    </row>
    <row r="65" spans="1:181" x14ac:dyDescent="0.3">
      <c r="A65" s="2" t="s">
        <v>345</v>
      </c>
      <c r="B65" s="2">
        <v>15</v>
      </c>
      <c r="C65" s="2">
        <v>45</v>
      </c>
      <c r="D65" s="2">
        <v>75</v>
      </c>
      <c r="E65" s="2">
        <v>90</v>
      </c>
      <c r="G65" s="23"/>
      <c r="H65" s="23"/>
      <c r="I65" s="23"/>
      <c r="J65" s="23"/>
      <c r="L65" s="283">
        <f t="shared" si="35"/>
        <v>62</v>
      </c>
      <c r="M65" s="290">
        <f>'[4]BANKNIFTY-I'!C81</f>
        <v>42886</v>
      </c>
      <c r="N65" s="7">
        <f>'[4]BANKNIFTY-I'!D81</f>
        <v>23255</v>
      </c>
      <c r="O65" s="7">
        <f>'[4]BANKNIFTY-I'!E81</f>
        <v>23342.3</v>
      </c>
      <c r="P65" s="7">
        <f>'[4]BANKNIFTY-I'!F81</f>
        <v>23180</v>
      </c>
      <c r="Q65" s="7">
        <f>'[4]BANKNIFTY-I'!G81</f>
        <v>23321.75</v>
      </c>
      <c r="R65" s="11">
        <f>'[4]BANKNIFTY-I'!H81</f>
        <v>61043</v>
      </c>
      <c r="S65" s="291">
        <f>'[5]NIFTY-I'!C81</f>
        <v>42886</v>
      </c>
      <c r="T65" s="9">
        <f>'[5]NIFTY-I'!D81</f>
        <v>9616.6</v>
      </c>
      <c r="U65" s="9">
        <f>'[5]NIFTY-I'!E81</f>
        <v>9641.7000000000007</v>
      </c>
      <c r="V65" s="9">
        <f>'[5]NIFTY-I'!F81</f>
        <v>9607.2000000000007</v>
      </c>
      <c r="W65" s="9">
        <f>'[5]NIFTY-I'!G81</f>
        <v>9626.0499999999993</v>
      </c>
      <c r="X65" s="12">
        <f>'[5]NIFTY-I'!H81</f>
        <v>88163</v>
      </c>
      <c r="Y65" s="115"/>
      <c r="Z65" s="122">
        <f t="shared" si="36"/>
        <v>3.0167554670403746E-3</v>
      </c>
      <c r="AA65" s="19">
        <f t="shared" si="169"/>
        <v>6.4429309250005329E-4</v>
      </c>
      <c r="AB65" s="305">
        <f>IF(OR(SUM(Z45:Z65)=0,SUM('BNF-Nifty'!AA45:AA65)=0),0,(_xlfn.COVARIANCE.P(Z45:Z65,'BNF-Nifty'!AA45:AA65)/_xlfn.VAR.P('BNF-Nifty'!AA45:AA65)))</f>
        <v>1.2561603152828544</v>
      </c>
      <c r="AC65" s="306">
        <f>IF(OR(SUM(AA45:AA65)=0,SUM('BNF-Nifty'!AA45:AA65)=0),0,(_xlfn.COVARIANCE.P(AA45:AA65,'BNF-Nifty'!AA45:AA65)/_xlfn.VAR.P('BNF-Nifty'!AA45:AA65)))</f>
        <v>1</v>
      </c>
      <c r="AD65" s="122">
        <f t="shared" si="151"/>
        <v>-1.2743009159953702E-3</v>
      </c>
      <c r="AE65" s="364">
        <f t="shared" si="124"/>
        <v>-0.13523034864690348</v>
      </c>
      <c r="AF65" s="513">
        <f t="shared" si="152"/>
        <v>4.2064483915211251E-4</v>
      </c>
      <c r="AG65" s="522">
        <f t="shared" si="125"/>
        <v>7.921054958029583E-2</v>
      </c>
      <c r="AH65" s="466">
        <f t="shared" si="170"/>
        <v>3.0167554670403746E-3</v>
      </c>
      <c r="AI65" s="17">
        <f t="shared" si="38"/>
        <v>8.529915016246066E-3</v>
      </c>
      <c r="AJ65" s="17">
        <f t="shared" si="39"/>
        <v>8.3030074061265537E-3</v>
      </c>
      <c r="AK65" s="314">
        <f t="shared" si="40"/>
        <v>0.15862873376207801</v>
      </c>
      <c r="AL65" s="467">
        <f t="shared" si="171"/>
        <v>6.4429309250005329E-4</v>
      </c>
      <c r="AM65" s="18">
        <f t="shared" si="198"/>
        <v>5.6581021759095299E-3</v>
      </c>
      <c r="AN65" s="18">
        <f t="shared" si="199"/>
        <v>5.4880032647942932E-3</v>
      </c>
      <c r="AO65" s="385">
        <f t="shared" si="200"/>
        <v>0.10484815515569827</v>
      </c>
      <c r="AP65" s="10">
        <f t="shared" si="153"/>
        <v>6.9773273650853267E-3</v>
      </c>
      <c r="AQ65" s="17">
        <f t="shared" si="267"/>
        <v>1.1800464818591557E-2</v>
      </c>
      <c r="AR65" s="17">
        <f t="shared" si="268"/>
        <v>1.1567925378748869E-2</v>
      </c>
      <c r="AS65" s="314">
        <f t="shared" si="269"/>
        <v>0.22100490404610998</v>
      </c>
      <c r="AT65" s="448">
        <f t="shared" si="154"/>
        <v>3.5846242582581712E-3</v>
      </c>
      <c r="AU65" s="18">
        <f t="shared" si="270"/>
        <v>8.0009302027662169E-3</v>
      </c>
      <c r="AV65" s="18">
        <f t="shared" si="271"/>
        <v>7.8067254932742466E-3</v>
      </c>
      <c r="AW65" s="385">
        <f t="shared" si="272"/>
        <v>0.14914728113002387</v>
      </c>
      <c r="AX65" s="6">
        <f t="shared" si="155"/>
        <v>1419554965</v>
      </c>
      <c r="AY65" s="319">
        <f t="shared" si="265"/>
        <v>21995.184148034681</v>
      </c>
      <c r="AZ65" s="140">
        <f t="shared" si="156"/>
        <v>847828305.80000007</v>
      </c>
      <c r="BA65" s="481">
        <f t="shared" si="266"/>
        <v>9273.0487259121419</v>
      </c>
      <c r="BB65" s="135">
        <f t="shared" si="243"/>
        <v>1627359064.9272196</v>
      </c>
      <c r="BC65" s="21">
        <f t="shared" si="244"/>
        <v>71212.02950061945</v>
      </c>
      <c r="BD65" s="319">
        <f t="shared" si="100"/>
        <v>22852.305661546463</v>
      </c>
      <c r="BE65" s="21">
        <f t="shared" si="157"/>
        <v>23281.350000000002</v>
      </c>
      <c r="BF65" s="21">
        <f t="shared" si="158"/>
        <v>1421163448.0500002</v>
      </c>
      <c r="BG65" s="21">
        <f t="shared" si="59"/>
        <v>1586884302.9226675</v>
      </c>
      <c r="BH65" s="21">
        <f t="shared" si="223"/>
        <v>68636.844239005135</v>
      </c>
      <c r="BI65" s="332">
        <f t="shared" si="56"/>
        <v>23120.006761920278</v>
      </c>
      <c r="BJ65" s="141">
        <f t="shared" si="245"/>
        <v>1159806569.0545745</v>
      </c>
      <c r="BK65" s="118">
        <f t="shared" si="246"/>
        <v>122435.24437465452</v>
      </c>
      <c r="BL65" s="329">
        <f t="shared" si="107"/>
        <v>9472.816221982137</v>
      </c>
      <c r="BM65" s="118">
        <f t="shared" si="159"/>
        <v>9624.9833333333336</v>
      </c>
      <c r="BN65" s="118">
        <f t="shared" si="160"/>
        <v>848567405.61666667</v>
      </c>
      <c r="BO65" s="118">
        <f t="shared" si="60"/>
        <v>1099987963.5201657</v>
      </c>
      <c r="BP65" s="118">
        <f t="shared" si="224"/>
        <v>115144.70007771025</v>
      </c>
      <c r="BQ65" s="325">
        <f t="shared" si="61"/>
        <v>9553.0924374095594</v>
      </c>
      <c r="BR65" s="6">
        <f t="shared" si="161"/>
        <v>1414976740</v>
      </c>
      <c r="BS65" s="8">
        <f t="shared" si="162"/>
        <v>1424884018.8999999</v>
      </c>
      <c r="BT65" s="331">
        <f t="shared" si="233"/>
        <v>22846.932985272797</v>
      </c>
      <c r="BU65" s="319">
        <f t="shared" si="207"/>
        <v>22883.176191516344</v>
      </c>
      <c r="BV65" s="319">
        <f t="shared" si="208"/>
        <v>23299.519595613383</v>
      </c>
      <c r="BW65" s="331">
        <f t="shared" si="172"/>
        <v>22393.692830818578</v>
      </c>
      <c r="BX65" s="319">
        <f t="shared" si="234"/>
        <v>22740.791732071051</v>
      </c>
      <c r="BY65" s="332">
        <f t="shared" si="235"/>
        <v>23036.527060927448</v>
      </c>
      <c r="BZ65" s="140">
        <f t="shared" si="163"/>
        <v>846999573.60000002</v>
      </c>
      <c r="CA65" s="142">
        <f t="shared" si="164"/>
        <v>850041197.10000002</v>
      </c>
      <c r="CB65" s="339">
        <f t="shared" si="236"/>
        <v>9472.712793914503</v>
      </c>
      <c r="CC65" s="329">
        <f t="shared" si="209"/>
        <v>9492.1669850608105</v>
      </c>
      <c r="CD65" s="329">
        <f t="shared" si="210"/>
        <v>9590.5908257605261</v>
      </c>
      <c r="CE65" s="339">
        <f t="shared" si="173"/>
        <v>9354.1913547518161</v>
      </c>
      <c r="CF65" s="329">
        <f t="shared" si="237"/>
        <v>9439.0809905962324</v>
      </c>
      <c r="CG65" s="325">
        <f t="shared" si="238"/>
        <v>9523.1582624868824</v>
      </c>
      <c r="CH65" s="20">
        <f t="shared" si="239"/>
        <v>1635643315.6591246</v>
      </c>
      <c r="CI65" s="21">
        <f t="shared" si="240"/>
        <v>71275.265820561632</v>
      </c>
      <c r="CJ65" s="21">
        <f t="shared" si="94"/>
        <v>22948.259776076076</v>
      </c>
      <c r="CK65" s="21">
        <f t="shared" si="142"/>
        <v>1583608593.4033751</v>
      </c>
      <c r="CL65" s="21">
        <f t="shared" si="143"/>
        <v>69905.258508725907</v>
      </c>
      <c r="CM65" s="21">
        <f t="shared" si="148"/>
        <v>22653.640472636285</v>
      </c>
      <c r="CN65" s="342">
        <f t="shared" si="144"/>
        <v>294.61930343979111</v>
      </c>
      <c r="CO65" s="342">
        <f t="shared" si="263"/>
        <v>296.11947817966399</v>
      </c>
      <c r="CP65" s="343">
        <f t="shared" si="212"/>
        <v>-1.5001747398728753</v>
      </c>
      <c r="CQ65" s="141">
        <f t="shared" si="241"/>
        <v>1164863675.2618492</v>
      </c>
      <c r="CR65" s="118">
        <f t="shared" si="242"/>
        <v>122681.79064559532</v>
      </c>
      <c r="CS65" s="118">
        <f t="shared" si="104"/>
        <v>9495.000595703088</v>
      </c>
      <c r="CT65" s="118">
        <f t="shared" si="145"/>
        <v>1115847673.7488749</v>
      </c>
      <c r="CU65" s="118">
        <f t="shared" si="146"/>
        <v>118453.64249072879</v>
      </c>
      <c r="CV65" s="118">
        <f t="shared" si="149"/>
        <v>9420.1212414064084</v>
      </c>
      <c r="CW65" s="350">
        <f t="shared" si="150"/>
        <v>74.879354296679594</v>
      </c>
      <c r="CX65" s="350">
        <f t="shared" si="264"/>
        <v>69.35638010733399</v>
      </c>
      <c r="CY65" s="351">
        <f t="shared" si="214"/>
        <v>5.5229741893456037</v>
      </c>
      <c r="CZ65" s="20">
        <f t="shared" si="174"/>
        <v>89.416666666667879</v>
      </c>
      <c r="DA65" s="21">
        <f t="shared" si="175"/>
        <v>1421163448.0500002</v>
      </c>
      <c r="DB65" s="21">
        <f t="shared" si="176"/>
        <v>0</v>
      </c>
      <c r="DC65" s="21">
        <f t="shared" si="273"/>
        <v>1134812016.2092638</v>
      </c>
      <c r="DD65" s="21">
        <f t="shared" si="274"/>
        <v>494589817.32684898</v>
      </c>
      <c r="DE65" s="21">
        <f t="shared" si="275"/>
        <v>2.294450828653686</v>
      </c>
      <c r="DF65" s="342">
        <f t="shared" si="276"/>
        <v>69.645927287715466</v>
      </c>
      <c r="DG65" s="342">
        <f t="shared" si="247"/>
        <v>70.093389599863499</v>
      </c>
      <c r="DH65" s="355">
        <f t="shared" si="195"/>
        <v>73.709661367568998</v>
      </c>
      <c r="DI65" s="141">
        <f t="shared" si="177"/>
        <v>13.116666666666788</v>
      </c>
      <c r="DJ65" s="118">
        <f t="shared" si="178"/>
        <v>848567405.61666667</v>
      </c>
      <c r="DK65" s="118">
        <f t="shared" si="179"/>
        <v>0</v>
      </c>
      <c r="DL65" s="118">
        <f t="shared" si="277"/>
        <v>766002789.8157264</v>
      </c>
      <c r="DM65" s="118">
        <f t="shared" si="278"/>
        <v>392276905.8091082</v>
      </c>
      <c r="DN65" s="118">
        <f t="shared" si="279"/>
        <v>1.9527093705294052</v>
      </c>
      <c r="DO65" s="350">
        <f t="shared" si="280"/>
        <v>66.13279959142389</v>
      </c>
      <c r="DP65" s="350">
        <f t="shared" si="248"/>
        <v>55.837324764839849</v>
      </c>
      <c r="DQ65" s="351">
        <f t="shared" si="196"/>
        <v>59.453645076472583</v>
      </c>
      <c r="DR65" s="135">
        <f t="shared" si="180"/>
        <v>162.29999999999927</v>
      </c>
      <c r="DS65" s="20">
        <f t="shared" si="181"/>
        <v>9907278.8999999557</v>
      </c>
      <c r="DT65" s="21">
        <f t="shared" si="140"/>
        <v>20507389.596921213</v>
      </c>
      <c r="DU65" s="21">
        <f t="shared" si="135"/>
        <v>70406.110658101403</v>
      </c>
      <c r="DV65" s="319">
        <f t="shared" si="136"/>
        <v>291.27286545491762</v>
      </c>
      <c r="DW65" s="21">
        <f t="shared" si="137"/>
        <v>5825.4573090983522</v>
      </c>
      <c r="DX65" s="21">
        <f>DW65*'Base Data'!$D$10</f>
        <v>11650.914618196704</v>
      </c>
      <c r="DY65" s="363">
        <f>IF(INT(('Base Data'!$D$7)/DX65)=0,0,INT(('Base Data'!$D$7)/DX65))</f>
        <v>0</v>
      </c>
      <c r="DZ65" s="364">
        <f t="shared" si="126"/>
        <v>1.2489322861917207E-2</v>
      </c>
      <c r="EA65" s="141">
        <f t="shared" si="182"/>
        <v>34.5</v>
      </c>
      <c r="EB65" s="143">
        <f t="shared" si="183"/>
        <v>3041623.5</v>
      </c>
      <c r="EC65" s="118">
        <f t="shared" si="141"/>
        <v>10108355.304678971</v>
      </c>
      <c r="ED65" s="118">
        <f t="shared" si="138"/>
        <v>119728.19250523976</v>
      </c>
      <c r="EE65" s="329">
        <f t="shared" si="139"/>
        <v>84.427527829225284</v>
      </c>
      <c r="EF65" s="118">
        <f t="shared" si="127"/>
        <v>6332.064587191896</v>
      </c>
      <c r="EG65" s="118">
        <f>EF65*'Base Data'!$D$10</f>
        <v>12664.129174383792</v>
      </c>
      <c r="EH65" s="375">
        <f>IF(INT(('Base Data'!$D$7)/EG65)=0,0,INT(('Base Data'!$D$7)/EG65))</f>
        <v>0</v>
      </c>
      <c r="EI65" s="376">
        <f t="shared" si="128"/>
        <v>8.7707343956477772E-3</v>
      </c>
      <c r="EJ65" s="135">
        <f t="shared" si="184"/>
        <v>162.29999999999927</v>
      </c>
      <c r="EK65" s="21">
        <f t="shared" si="185"/>
        <v>9907278.8999999557</v>
      </c>
      <c r="EL65" s="21">
        <f t="shared" si="78"/>
        <v>21936808.704320405</v>
      </c>
      <c r="EM65" s="21">
        <f t="shared" si="231"/>
        <v>70979.269746144273</v>
      </c>
      <c r="EN65" s="319">
        <f t="shared" si="75"/>
        <v>309.05937441702201</v>
      </c>
      <c r="EO65" s="21">
        <f t="shared" si="64"/>
        <v>6181.1874883404398</v>
      </c>
      <c r="EP65" s="21">
        <f>EO65*'Base Data'!$D$13</f>
        <v>4635.8906162553303</v>
      </c>
      <c r="EQ65" s="363">
        <f>IF(INT(('Base Data'!$D$7)/EP65)=0,0,INT(('Base Data'!$D$7)/EP65))</f>
        <v>2</v>
      </c>
      <c r="ER65" s="314">
        <f t="shared" si="227"/>
        <v>1.3251980422439226E-2</v>
      </c>
      <c r="ES65" s="143">
        <f t="shared" si="186"/>
        <v>34.5</v>
      </c>
      <c r="ET65" s="118">
        <f t="shared" si="187"/>
        <v>3041623.5</v>
      </c>
      <c r="EU65" s="118">
        <f t="shared" si="79"/>
        <v>10580382.019210737</v>
      </c>
      <c r="EV65" s="118">
        <f t="shared" si="232"/>
        <v>121949.15864554365</v>
      </c>
      <c r="EW65" s="329">
        <f t="shared" si="77"/>
        <v>86.760598734129715</v>
      </c>
      <c r="EX65" s="118">
        <f t="shared" si="66"/>
        <v>6507.044905059729</v>
      </c>
      <c r="EY65" s="118">
        <f>EX65*'Base Data'!$D$13</f>
        <v>4880.2836787947963</v>
      </c>
      <c r="EZ65" s="375">
        <f>IF(INT(('Base Data'!$D$7)/EY65)=0,0,INT(('Base Data'!$D$7)/EY65))</f>
        <v>2</v>
      </c>
      <c r="FA65" s="385">
        <f t="shared" si="228"/>
        <v>9.0131049323585195E-3</v>
      </c>
      <c r="FB65" s="397">
        <f t="shared" si="129"/>
        <v>1.8942064909453367</v>
      </c>
      <c r="FC65" s="403">
        <f t="shared" si="229"/>
        <v>1.3554703982803931</v>
      </c>
      <c r="FD65" s="510">
        <f t="shared" si="130"/>
        <v>2.3091561984462405</v>
      </c>
      <c r="FE65" s="509">
        <f t="shared" si="230"/>
        <v>1.5593195756356555</v>
      </c>
      <c r="FF65" s="20">
        <f t="shared" si="165"/>
        <v>162.29999999999927</v>
      </c>
      <c r="FG65" s="17">
        <f t="shared" si="166"/>
        <v>6.9791442700494208E-3</v>
      </c>
      <c r="FH65" s="388">
        <f t="shared" si="70"/>
        <v>1.3167190541798102E-2</v>
      </c>
      <c r="FI65" s="388">
        <f t="shared" si="105"/>
        <v>1.1029739281333235E-2</v>
      </c>
      <c r="FJ65" s="314">
        <f t="shared" si="131"/>
        <v>1.0141784508369771E-2</v>
      </c>
      <c r="FK65" s="442">
        <f t="shared" si="167"/>
        <v>34.5</v>
      </c>
      <c r="FL65" s="18">
        <f t="shared" si="168"/>
        <v>3.5875465341180875E-3</v>
      </c>
      <c r="FM65" s="394">
        <f t="shared" si="71"/>
        <v>9.113373700400761E-3</v>
      </c>
      <c r="FN65" s="394">
        <f t="shared" si="106"/>
        <v>7.7484220107228528E-3</v>
      </c>
      <c r="FO65" s="385">
        <f t="shared" si="132"/>
        <v>7.0203382796049417E-3</v>
      </c>
      <c r="FP65" s="416">
        <f t="shared" si="188"/>
        <v>2</v>
      </c>
      <c r="FQ65" s="417">
        <f t="shared" si="189"/>
        <v>2</v>
      </c>
      <c r="FR65" s="415">
        <f t="shared" si="122"/>
        <v>85.231136844040321</v>
      </c>
      <c r="FS65" s="413" t="str">
        <f t="shared" si="133"/>
        <v>T-R</v>
      </c>
      <c r="FT65" s="404">
        <f t="shared" si="123"/>
        <v>79.498197948433429</v>
      </c>
      <c r="FU65" s="414" t="str">
        <f t="shared" si="134"/>
        <v>T-D</v>
      </c>
      <c r="FV65" s="415">
        <f t="shared" si="225"/>
        <v>70.027173913043484</v>
      </c>
      <c r="FW65" s="413" t="str">
        <f t="shared" si="72"/>
        <v>T-R</v>
      </c>
      <c r="FX65" s="404">
        <f t="shared" si="226"/>
        <v>60.457408021212856</v>
      </c>
      <c r="FY65" s="414" t="str">
        <f t="shared" si="73"/>
        <v>T-R</v>
      </c>
    </row>
    <row r="66" spans="1:181" x14ac:dyDescent="0.3">
      <c r="A66" s="2" t="s">
        <v>346</v>
      </c>
      <c r="B66" s="2">
        <v>135</v>
      </c>
      <c r="C66" s="2">
        <v>180</v>
      </c>
      <c r="D66" s="2">
        <v>225</v>
      </c>
      <c r="E66" s="2">
        <v>315</v>
      </c>
      <c r="F66" s="2">
        <v>360</v>
      </c>
      <c r="G66" s="23"/>
      <c r="H66" s="23"/>
      <c r="I66" s="23"/>
      <c r="J66" s="23"/>
      <c r="L66" s="283">
        <f t="shared" si="35"/>
        <v>63</v>
      </c>
      <c r="M66" s="290">
        <f>'[4]BANKNIFTY-I'!C82</f>
        <v>42887</v>
      </c>
      <c r="N66" s="7">
        <f>'[4]BANKNIFTY-I'!D82</f>
        <v>23300.25</v>
      </c>
      <c r="O66" s="7">
        <f>'[4]BANKNIFTY-I'!E82</f>
        <v>23341.599999999999</v>
      </c>
      <c r="P66" s="7">
        <f>'[4]BANKNIFTY-I'!F82</f>
        <v>23185.1</v>
      </c>
      <c r="Q66" s="7">
        <f>'[4]BANKNIFTY-I'!G82</f>
        <v>23292.05</v>
      </c>
      <c r="R66" s="11">
        <f>'[4]BANKNIFTY-I'!H82</f>
        <v>64979</v>
      </c>
      <c r="S66" s="291">
        <f>'[5]NIFTY-I'!C82</f>
        <v>42887</v>
      </c>
      <c r="T66" s="9">
        <f>'[5]NIFTY-I'!D82</f>
        <v>9626</v>
      </c>
      <c r="U66" s="9">
        <f>'[5]NIFTY-I'!E82</f>
        <v>9644.9500000000007</v>
      </c>
      <c r="V66" s="9">
        <f>'[5]NIFTY-I'!F82</f>
        <v>9595.9500000000007</v>
      </c>
      <c r="W66" s="9">
        <f>'[5]NIFTY-I'!G82</f>
        <v>9630.1</v>
      </c>
      <c r="X66" s="12">
        <f>'[5]NIFTY-I'!H82</f>
        <v>70094</v>
      </c>
      <c r="Y66" s="115"/>
      <c r="Z66" s="122">
        <f t="shared" si="36"/>
        <v>-1.2743009159953702E-3</v>
      </c>
      <c r="AA66" s="19">
        <f t="shared" si="169"/>
        <v>4.2064483915211251E-4</v>
      </c>
      <c r="AB66" s="305">
        <f>IF(OR(SUM(Z46:Z66)=0,SUM('BNF-Nifty'!AA46:AA66)=0),0,(_xlfn.COVARIANCE.P(Z46:Z66,'BNF-Nifty'!AA46:AA66)/_xlfn.VAR.P('BNF-Nifty'!AA46:AA66)))</f>
        <v>1.260104435441014</v>
      </c>
      <c r="AC66" s="306">
        <f>IF(OR(SUM(AA46:AA66)=0,SUM('BNF-Nifty'!AA46:AA66)=0),0,(_xlfn.COVARIANCE.P(AA46:AA66,'BNF-Nifty'!AA46:AA66)/_xlfn.VAR.P('BNF-Nifty'!AA46:AA66)))</f>
        <v>1</v>
      </c>
      <c r="AD66" s="122">
        <f t="shared" si="151"/>
        <v>2.131501992839401E-3</v>
      </c>
      <c r="AE66" s="364">
        <f t="shared" si="124"/>
        <v>-0.13780681696963559</v>
      </c>
      <c r="AF66" s="513">
        <f t="shared" si="152"/>
        <v>2.3336991408395248E-3</v>
      </c>
      <c r="AG66" s="522">
        <f t="shared" si="125"/>
        <v>7.5751516725663673E-2</v>
      </c>
      <c r="AH66" s="466">
        <f t="shared" si="170"/>
        <v>-1.2743009159953702E-3</v>
      </c>
      <c r="AI66" s="17">
        <f t="shared" si="38"/>
        <v>8.3030074061265537E-3</v>
      </c>
      <c r="AJ66" s="17">
        <f t="shared" si="39"/>
        <v>8.0561136186433763E-3</v>
      </c>
      <c r="AK66" s="314">
        <f t="shared" si="40"/>
        <v>0.15391183457525062</v>
      </c>
      <c r="AL66" s="467">
        <f t="shared" si="171"/>
        <v>4.2064483915211251E-4</v>
      </c>
      <c r="AM66" s="18">
        <f t="shared" si="198"/>
        <v>5.4880032647942932E-3</v>
      </c>
      <c r="AN66" s="18">
        <f t="shared" si="199"/>
        <v>5.3218141238840317E-3</v>
      </c>
      <c r="AO66" s="385">
        <f t="shared" si="200"/>
        <v>0.10167311607670741</v>
      </c>
      <c r="AP66" s="10">
        <f t="shared" si="153"/>
        <v>6.7273453835564609E-3</v>
      </c>
      <c r="AQ66" s="17">
        <f t="shared" si="267"/>
        <v>1.1567925378748869E-2</v>
      </c>
      <c r="AR66" s="17">
        <f t="shared" si="268"/>
        <v>1.133593023394126E-2</v>
      </c>
      <c r="AS66" s="314">
        <f t="shared" si="269"/>
        <v>0.21657264302793644</v>
      </c>
      <c r="AT66" s="448">
        <f t="shared" si="154"/>
        <v>5.093327851580929E-3</v>
      </c>
      <c r="AU66" s="18">
        <f t="shared" si="270"/>
        <v>7.8067254932742466E-3</v>
      </c>
      <c r="AV66" s="18">
        <f t="shared" si="271"/>
        <v>7.6710354234561543E-3</v>
      </c>
      <c r="AW66" s="385">
        <f t="shared" si="272"/>
        <v>0.1465549259860974</v>
      </c>
      <c r="AX66" s="6">
        <f t="shared" si="155"/>
        <v>1514026944.75</v>
      </c>
      <c r="AY66" s="319">
        <f t="shared" si="265"/>
        <v>22041.092668630292</v>
      </c>
      <c r="AZ66" s="140">
        <f t="shared" si="156"/>
        <v>674724844</v>
      </c>
      <c r="BA66" s="481">
        <f t="shared" si="266"/>
        <v>9282.2138941957037</v>
      </c>
      <c r="BB66" s="135">
        <f t="shared" si="243"/>
        <v>1611168762.0447598</v>
      </c>
      <c r="BC66" s="21">
        <f t="shared" si="244"/>
        <v>70321.596714816667</v>
      </c>
      <c r="BD66" s="319">
        <f t="shared" si="100"/>
        <v>22911.435992824787</v>
      </c>
      <c r="BE66" s="21">
        <f t="shared" si="157"/>
        <v>23272.916666666668</v>
      </c>
      <c r="BF66" s="21">
        <f t="shared" si="158"/>
        <v>1512250852.0833335</v>
      </c>
      <c r="BG66" s="21">
        <f t="shared" si="59"/>
        <v>1562006485.9762228</v>
      </c>
      <c r="BH66" s="21">
        <f t="shared" si="223"/>
        <v>67417.562826003428</v>
      </c>
      <c r="BI66" s="332">
        <f t="shared" si="56"/>
        <v>23169.133093813736</v>
      </c>
      <c r="BJ66" s="141">
        <f t="shared" si="245"/>
        <v>1090509179.7610638</v>
      </c>
      <c r="BK66" s="118">
        <f t="shared" si="246"/>
        <v>114957.92374970387</v>
      </c>
      <c r="BL66" s="329">
        <f t="shared" si="107"/>
        <v>9486.1593197821912</v>
      </c>
      <c r="BM66" s="118">
        <f t="shared" si="159"/>
        <v>9623.6666666666661</v>
      </c>
      <c r="BN66" s="118">
        <f t="shared" si="160"/>
        <v>674561291.33333325</v>
      </c>
      <c r="BO66" s="118">
        <f t="shared" si="60"/>
        <v>958179072.79122162</v>
      </c>
      <c r="BP66" s="118">
        <f t="shared" si="224"/>
        <v>100127.80005180683</v>
      </c>
      <c r="BQ66" s="325">
        <f t="shared" si="61"/>
        <v>9569.5608242211747</v>
      </c>
      <c r="BR66" s="6">
        <f t="shared" si="161"/>
        <v>1506544612.8999999</v>
      </c>
      <c r="BS66" s="8">
        <f t="shared" si="162"/>
        <v>1516713826.3999999</v>
      </c>
      <c r="BT66" s="331">
        <f t="shared" si="233"/>
        <v>22878.964525166703</v>
      </c>
      <c r="BU66" s="319">
        <f t="shared" si="207"/>
        <v>23102.210405878708</v>
      </c>
      <c r="BV66" s="319">
        <f t="shared" si="208"/>
        <v>23334.650228568611</v>
      </c>
      <c r="BW66" s="331">
        <f t="shared" si="172"/>
        <v>22443.505461631194</v>
      </c>
      <c r="BX66" s="319">
        <f t="shared" si="234"/>
        <v>22784.33000253413</v>
      </c>
      <c r="BY66" s="332">
        <f t="shared" si="235"/>
        <v>23072.602211976959</v>
      </c>
      <c r="BZ66" s="140">
        <f t="shared" si="163"/>
        <v>672618519.30000007</v>
      </c>
      <c r="CA66" s="142">
        <f t="shared" si="164"/>
        <v>676053125.30000007</v>
      </c>
      <c r="CB66" s="339">
        <f t="shared" si="236"/>
        <v>9482.0875059688115</v>
      </c>
      <c r="CC66" s="329">
        <f t="shared" si="209"/>
        <v>9551.5699384896998</v>
      </c>
      <c r="CD66" s="329">
        <f t="shared" si="210"/>
        <v>9626.9223217431518</v>
      </c>
      <c r="CE66" s="339">
        <f t="shared" si="173"/>
        <v>9363.5059747457835</v>
      </c>
      <c r="CF66" s="329">
        <f t="shared" si="237"/>
        <v>9448.9374979998538</v>
      </c>
      <c r="CG66" s="325">
        <f t="shared" si="238"/>
        <v>9533.2016135877075</v>
      </c>
      <c r="CH66" s="20">
        <f t="shared" si="239"/>
        <v>1616659859.7243874</v>
      </c>
      <c r="CI66" s="21">
        <f t="shared" si="240"/>
        <v>70306.609540475227</v>
      </c>
      <c r="CJ66" s="21">
        <f t="shared" si="94"/>
        <v>22994.422150220213</v>
      </c>
      <c r="CK66" s="21">
        <f t="shared" si="142"/>
        <v>1578322834.7870758</v>
      </c>
      <c r="CL66" s="21">
        <f t="shared" si="143"/>
        <v>69540.350471042504</v>
      </c>
      <c r="CM66" s="21">
        <f t="shared" si="148"/>
        <v>22696.503887254778</v>
      </c>
      <c r="CN66" s="342">
        <f t="shared" si="144"/>
        <v>297.91826296543513</v>
      </c>
      <c r="CO66" s="342">
        <f t="shared" si="263"/>
        <v>296.4792351368182</v>
      </c>
      <c r="CP66" s="343">
        <f t="shared" si="212"/>
        <v>1.4390278286169291</v>
      </c>
      <c r="CQ66" s="141">
        <f t="shared" si="241"/>
        <v>1089432539.2728467</v>
      </c>
      <c r="CR66" s="118">
        <f t="shared" si="242"/>
        <v>114591.36131550373</v>
      </c>
      <c r="CS66" s="118">
        <f t="shared" si="104"/>
        <v>9507.1087974364691</v>
      </c>
      <c r="CT66" s="118">
        <f t="shared" si="145"/>
        <v>1083159793.5699458</v>
      </c>
      <c r="CU66" s="118">
        <f t="shared" si="146"/>
        <v>114871.4467506748</v>
      </c>
      <c r="CV66" s="118">
        <f t="shared" si="149"/>
        <v>9429.321421544495</v>
      </c>
      <c r="CW66" s="350">
        <f t="shared" si="150"/>
        <v>77.787375891974079</v>
      </c>
      <c r="CX66" s="350">
        <f t="shared" si="264"/>
        <v>71.042579264262002</v>
      </c>
      <c r="CY66" s="351">
        <f t="shared" si="214"/>
        <v>6.744796627712077</v>
      </c>
      <c r="CZ66" s="20">
        <f t="shared" si="174"/>
        <v>-8.4333333333343035</v>
      </c>
      <c r="DA66" s="21">
        <f t="shared" si="175"/>
        <v>0</v>
      </c>
      <c r="DB66" s="21">
        <f t="shared" si="176"/>
        <v>1512250852.0833335</v>
      </c>
      <c r="DC66" s="21">
        <f t="shared" si="273"/>
        <v>983503747.38136196</v>
      </c>
      <c r="DD66" s="21">
        <f t="shared" si="274"/>
        <v>630277955.29438019</v>
      </c>
      <c r="DE66" s="21">
        <f t="shared" si="275"/>
        <v>1.560428599984911</v>
      </c>
      <c r="DF66" s="342">
        <f t="shared" si="276"/>
        <v>60.944038822020147</v>
      </c>
      <c r="DG66" s="342">
        <f t="shared" si="247"/>
        <v>70.011303109883329</v>
      </c>
      <c r="DH66" s="355">
        <f t="shared" si="195"/>
        <v>72.922197500686437</v>
      </c>
      <c r="DI66" s="141">
        <f t="shared" si="177"/>
        <v>-1.3166666666675155</v>
      </c>
      <c r="DJ66" s="118">
        <f t="shared" si="178"/>
        <v>0</v>
      </c>
      <c r="DK66" s="118">
        <f t="shared" si="179"/>
        <v>674561291.33333325</v>
      </c>
      <c r="DL66" s="118">
        <f t="shared" si="277"/>
        <v>663869084.5069629</v>
      </c>
      <c r="DM66" s="118">
        <f t="shared" si="278"/>
        <v>429914823.8790049</v>
      </c>
      <c r="DN66" s="118">
        <f t="shared" si="279"/>
        <v>1.5441874707111798</v>
      </c>
      <c r="DO66" s="350">
        <f t="shared" si="280"/>
        <v>60.694720357204304</v>
      </c>
      <c r="DP66" s="350">
        <f t="shared" si="248"/>
        <v>55.852216991346005</v>
      </c>
      <c r="DQ66" s="351">
        <f t="shared" si="196"/>
        <v>59.575700640464937</v>
      </c>
      <c r="DR66" s="135">
        <f t="shared" si="180"/>
        <v>156.5</v>
      </c>
      <c r="DS66" s="20">
        <f t="shared" si="181"/>
        <v>10169213.5</v>
      </c>
      <c r="DT66" s="21">
        <f t="shared" si="140"/>
        <v>19567555.40629201</v>
      </c>
      <c r="DU66" s="21">
        <f t="shared" si="135"/>
        <v>69912.73696191037</v>
      </c>
      <c r="DV66" s="319">
        <f t="shared" si="136"/>
        <v>279.88541511331107</v>
      </c>
      <c r="DW66" s="21">
        <f t="shared" si="137"/>
        <v>5597.7083022662209</v>
      </c>
      <c r="DX66" s="21">
        <f>DW66*'Base Data'!$D$10</f>
        <v>11195.416604532442</v>
      </c>
      <c r="DY66" s="363">
        <f>IF(INT(('Base Data'!$D$7)/DX66)=0,0,INT(('Base Data'!$D$7)/DX66))</f>
        <v>0</v>
      </c>
      <c r="DZ66" s="364">
        <f t="shared" si="126"/>
        <v>1.2016349574782429E-2</v>
      </c>
      <c r="EA66" s="141">
        <f t="shared" si="182"/>
        <v>49</v>
      </c>
      <c r="EB66" s="143">
        <f t="shared" si="183"/>
        <v>3434606</v>
      </c>
      <c r="EC66" s="118">
        <f t="shared" si="141"/>
        <v>9501650.8224354275</v>
      </c>
      <c r="ED66" s="118">
        <f t="shared" si="138"/>
        <v>115215.9931865816</v>
      </c>
      <c r="EE66" s="329">
        <f t="shared" si="139"/>
        <v>82.468158800214354</v>
      </c>
      <c r="EF66" s="118">
        <f t="shared" si="127"/>
        <v>6185.1119100160768</v>
      </c>
      <c r="EG66" s="118">
        <f>EF66*'Base Data'!$D$10</f>
        <v>12370.223820032154</v>
      </c>
      <c r="EH66" s="375">
        <f>IF(INT(('Base Data'!$D$7)/EG66)=0,0,INT(('Base Data'!$D$7)/EG66))</f>
        <v>0</v>
      </c>
      <c r="EI66" s="376">
        <f t="shared" si="128"/>
        <v>8.5635828080927873E-3</v>
      </c>
      <c r="EJ66" s="135">
        <f t="shared" si="184"/>
        <v>156.5</v>
      </c>
      <c r="EK66" s="21">
        <f t="shared" si="185"/>
        <v>10169213.5</v>
      </c>
      <c r="EL66" s="21">
        <f t="shared" si="78"/>
        <v>19321787.547804758</v>
      </c>
      <c r="EM66" s="21">
        <f t="shared" si="231"/>
        <v>69645.876469223324</v>
      </c>
      <c r="EN66" s="319">
        <f t="shared" si="75"/>
        <v>277.42902419130445</v>
      </c>
      <c r="EO66" s="21">
        <f t="shared" si="64"/>
        <v>5548.5804838260892</v>
      </c>
      <c r="EP66" s="21">
        <f>EO66*'Base Data'!$D$13</f>
        <v>4161.4353628695671</v>
      </c>
      <c r="EQ66" s="363">
        <f>IF(INT(('Base Data'!$D$7)/EP66)=0,0,INT(('Base Data'!$D$7)/EP66))</f>
        <v>2</v>
      </c>
      <c r="ER66" s="314">
        <f t="shared" si="227"/>
        <v>1.1910889088393013E-2</v>
      </c>
      <c r="ES66" s="143">
        <f t="shared" si="186"/>
        <v>49</v>
      </c>
      <c r="ET66" s="118">
        <f t="shared" si="187"/>
        <v>3434606</v>
      </c>
      <c r="EU66" s="118">
        <f t="shared" si="79"/>
        <v>8992431.7927194629</v>
      </c>
      <c r="EV66" s="118">
        <f t="shared" si="232"/>
        <v>110425.79005764506</v>
      </c>
      <c r="EW66" s="329">
        <f t="shared" si="77"/>
        <v>81.43416305217454</v>
      </c>
      <c r="EX66" s="118">
        <f t="shared" si="66"/>
        <v>6107.5622289130906</v>
      </c>
      <c r="EY66" s="118">
        <f>EX66*'Base Data'!$D$13</f>
        <v>4580.6716716848177</v>
      </c>
      <c r="EZ66" s="375">
        <f>IF(INT(('Base Data'!$D$7)/EY66)=0,0,INT(('Base Data'!$D$7)/EY66))</f>
        <v>2</v>
      </c>
      <c r="FA66" s="385">
        <f t="shared" si="228"/>
        <v>8.4562115712375294E-3</v>
      </c>
      <c r="FB66" s="397">
        <f t="shared" si="129"/>
        <v>1.7017168046891276</v>
      </c>
      <c r="FC66" s="403">
        <f t="shared" si="229"/>
        <v>1.1596059001797085</v>
      </c>
      <c r="FD66" s="510">
        <f t="shared" si="130"/>
        <v>2.2457633461011102</v>
      </c>
      <c r="FE66" s="509">
        <f t="shared" si="230"/>
        <v>1.4562633038587578</v>
      </c>
      <c r="FF66" s="20">
        <f t="shared" si="165"/>
        <v>156.5</v>
      </c>
      <c r="FG66" s="17">
        <f t="shared" si="166"/>
        <v>6.7166661301917363E-3</v>
      </c>
      <c r="FH66" s="388">
        <f t="shared" si="70"/>
        <v>1.2573527734773644E-2</v>
      </c>
      <c r="FI66" s="388">
        <f t="shared" si="105"/>
        <v>1.0655193123367669E-2</v>
      </c>
      <c r="FJ66" s="314">
        <f t="shared" si="131"/>
        <v>1.0049934005051244E-2</v>
      </c>
      <c r="FK66" s="442">
        <f t="shared" si="167"/>
        <v>49</v>
      </c>
      <c r="FL66" s="18">
        <f t="shared" si="168"/>
        <v>5.0903802202368585E-3</v>
      </c>
      <c r="FM66" s="394">
        <f t="shared" si="71"/>
        <v>8.8906258692805842E-3</v>
      </c>
      <c r="FN66" s="394">
        <f t="shared" si="106"/>
        <v>7.6990073205135765E-3</v>
      </c>
      <c r="FO66" s="385">
        <f t="shared" si="132"/>
        <v>6.7986339497567282E-3</v>
      </c>
      <c r="FP66" s="416">
        <f t="shared" si="188"/>
        <v>2</v>
      </c>
      <c r="FQ66" s="417">
        <f t="shared" si="189"/>
        <v>2</v>
      </c>
      <c r="FR66" s="415">
        <f t="shared" si="122"/>
        <v>87.481460882462059</v>
      </c>
      <c r="FS66" s="413" t="str">
        <f t="shared" si="133"/>
        <v>T-R</v>
      </c>
      <c r="FT66" s="404">
        <f t="shared" si="123"/>
        <v>83.302198591751619</v>
      </c>
      <c r="FU66" s="414" t="str">
        <f t="shared" si="134"/>
        <v>T-R</v>
      </c>
      <c r="FV66" s="415">
        <f t="shared" si="225"/>
        <v>77.97282608695636</v>
      </c>
      <c r="FW66" s="413" t="str">
        <f t="shared" si="72"/>
        <v>T-R</v>
      </c>
      <c r="FX66" s="404">
        <f t="shared" si="226"/>
        <v>78.586653549761948</v>
      </c>
      <c r="FY66" s="414" t="str">
        <f t="shared" si="73"/>
        <v>T-R</v>
      </c>
    </row>
    <row r="67" spans="1:181" x14ac:dyDescent="0.3">
      <c r="L67" s="283">
        <f t="shared" si="35"/>
        <v>64</v>
      </c>
      <c r="M67" s="290">
        <f>'[4]BANKNIFTY-I'!C83</f>
        <v>42888</v>
      </c>
      <c r="N67" s="7">
        <f>'[4]BANKNIFTY-I'!D83</f>
        <v>23389.5</v>
      </c>
      <c r="O67" s="7">
        <f>'[4]BANKNIFTY-I'!E83</f>
        <v>23399</v>
      </c>
      <c r="P67" s="7">
        <f>'[4]BANKNIFTY-I'!F83</f>
        <v>23280</v>
      </c>
      <c r="Q67" s="7">
        <f>'[4]BANKNIFTY-I'!G83</f>
        <v>23341.75</v>
      </c>
      <c r="R67" s="11">
        <f>'[4]BANKNIFTY-I'!H83</f>
        <v>47781</v>
      </c>
      <c r="S67" s="291">
        <f>'[5]NIFTY-I'!C83</f>
        <v>42888</v>
      </c>
      <c r="T67" s="9">
        <f>'[5]NIFTY-I'!D83</f>
        <v>9660.15</v>
      </c>
      <c r="U67" s="9">
        <f>'[5]NIFTY-I'!E83</f>
        <v>9672</v>
      </c>
      <c r="V67" s="9">
        <f>'[5]NIFTY-I'!F83</f>
        <v>9643.2000000000007</v>
      </c>
      <c r="W67" s="9">
        <f>'[5]NIFTY-I'!G83</f>
        <v>9652.6</v>
      </c>
      <c r="X67" s="12">
        <f>'[5]NIFTY-I'!H83</f>
        <v>74161</v>
      </c>
      <c r="Y67" s="115"/>
      <c r="Z67" s="122">
        <f t="shared" si="36"/>
        <v>2.131501992839401E-3</v>
      </c>
      <c r="AA67" s="19">
        <f t="shared" si="169"/>
        <v>2.3336991408395248E-3</v>
      </c>
      <c r="AB67" s="305">
        <f>IF(OR(SUM(Z47:Z67)=0,SUM('BNF-Nifty'!AA47:AA67)=0),0,(_xlfn.COVARIANCE.P(Z47:Z67,'BNF-Nifty'!AA47:AA67)/_xlfn.VAR.P('BNF-Nifty'!AA47:AA67)))</f>
        <v>1.2534871943704555</v>
      </c>
      <c r="AC67" s="306">
        <f>IF(OR(SUM(AA47:AA67)=0,SUM('BNF-Nifty'!AA47:AA67)=0),0,(_xlfn.COVARIANCE.P(AA47:AA67,'BNF-Nifty'!AA47:AA67)/_xlfn.VAR.P('BNF-Nifty'!AA47:AA67)))</f>
        <v>1</v>
      </c>
      <c r="AD67" s="122">
        <f>Z69</f>
        <v>0.10189483650830192</v>
      </c>
      <c r="AE67" s="364">
        <f t="shared" si="124"/>
        <v>-3.317626054770579E-2</v>
      </c>
      <c r="AF67" s="513">
        <f>AA69</f>
        <v>9.5492874131797356E-2</v>
      </c>
      <c r="AG67" s="522">
        <f t="shared" si="125"/>
        <v>5.2189688032617483E-2</v>
      </c>
      <c r="AH67" s="466">
        <f t="shared" si="170"/>
        <v>2.131501992839401E-3</v>
      </c>
      <c r="AI67" s="17">
        <f t="shared" si="38"/>
        <v>8.0561136186433763E-3</v>
      </c>
      <c r="AJ67" s="17">
        <f t="shared" si="39"/>
        <v>7.8281228070994444E-3</v>
      </c>
      <c r="AK67" s="314">
        <f t="shared" si="40"/>
        <v>0.14955607623666156</v>
      </c>
      <c r="AL67" s="467">
        <f t="shared" si="171"/>
        <v>2.3336991408395248E-3</v>
      </c>
      <c r="AM67" s="18">
        <f t="shared" si="198"/>
        <v>5.3218141238840317E-3</v>
      </c>
      <c r="AN67" s="18">
        <f t="shared" si="199"/>
        <v>5.1912592244867314E-3</v>
      </c>
      <c r="AO67" s="385">
        <f t="shared" si="200"/>
        <v>9.9178868225916858E-2</v>
      </c>
      <c r="AP67" s="10">
        <f t="shared" si="153"/>
        <v>5.0986635445156546E-3</v>
      </c>
      <c r="AQ67" s="17">
        <f t="shared" si="249"/>
        <v>1.133593023394126E-2</v>
      </c>
      <c r="AR67" s="17">
        <f t="shared" si="250"/>
        <v>1.1061324405742149E-2</v>
      </c>
      <c r="AS67" s="314">
        <f t="shared" si="251"/>
        <v>0.21132630604661934</v>
      </c>
      <c r="AT67" s="448">
        <f t="shared" si="154"/>
        <v>2.9821095658488866E-3</v>
      </c>
      <c r="AU67" s="18">
        <f t="shared" si="252"/>
        <v>7.6710354234561543E-3</v>
      </c>
      <c r="AV67" s="18">
        <f t="shared" si="253"/>
        <v>7.4731302710181382E-3</v>
      </c>
      <c r="AW67" s="385">
        <f>AV67*SQRT(365)</f>
        <v>0.1427739533576653</v>
      </c>
      <c r="AX67" s="6">
        <f t="shared" si="155"/>
        <v>1117573699.5</v>
      </c>
      <c r="AY67" s="319">
        <f t="shared" si="265"/>
        <v>22080.249393182854</v>
      </c>
      <c r="AZ67" s="140">
        <f t="shared" si="156"/>
        <v>716406384.14999998</v>
      </c>
      <c r="BA67" s="481">
        <f t="shared" si="266"/>
        <v>9292.4150583240607</v>
      </c>
      <c r="BB67" s="135">
        <f t="shared" si="243"/>
        <v>1540655181.6812227</v>
      </c>
      <c r="BC67" s="21">
        <f t="shared" si="244"/>
        <v>67101.511469842852</v>
      </c>
      <c r="BD67" s="319">
        <f t="shared" si="100"/>
        <v>22960.066739683396</v>
      </c>
      <c r="BE67" s="21">
        <f t="shared" si="157"/>
        <v>23340.25</v>
      </c>
      <c r="BF67" s="21">
        <f t="shared" si="158"/>
        <v>1115220485.25</v>
      </c>
      <c r="BG67" s="21">
        <f t="shared" si="59"/>
        <v>1413077819.0674818</v>
      </c>
      <c r="BH67" s="21">
        <f t="shared" si="223"/>
        <v>60872.041884002283</v>
      </c>
      <c r="BI67" s="332">
        <f t="shared" si="56"/>
        <v>23213.905355109357</v>
      </c>
      <c r="BJ67" s="141">
        <f t="shared" si="245"/>
        <v>1037065923.2451975</v>
      </c>
      <c r="BK67" s="118">
        <f t="shared" si="246"/>
        <v>109129.79178546046</v>
      </c>
      <c r="BL67" s="329">
        <f t="shared" si="107"/>
        <v>9503.0505078207934</v>
      </c>
      <c r="BM67" s="118">
        <f t="shared" si="159"/>
        <v>9655.9333333333343</v>
      </c>
      <c r="BN67" s="118">
        <f t="shared" si="160"/>
        <v>716093671.9333334</v>
      </c>
      <c r="BO67" s="118">
        <f t="shared" si="60"/>
        <v>877483939.17192554</v>
      </c>
      <c r="BP67" s="118">
        <f t="shared" si="224"/>
        <v>91472.200034537891</v>
      </c>
      <c r="BQ67" s="325">
        <f t="shared" si="61"/>
        <v>9592.9029676842456</v>
      </c>
      <c r="BR67" s="6">
        <f t="shared" si="161"/>
        <v>1112341680</v>
      </c>
      <c r="BS67" s="8">
        <f t="shared" si="162"/>
        <v>1118027619</v>
      </c>
      <c r="BT67" s="331">
        <f t="shared" si="233"/>
        <v>22912.979847823815</v>
      </c>
      <c r="BU67" s="319">
        <f t="shared" si="207"/>
        <v>23155.229737744925</v>
      </c>
      <c r="BV67" s="319">
        <f t="shared" si="208"/>
        <v>23348.441266165893</v>
      </c>
      <c r="BW67" s="331">
        <f t="shared" si="172"/>
        <v>22490.243993290922</v>
      </c>
      <c r="BX67" s="319">
        <f t="shared" si="234"/>
        <v>22813.485674670286</v>
      </c>
      <c r="BY67" s="332">
        <f t="shared" si="235"/>
        <v>23101.2514175943</v>
      </c>
      <c r="BZ67" s="140">
        <f t="shared" si="163"/>
        <v>715149355.20000005</v>
      </c>
      <c r="CA67" s="142">
        <f t="shared" si="164"/>
        <v>717285192</v>
      </c>
      <c r="CB67" s="339">
        <f t="shared" si="236"/>
        <v>9491.4507418679077</v>
      </c>
      <c r="CC67" s="329">
        <f t="shared" si="209"/>
        <v>9586.8300887459991</v>
      </c>
      <c r="CD67" s="329">
        <f t="shared" si="210"/>
        <v>9645.0047136379781</v>
      </c>
      <c r="CE67" s="339">
        <f t="shared" si="173"/>
        <v>9373.755585590834</v>
      </c>
      <c r="CF67" s="329">
        <f t="shared" si="237"/>
        <v>9458.3208126132213</v>
      </c>
      <c r="CG67" s="325">
        <f t="shared" si="238"/>
        <v>9542.1020907214861</v>
      </c>
      <c r="CH67" s="20">
        <f t="shared" si="239"/>
        <v>1539515340.5744817</v>
      </c>
      <c r="CI67" s="21">
        <f t="shared" si="240"/>
        <v>66841.131149632885</v>
      </c>
      <c r="CJ67" s="21">
        <f t="shared" si="94"/>
        <v>23032.454928509051</v>
      </c>
      <c r="CK67" s="21">
        <f t="shared" si="142"/>
        <v>1544018957.0435886</v>
      </c>
      <c r="CL67" s="21">
        <f t="shared" si="143"/>
        <v>67928.546732446761</v>
      </c>
      <c r="CM67" s="21">
        <f t="shared" si="148"/>
        <v>22730.045486253166</v>
      </c>
      <c r="CN67" s="342">
        <f t="shared" si="144"/>
        <v>302.40944225588464</v>
      </c>
      <c r="CO67" s="342">
        <f t="shared" si="263"/>
        <v>297.66527656063147</v>
      </c>
      <c r="CP67" s="343">
        <f t="shared" si="212"/>
        <v>4.744165695253173</v>
      </c>
      <c r="CQ67" s="141">
        <f t="shared" si="241"/>
        <v>1031995790.4513831</v>
      </c>
      <c r="CR67" s="118">
        <f t="shared" si="242"/>
        <v>108371.30572850315</v>
      </c>
      <c r="CS67" s="118">
        <f t="shared" si="104"/>
        <v>9522.7771181126773</v>
      </c>
      <c r="CT67" s="118">
        <f t="shared" si="145"/>
        <v>1055969710.4857523</v>
      </c>
      <c r="CU67" s="118">
        <f t="shared" si="146"/>
        <v>111855.85810247668</v>
      </c>
      <c r="CV67" s="118">
        <f t="shared" si="149"/>
        <v>9440.4506692740797</v>
      </c>
      <c r="CW67" s="350">
        <f t="shared" si="150"/>
        <v>82.326448838597571</v>
      </c>
      <c r="CX67" s="350">
        <f t="shared" si="264"/>
        <v>73.299353179129113</v>
      </c>
      <c r="CY67" s="351">
        <f t="shared" si="214"/>
        <v>9.0270956594684577</v>
      </c>
      <c r="CZ67" s="20">
        <f>(BE67-BE66)</f>
        <v>67.333333333332121</v>
      </c>
      <c r="DA67" s="21">
        <f t="shared" si="175"/>
        <v>1115220485.25</v>
      </c>
      <c r="DB67" s="21">
        <f t="shared" si="176"/>
        <v>0</v>
      </c>
      <c r="DC67" s="21">
        <f t="shared" si="255"/>
        <v>1001065979.0971804</v>
      </c>
      <c r="DD67" s="21">
        <f t="shared" si="256"/>
        <v>546240894.58846283</v>
      </c>
      <c r="DE67" s="21">
        <f t="shared" si="257"/>
        <v>1.8326456129788344</v>
      </c>
      <c r="DF67" s="342">
        <f t="shared" si="258"/>
        <v>64.697313514330105</v>
      </c>
      <c r="DG67" s="342">
        <f t="shared" si="247"/>
        <v>69.839328840726736</v>
      </c>
      <c r="DH67" s="355">
        <f t="shared" si="195"/>
        <v>72.696507022555664</v>
      </c>
      <c r="DI67" s="141">
        <f t="shared" si="177"/>
        <v>32.266666666668243</v>
      </c>
      <c r="DJ67" s="118">
        <f t="shared" si="178"/>
        <v>716093671.9333334</v>
      </c>
      <c r="DK67" s="118">
        <f t="shared" si="179"/>
        <v>0</v>
      </c>
      <c r="DL67" s="118">
        <f t="shared" si="259"/>
        <v>670832362.83047891</v>
      </c>
      <c r="DM67" s="118">
        <f t="shared" si="260"/>
        <v>372592847.36180425</v>
      </c>
      <c r="DN67" s="118">
        <f t="shared" si="261"/>
        <v>1.8004434802772014</v>
      </c>
      <c r="DO67" s="350">
        <f t="shared" si="262"/>
        <v>64.291370026114038</v>
      </c>
      <c r="DP67" s="350">
        <f t="shared" si="248"/>
        <v>56.281432740248434</v>
      </c>
      <c r="DQ67" s="351">
        <f t="shared" si="196"/>
        <v>59.708349036279003</v>
      </c>
      <c r="DR67" s="135">
        <f t="shared" si="180"/>
        <v>119</v>
      </c>
      <c r="DS67" s="20">
        <f t="shared" si="181"/>
        <v>5685939</v>
      </c>
      <c r="DT67" s="21">
        <f t="shared" si="140"/>
        <v>18305590.278447282</v>
      </c>
      <c r="DU67" s="21">
        <f t="shared" si="135"/>
        <v>67900.760874463973</v>
      </c>
      <c r="DV67" s="319">
        <f t="shared" si="136"/>
        <v>269.59330120454695</v>
      </c>
      <c r="DW67" s="21">
        <f t="shared" si="137"/>
        <v>5391.8660240909394</v>
      </c>
      <c r="DX67" s="21">
        <f>DW67*'Base Data'!$D$10</f>
        <v>10783.732048181879</v>
      </c>
      <c r="DY67" s="363">
        <f>IF(INT(('Base Data'!$D$7)/DX67)=0,0,INT(('Base Data'!$D$7)/DX67))</f>
        <v>0</v>
      </c>
      <c r="DZ67" s="364">
        <f t="shared" si="126"/>
        <v>1.1549832433495643E-2</v>
      </c>
      <c r="EA67" s="141">
        <f t="shared" si="182"/>
        <v>41.899999999999636</v>
      </c>
      <c r="EB67" s="143">
        <f t="shared" si="183"/>
        <v>3107345.8999999729</v>
      </c>
      <c r="EC67" s="118">
        <f t="shared" si="141"/>
        <v>8920350.374941295</v>
      </c>
      <c r="ED67" s="118">
        <f t="shared" si="138"/>
        <v>111483.72107871054</v>
      </c>
      <c r="EE67" s="329">
        <f t="shared" si="139"/>
        <v>80.014824484045391</v>
      </c>
      <c r="EF67" s="118">
        <f t="shared" si="127"/>
        <v>6001.1118363034047</v>
      </c>
      <c r="EG67" s="118">
        <f>EF67*'Base Data'!$D$10</f>
        <v>12002.223672606809</v>
      </c>
      <c r="EH67" s="375">
        <f>IF(INT(('Base Data'!$D$7)/EG67)=0,0,INT(('Base Data'!$D$7)/EG67))</f>
        <v>0</v>
      </c>
      <c r="EI67" s="376">
        <f t="shared" si="128"/>
        <v>8.2894582272180963E-3</v>
      </c>
      <c r="EJ67" s="135">
        <f t="shared" si="184"/>
        <v>119</v>
      </c>
      <c r="EK67" s="21">
        <f t="shared" si="185"/>
        <v>5685939</v>
      </c>
      <c r="EL67" s="21">
        <f t="shared" si="78"/>
        <v>16291598.981625922</v>
      </c>
      <c r="EM67" s="21">
        <f t="shared" si="231"/>
        <v>64787.015031618139</v>
      </c>
      <c r="EN67" s="319">
        <f t="shared" si="75"/>
        <v>251.46395421482376</v>
      </c>
      <c r="EO67" s="21">
        <f t="shared" si="64"/>
        <v>5029.279084296475</v>
      </c>
      <c r="EP67" s="21">
        <f>EO67*'Base Data'!$D$13</f>
        <v>3771.9593132223563</v>
      </c>
      <c r="EQ67" s="363">
        <f>IF(INT(('Base Data'!$D$7)/EP67)=0,0,INT(('Base Data'!$D$7)/EP67))</f>
        <v>2</v>
      </c>
      <c r="ER67" s="314">
        <f t="shared" si="227"/>
        <v>1.0773140583496257E-2</v>
      </c>
      <c r="ES67" s="143">
        <f t="shared" si="186"/>
        <v>41.899999999999636</v>
      </c>
      <c r="ET67" s="118">
        <f t="shared" si="187"/>
        <v>3107345.8999999729</v>
      </c>
      <c r="EU67" s="118">
        <f t="shared" si="79"/>
        <v>7684634.9276706874</v>
      </c>
      <c r="EV67" s="118">
        <f t="shared" si="232"/>
        <v>102366.94782261283</v>
      </c>
      <c r="EW67" s="329">
        <f t="shared" si="77"/>
        <v>75.069493534056065</v>
      </c>
      <c r="EX67" s="118">
        <f t="shared" si="66"/>
        <v>5630.212015054205</v>
      </c>
      <c r="EY67" s="118">
        <f>EX67*'Base Data'!$D$13</f>
        <v>4222.6590112906542</v>
      </c>
      <c r="EZ67" s="375">
        <f>IF(INT(('Base Data'!$D$7)/EY67)=0,0,INT(('Base Data'!$D$7)/EY67))</f>
        <v>2</v>
      </c>
      <c r="FA67" s="385">
        <f t="shared" si="228"/>
        <v>7.7771267362219572E-3</v>
      </c>
      <c r="FB67" s="397">
        <f t="shared" si="129"/>
        <v>1.7951731905217716</v>
      </c>
      <c r="FC67" s="403">
        <f t="shared" si="229"/>
        <v>1.2178269616794366</v>
      </c>
      <c r="FD67" s="510">
        <f t="shared" si="130"/>
        <v>2.4215056454317825</v>
      </c>
      <c r="FE67" s="509">
        <f t="shared" si="230"/>
        <v>1.5972700008373102</v>
      </c>
      <c r="FF67" s="20">
        <f t="shared" si="165"/>
        <v>119</v>
      </c>
      <c r="FG67" s="17">
        <f t="shared" si="166"/>
        <v>5.0877530515829753E-3</v>
      </c>
      <c r="FH67" s="388">
        <f t="shared" si="70"/>
        <v>1.1887619800788601E-2</v>
      </c>
      <c r="FI67" s="388">
        <f t="shared" si="105"/>
        <v>1.0592618536657735E-2</v>
      </c>
      <c r="FJ67" s="314">
        <f t="shared" si="131"/>
        <v>9.8970730740520242E-3</v>
      </c>
      <c r="FK67" s="442">
        <f t="shared" si="167"/>
        <v>28.799999999999272</v>
      </c>
      <c r="FL67" s="18">
        <f t="shared" si="168"/>
        <v>2.9813201658358589E-3</v>
      </c>
      <c r="FM67" s="394">
        <f t="shared" si="71"/>
        <v>8.0342571484084621E-3</v>
      </c>
      <c r="FN67" s="394">
        <f t="shared" si="106"/>
        <v>7.7573632845500612E-3</v>
      </c>
      <c r="FO67" s="385">
        <f t="shared" si="132"/>
        <v>6.6811500083828286E-3</v>
      </c>
      <c r="FP67" s="416">
        <f t="shared" si="188"/>
        <v>2</v>
      </c>
      <c r="FQ67" s="417">
        <f t="shared" si="189"/>
        <v>2</v>
      </c>
      <c r="FR67" s="415">
        <f t="shared" si="122"/>
        <v>65.133120340787926</v>
      </c>
      <c r="FS67" s="413" t="str">
        <f t="shared" si="133"/>
        <v>T-D</v>
      </c>
      <c r="FT67" s="404">
        <f t="shared" si="123"/>
        <v>73.506666666666561</v>
      </c>
      <c r="FU67" s="414" t="str">
        <f t="shared" si="134"/>
        <v>T-D</v>
      </c>
      <c r="FV67" s="415">
        <f t="shared" si="225"/>
        <v>86.102236421725237</v>
      </c>
      <c r="FW67" s="413" t="str">
        <f t="shared" si="72"/>
        <v>T-R</v>
      </c>
      <c r="FX67" s="404">
        <f t="shared" si="226"/>
        <v>86.671686746987959</v>
      </c>
      <c r="FY67" s="414" t="str">
        <f t="shared" si="73"/>
        <v>T-R</v>
      </c>
    </row>
    <row r="68" spans="1:181" ht="11.15" thickBot="1" x14ac:dyDescent="0.35">
      <c r="A68" s="2" t="s">
        <v>360</v>
      </c>
      <c r="L68" s="279"/>
      <c r="M68" s="38"/>
      <c r="N68" s="40"/>
      <c r="O68" s="40"/>
      <c r="P68" s="40"/>
      <c r="Q68" s="40"/>
      <c r="R68" s="42"/>
      <c r="S68" s="49"/>
      <c r="T68" s="40"/>
      <c r="U68" s="40"/>
      <c r="V68" s="40"/>
      <c r="W68" s="40"/>
      <c r="X68" s="42"/>
      <c r="Z68" s="38"/>
      <c r="AA68" s="39"/>
      <c r="AB68" s="309"/>
      <c r="AC68" s="310"/>
      <c r="AD68" s="251"/>
      <c r="AE68" s="517"/>
      <c r="AF68" s="251"/>
      <c r="AG68" s="517"/>
      <c r="AH68" s="43"/>
      <c r="AI68" s="44"/>
      <c r="AJ68" s="44"/>
      <c r="AK68" s="468"/>
      <c r="AL68" s="43"/>
      <c r="AM68" s="44"/>
      <c r="AN68" s="44"/>
      <c r="AO68" s="468"/>
      <c r="AP68" s="43"/>
      <c r="AQ68" s="44"/>
      <c r="AR68" s="44"/>
      <c r="AS68" s="316"/>
      <c r="AT68" s="251"/>
      <c r="AU68" s="44"/>
      <c r="AV68" s="44"/>
      <c r="AW68" s="316"/>
      <c r="AX68" s="251"/>
      <c r="AY68" s="321"/>
      <c r="AZ68" s="136"/>
      <c r="BA68" s="323"/>
      <c r="BB68" s="485"/>
      <c r="BC68" s="252"/>
      <c r="BD68" s="321"/>
      <c r="BE68" s="50"/>
      <c r="BF68" s="50"/>
      <c r="BG68" s="50"/>
      <c r="BH68" s="50"/>
      <c r="BI68" s="327"/>
      <c r="BJ68" s="136"/>
      <c r="BK68" s="50"/>
      <c r="BL68" s="321"/>
      <c r="BM68" s="50"/>
      <c r="BN68" s="50"/>
      <c r="BO68" s="50"/>
      <c r="BP68" s="50"/>
      <c r="BQ68" s="327"/>
      <c r="BR68" s="136"/>
      <c r="BS68" s="501"/>
      <c r="BT68" s="334"/>
      <c r="BU68" s="321"/>
      <c r="BV68" s="321"/>
      <c r="BW68" s="334"/>
      <c r="BX68" s="321"/>
      <c r="BY68" s="422"/>
      <c r="BZ68" s="136"/>
      <c r="CA68" s="501"/>
      <c r="CB68" s="334"/>
      <c r="CC68" s="321"/>
      <c r="CD68" s="334"/>
      <c r="CE68" s="334"/>
      <c r="CF68" s="321"/>
      <c r="CG68" s="422"/>
      <c r="CH68" s="501"/>
      <c r="CI68" s="50"/>
      <c r="CJ68" s="50"/>
      <c r="CK68" s="50"/>
      <c r="CL68" s="50"/>
      <c r="CM68" s="50"/>
      <c r="CN68" s="346"/>
      <c r="CO68" s="346"/>
      <c r="CP68" s="347"/>
      <c r="CQ68" s="245"/>
      <c r="CR68" s="47"/>
      <c r="CS68" s="50"/>
      <c r="CT68" s="50"/>
      <c r="CU68" s="50"/>
      <c r="CV68" s="50"/>
      <c r="CW68" s="346"/>
      <c r="CX68" s="346"/>
      <c r="CY68" s="353"/>
      <c r="CZ68" s="49"/>
      <c r="DA68" s="41"/>
      <c r="DB68" s="41"/>
      <c r="DC68" s="41"/>
      <c r="DD68" s="41"/>
      <c r="DE68" s="41"/>
      <c r="DF68" s="356"/>
      <c r="DG68" s="356"/>
      <c r="DH68" s="357"/>
      <c r="DI68" s="38"/>
      <c r="DJ68" s="41"/>
      <c r="DK68" s="41"/>
      <c r="DL68" s="41"/>
      <c r="DM68" s="41"/>
      <c r="DN68" s="41"/>
      <c r="DO68" s="356"/>
      <c r="DP68" s="356"/>
      <c r="DQ68" s="357"/>
      <c r="DR68" s="137"/>
      <c r="DS68" s="45"/>
      <c r="DT68" s="50"/>
      <c r="DU68" s="50"/>
      <c r="DV68" s="321"/>
      <c r="DW68" s="50"/>
      <c r="DX68" s="50"/>
      <c r="DY68" s="367"/>
      <c r="DZ68" s="368"/>
      <c r="EA68" s="137"/>
      <c r="EB68" s="45"/>
      <c r="EC68" s="50"/>
      <c r="ED68" s="50"/>
      <c r="EE68" s="321"/>
      <c r="EF68" s="50"/>
      <c r="EG68" s="50"/>
      <c r="EH68" s="321"/>
      <c r="EI68" s="378"/>
      <c r="EJ68" s="137"/>
      <c r="EK68" s="46"/>
      <c r="EL68" s="50"/>
      <c r="EM68" s="50"/>
      <c r="EN68" s="321"/>
      <c r="EO68" s="50"/>
      <c r="EP68" s="50"/>
      <c r="EQ68" s="367"/>
      <c r="ER68" s="382"/>
      <c r="ES68" s="45"/>
      <c r="ET68" s="46"/>
      <c r="EU68" s="50"/>
      <c r="EV68" s="50"/>
      <c r="EW68" s="321"/>
      <c r="EX68" s="50"/>
      <c r="EY68" s="50"/>
      <c r="EZ68" s="321"/>
      <c r="FA68" s="327"/>
      <c r="FB68" s="399"/>
      <c r="FC68" s="310"/>
      <c r="FD68" s="399"/>
      <c r="FE68" s="310"/>
      <c r="FF68" s="131"/>
      <c r="FG68" s="44"/>
      <c r="FH68" s="390"/>
      <c r="FI68" s="390"/>
      <c r="FJ68" s="316"/>
      <c r="FK68" s="444"/>
      <c r="FL68" s="44"/>
      <c r="FM68" s="390"/>
      <c r="FN68" s="390"/>
      <c r="FO68" s="316"/>
      <c r="FP68" s="422"/>
      <c r="FQ68" s="423"/>
      <c r="FR68" s="407"/>
      <c r="FS68" s="327"/>
      <c r="FT68" s="407"/>
      <c r="FU68" s="327"/>
      <c r="FV68" s="407"/>
      <c r="FW68" s="327"/>
      <c r="FX68" s="407"/>
      <c r="FY68" s="327"/>
    </row>
    <row r="69" spans="1:181" x14ac:dyDescent="0.3">
      <c r="A69" s="2" t="s">
        <v>363</v>
      </c>
      <c r="L69" s="278">
        <f>L67+1</f>
        <v>65</v>
      </c>
      <c r="M69" s="290">
        <f ca="1">NOW()</f>
        <v>45769.773114351854</v>
      </c>
      <c r="N69" s="119">
        <f>VLOOKUP(D5,[2]Sheet1!$A:$P,9,FALSE)</f>
        <v>25730</v>
      </c>
      <c r="O69" s="119">
        <f>VLOOKUP(D5,[2]Sheet1!$A:$P,10,FALSE)</f>
        <v>25880</v>
      </c>
      <c r="P69" s="119">
        <f>VLOOKUP(D5,[2]Sheet1!$A:$P,11,FALSE)</f>
        <v>25630.1</v>
      </c>
      <c r="Q69" s="119">
        <f>VLOOKUP(D5,[2]Sheet1!$A:$P,3,FALSE)</f>
        <v>25845.55</v>
      </c>
      <c r="R69" s="134">
        <f>VLOOKUP(D5,[2]Sheet1!$A:$P,15,FALSE)/$F$4</f>
        <v>107918</v>
      </c>
      <c r="S69" s="291">
        <f ca="1">NOW()</f>
        <v>45769.773114351854</v>
      </c>
      <c r="T69" s="120">
        <f>VLOOKUP(E5,[2]Sheet1!$A:$P,9,FALSE)</f>
        <v>10601</v>
      </c>
      <c r="U69" s="120">
        <f>VLOOKUP(E5,[2]Sheet1!$A:$P,10,FALSE)</f>
        <v>10643.95</v>
      </c>
      <c r="V69" s="120">
        <f>VLOOKUP(E5,[2]Sheet1!$A:$P,11,FALSE)</f>
        <v>10571.1</v>
      </c>
      <c r="W69" s="120">
        <f>VLOOKUP(E5,[2]Sheet1!$A:$P,3,FALSE)</f>
        <v>10619.8</v>
      </c>
      <c r="X69" s="121">
        <f>VLOOKUP(E5,[2]Sheet1!$A:$P,15,FALSE)/$G$4</f>
        <v>120113</v>
      </c>
      <c r="Y69" s="116"/>
      <c r="Z69" s="127">
        <f>IF(OR(Q67=0,Q69=0),0,LN(Q69/Q67))</f>
        <v>0.10189483650830192</v>
      </c>
      <c r="AA69" s="53">
        <f>IF(OR(W67=0,W69=0),0,LN(W69/W67))</f>
        <v>9.5492874131797356E-2</v>
      </c>
      <c r="AB69" s="311">
        <f>IF(OR(SUM(Z48:Z69)=0,SUM('BNF-Nifty'!AA48:AA69)=0),0,(_xlfn.COVARIANCE.P(Z48:Z69,'BNF-Nifty'!AA48:AA69)/_xlfn.VAR.P('BNF-Nifty'!AA48:AA69)))</f>
        <v>1.0780017712439309</v>
      </c>
      <c r="AC69" s="312">
        <f>IF(OR(SUM(AA48:AA69)=0,SUM('BNF-Nifty'!AA48:AA69)=0),0,(_xlfn.COVARIANCE.P(AA48:AA69,'BNF-Nifty'!AA48:AA69)/_xlfn.VAR.P('BNF-Nifty'!AA48:AA69)))</f>
        <v>0.99999999999999989</v>
      </c>
      <c r="AD69" s="127" t="s">
        <v>20</v>
      </c>
      <c r="AE69" s="525" t="s">
        <v>20</v>
      </c>
      <c r="AF69" s="448" t="s">
        <v>20</v>
      </c>
      <c r="AG69" s="525" t="s">
        <v>20</v>
      </c>
      <c r="AH69" s="10">
        <f>IF(OR(Q67=0,Q69=0),0,LN(Q69/Q67))</f>
        <v>0.10189483650830192</v>
      </c>
      <c r="AI69" s="51">
        <f>AJ67</f>
        <v>7.8281228070994444E-3</v>
      </c>
      <c r="AJ69" s="51">
        <f>SQRT((0.94*(AI69^2))+(0.06*(AH69^2)))</f>
        <v>2.6087472064292915E-2</v>
      </c>
      <c r="AK69" s="317">
        <f>AJ69*SQRT(365)</f>
        <v>0.49840045397995081</v>
      </c>
      <c r="AL69" s="465">
        <f>IF(OR(W67=0,W69=0),0,LN(W69/W67))</f>
        <v>9.5492874131797356E-2</v>
      </c>
      <c r="AM69" s="52">
        <f>AN67</f>
        <v>5.1912592244867314E-3</v>
      </c>
      <c r="AN69" s="52">
        <f>SQRT((0.94*(AM69^2))+(0.06*(AL69^2)))</f>
        <v>2.3926252581479346E-2</v>
      </c>
      <c r="AO69" s="386">
        <f>AN69*SQRT(365)</f>
        <v>0.4571104137364983</v>
      </c>
      <c r="AP69" s="10">
        <f>IF(P69=0,0,LN(O69/P69))</f>
        <v>9.703027586610161E-3</v>
      </c>
      <c r="AQ69" s="51">
        <f>AR67</f>
        <v>1.1061324405742149E-2</v>
      </c>
      <c r="AR69" s="51">
        <f>SQRT((0.94*(AQ69^2))+(0.06*(AP69^2)))</f>
        <v>1.0984564097555894E-2</v>
      </c>
      <c r="AS69" s="317">
        <f>AR69*SQRT(365)</f>
        <v>0.20985980241785129</v>
      </c>
      <c r="AT69" s="448">
        <f>IF(V69=0,0,LN(U69/V69))</f>
        <v>6.8677930375113817E-3</v>
      </c>
      <c r="AU69" s="52">
        <f>AV67</f>
        <v>7.4731302710181382E-3</v>
      </c>
      <c r="AV69" s="52">
        <f>SQRT((0.94*(AU69^2))+(0.06*(AT69^2)))</f>
        <v>7.4381994028875405E-3</v>
      </c>
      <c r="AW69" s="386">
        <f>AV69*SQRT(365)</f>
        <v>0.14210660005906672</v>
      </c>
      <c r="AX69" s="6">
        <f>(N69*R69)</f>
        <v>2776730140</v>
      </c>
      <c r="AY69" s="336">
        <f>AVERAGE(AX14:AX69)/AVERAGE(R14:R69)</f>
        <v>22205.74459900814</v>
      </c>
      <c r="AZ69" s="140">
        <f>(T69*X69)</f>
        <v>1273317913</v>
      </c>
      <c r="BA69" s="482">
        <f>AVERAGE(AZ14:AZ69)/AVERAGE(X14:X69)</f>
        <v>9322.5794260298117</v>
      </c>
      <c r="BB69" s="6">
        <f>((AX69-BB67)*(2/(1+13)))+BB67</f>
        <v>1717237318.5839052</v>
      </c>
      <c r="BC69" s="7">
        <f>((R69-BC67)*(2/(1+13)))+BC67</f>
        <v>72932.438402722444</v>
      </c>
      <c r="BD69" s="318">
        <f>BB69/BC69</f>
        <v>23545.590359965307</v>
      </c>
      <c r="BE69" s="7">
        <f>(O69+P69+Q69)/3</f>
        <v>25785.216666666664</v>
      </c>
      <c r="BF69" s="7">
        <f>(BE69*R69)</f>
        <v>2782689012.2333331</v>
      </c>
      <c r="BG69" s="7">
        <f>((BF69-BG67)*(2/(1+5)))+BG67</f>
        <v>1869614883.4560988</v>
      </c>
      <c r="BH69" s="7">
        <f>((R69-BH67)*(2/(1+5)))+BH67</f>
        <v>76554.027922668189</v>
      </c>
      <c r="BI69" s="313">
        <f>BG69/BH69</f>
        <v>24422.16215382826</v>
      </c>
      <c r="BJ69" s="141">
        <f>((AZ69-BJ67)*(2/(1+13)))+BJ67</f>
        <v>1070816207.4958836</v>
      </c>
      <c r="BK69" s="118">
        <f>((X69-BK67)*(2/(1+13)))+BK67</f>
        <v>110698.82153039468</v>
      </c>
      <c r="BL69" s="329">
        <f t="shared" ref="BL69" si="281">BJ69/BK69</f>
        <v>9673.2394499960283</v>
      </c>
      <c r="BM69" s="9">
        <f>(U69+V69+W69)/3</f>
        <v>10611.616666666667</v>
      </c>
      <c r="BN69" s="118">
        <f>(BM69*X69)</f>
        <v>1274593112.6833334</v>
      </c>
      <c r="BO69" s="118">
        <f>((BN69-BO67)*(2/(1+5)))+BO67</f>
        <v>1009853663.6757282</v>
      </c>
      <c r="BP69" s="118">
        <f>((X69-BP67)*(2/(1+5)))+BP67</f>
        <v>101019.13335635859</v>
      </c>
      <c r="BQ69" s="325">
        <f t="shared" ref="BQ69" si="282">BO69/BP69</f>
        <v>9996.657367009213</v>
      </c>
      <c r="BR69" s="6">
        <f>(P69*R69)</f>
        <v>2765949131.7999997</v>
      </c>
      <c r="BS69" s="8">
        <f>(O69*R69)</f>
        <v>2792917840</v>
      </c>
      <c r="BT69" s="335">
        <f>AVERAGE(AX56:AX69)/AVERAGE(R56:R69)</f>
        <v>23236.288802444935</v>
      </c>
      <c r="BU69" s="336">
        <f>AVERAGE(BR64:BR69)/AVERAGE(R64:R69)</f>
        <v>23966.106590616677</v>
      </c>
      <c r="BV69" s="336">
        <f>AVERAGE(BS64:BS69)/AVERAGE(R64:R69)</f>
        <v>24158.939493282665</v>
      </c>
      <c r="BW69" s="335">
        <f>AVERAGE(AX35:AX69)/AVERAGE(R35:R69)</f>
        <v>22654.619410273372</v>
      </c>
      <c r="BX69" s="336">
        <f>AVERAGE(BR56:BR69)/AVERAGE(R56:R69)</f>
        <v>23134.928851456309</v>
      </c>
      <c r="BY69" s="337">
        <f>AVERAGE(BS56:BS69)/AVERAGE(R56:R69)</f>
        <v>23424.3807301735</v>
      </c>
      <c r="BZ69" s="140">
        <f>(V69*X69)</f>
        <v>1269726534.3</v>
      </c>
      <c r="CA69" s="142">
        <f>(U69*X69)</f>
        <v>1278476766.3500001</v>
      </c>
      <c r="CB69" s="335">
        <f>AVERAGE(AZ56:AZ69)/AVERAGE(X56:X69)</f>
        <v>9575.9033742166066</v>
      </c>
      <c r="CC69" s="336">
        <f>AVERAGE(BZ64:BZ69)/AVERAGE(X64:X69)</f>
        <v>9872.9020500468851</v>
      </c>
      <c r="CD69" s="336">
        <f>AVERAGE(CA64:CA69)/AVERAGE(X64:X69)</f>
        <v>9922.4750342440584</v>
      </c>
      <c r="CE69" s="335">
        <f>AVERAGE(AZ35:AZ69)/AVERAGE(X35:X69)</f>
        <v>9416.3593276220854</v>
      </c>
      <c r="CF69" s="336">
        <f>AVERAGE(BZ56:BZ69)/AVERAGE(X56:X69)</f>
        <v>9541.0905237520656</v>
      </c>
      <c r="CG69" s="337">
        <f>AVERAGE(CA56:CA69)/AVERAGE(X56:X69)</f>
        <v>9624.6759002172421</v>
      </c>
      <c r="CH69" s="8">
        <f>((BF69-CH67)*(2/(1+12)))+CH67</f>
        <v>1730772828.5219975</v>
      </c>
      <c r="CI69" s="7">
        <f>((R69-CI67)*(2/(1+12)))+CI67</f>
        <v>73160.649434304753</v>
      </c>
      <c r="CJ69" s="7">
        <f t="shared" si="94"/>
        <v>23657.155067713829</v>
      </c>
      <c r="CK69" s="7">
        <f>((BF69-CK67)*(2/(1+26)))+CK67</f>
        <v>1635772294.4650512</v>
      </c>
      <c r="CL69" s="7">
        <f>((R69-CL67)*(2/(1+26)))+CL67</f>
        <v>70890.72845596922</v>
      </c>
      <c r="CM69" s="7">
        <f>CK69/CL69</f>
        <v>23074.558973971358</v>
      </c>
      <c r="CN69" s="340">
        <f>(CJ69-CM69)</f>
        <v>582.59609374247157</v>
      </c>
      <c r="CO69" s="340">
        <f>((CN69-CO67)*(2/(1+9)))+CO67</f>
        <v>354.6514399969995</v>
      </c>
      <c r="CP69" s="341">
        <f>(CN69-CO69)</f>
        <v>227.94465374547207</v>
      </c>
      <c r="CQ69" s="140">
        <f>((BN69-CQ67)*(2/(1+12)))+CQ67</f>
        <v>1069318455.4101447</v>
      </c>
      <c r="CR69" s="9">
        <f>((X69-CR67)*(2/(1+12)))+CR67</f>
        <v>110177.72023181037</v>
      </c>
      <c r="CS69" s="9">
        <f t="shared" ref="CS69" si="283">CQ69/CR69</f>
        <v>9705.3964554751474</v>
      </c>
      <c r="CT69" s="9">
        <f>((BN69-CT67)*(2/(1+26)))+CT67</f>
        <v>1072164036.5744621</v>
      </c>
      <c r="CU69" s="9">
        <f>((X69-CU67)*(2/(1+26)))+CU67</f>
        <v>112467.49824303396</v>
      </c>
      <c r="CV69" s="9">
        <f>CT69/CU69</f>
        <v>9533.1011476541844</v>
      </c>
      <c r="CW69" s="348">
        <f t="shared" ref="CW69" si="284">(CS69-CV69)</f>
        <v>172.29530782096299</v>
      </c>
      <c r="CX69" s="348">
        <f>((CW69-CX67)*(2/(1+9)))+CX67</f>
        <v>93.098544107495883</v>
      </c>
      <c r="CY69" s="349">
        <f>(CW69-CX69)</f>
        <v>79.196763713467107</v>
      </c>
      <c r="CZ69" s="20">
        <f>(BE69-BE67)</f>
        <v>2444.9666666666635</v>
      </c>
      <c r="DA69" s="21">
        <f>IF(CZ69&gt;=0,BF69,0)</f>
        <v>2782689012.2333331</v>
      </c>
      <c r="DB69" s="21">
        <f>IF(CZ69&lt;0,BF69,0)</f>
        <v>0</v>
      </c>
      <c r="DC69" s="7">
        <f>((DA69-DC67)*(2/(1+14)))+DC67</f>
        <v>1238615716.8486674</v>
      </c>
      <c r="DD69" s="7">
        <f>((DB69-DD67)*(2/(1+14)))+DD67</f>
        <v>473408775.31000113</v>
      </c>
      <c r="DE69" s="7">
        <f t="shared" ref="DE69" si="285">IF(DD69=0,100000,(DC69/DD69))</f>
        <v>2.6163767581992698</v>
      </c>
      <c r="DF69" s="340">
        <f t="shared" ref="DF69" si="286">100-(100/(1+DE69))</f>
        <v>72.348013858546707</v>
      </c>
      <c r="DG69" s="358">
        <f>AVERAGE(DF35:DF69)</f>
        <v>69.790174375709157</v>
      </c>
      <c r="DH69" s="359">
        <f>AVERAGE(DF48:DF69)</f>
        <v>72.568943410364568</v>
      </c>
      <c r="DI69" s="141">
        <f>(BM69-BM67)</f>
        <v>955.68333333333248</v>
      </c>
      <c r="DJ69" s="118">
        <f>IF(DI69&gt;=0,BN69,0)</f>
        <v>1274593112.6833334</v>
      </c>
      <c r="DK69" s="118">
        <f>IF(DI69&lt;0,BN69,0)</f>
        <v>0</v>
      </c>
      <c r="DL69" s="9">
        <f>((DJ69-DL67)*(2/(1+14)))+DL67</f>
        <v>751333796.14419281</v>
      </c>
      <c r="DM69" s="9">
        <f>((DK69-DM67)*(2/(1+14)))+DM67</f>
        <v>322913801.04689699</v>
      </c>
      <c r="DN69" s="9">
        <f t="shared" ref="DN69" si="287">IF(DM69=0,100000,(DL69/DM69))</f>
        <v>2.3267317584703546</v>
      </c>
      <c r="DO69" s="348">
        <f t="shared" ref="DO69" si="288">100-(100/(1+DN69))</f>
        <v>69.940467924597442</v>
      </c>
      <c r="DP69" s="358">
        <f>AVERAGE(DO35:DO69)</f>
        <v>57.031463654677701</v>
      </c>
      <c r="DQ69" s="359">
        <f>AVERAGE(DO48:DO69)</f>
        <v>59.912579195601523</v>
      </c>
      <c r="DR69" s="135">
        <f>MAX(O69-P69,ABS(O69-Q67),ABS(Q67-P69))</f>
        <v>2538.25</v>
      </c>
      <c r="DS69" s="20">
        <f>(DR69*R69)</f>
        <v>273922863.5</v>
      </c>
      <c r="DT69" s="7">
        <f>((DS69-DT67)*(2/(1+21)))+DT67</f>
        <v>41543524.207679346</v>
      </c>
      <c r="DU69" s="21">
        <f>((R69-DU67)*(2/(1+21)))+DU67</f>
        <v>71538.691704058161</v>
      </c>
      <c r="DV69" s="319">
        <f>DT69/DU69</f>
        <v>580.71406141360444</v>
      </c>
      <c r="DW69" s="21">
        <f>DV69*$F$4</f>
        <v>11614.281228272088</v>
      </c>
      <c r="DX69" s="7">
        <f>DW69*'Base Data'!$D$10</f>
        <v>23228.562456544176</v>
      </c>
      <c r="DY69" s="369">
        <f>IF(INT(('Base Data'!$D$7)/DX69)=0,0,INT(('Base Data'!$D$7)/DX69))</f>
        <v>0</v>
      </c>
      <c r="DZ69" s="364">
        <f>(DV69/Q69)</f>
        <v>2.2468628503305384E-2</v>
      </c>
      <c r="EA69" s="141">
        <f>MAX(U69-V69,ABS(U69-W67),ABS(W67-V69))</f>
        <v>991.35000000000036</v>
      </c>
      <c r="EB69" s="143">
        <f>(EA69*X69)</f>
        <v>119074022.55000004</v>
      </c>
      <c r="EC69" s="9">
        <f>((EB69-EC67)*(2/(1+21)))+EC67</f>
        <v>18934320.572673909</v>
      </c>
      <c r="ED69" s="118">
        <f>((X69-ED67)*(2/(1+21)))+ED67</f>
        <v>112268.20098064595</v>
      </c>
      <c r="EE69" s="329">
        <f>EC69/ED69</f>
        <v>168.6525695369254</v>
      </c>
      <c r="EF69" s="9">
        <f t="shared" ref="EF69" si="289">EE69*$G$4</f>
        <v>12648.942715269404</v>
      </c>
      <c r="EG69" s="9">
        <f>EF69*'Base Data'!$D$10</f>
        <v>25297.885430538809</v>
      </c>
      <c r="EH69" s="379">
        <f>IF(INT(('Base Data'!$D$7)/EG69)=0,0,INT(('Base Data'!$D$7)/EG69))</f>
        <v>0</v>
      </c>
      <c r="EI69" s="376">
        <f>(EE69/W69)</f>
        <v>1.5880955341618996E-2</v>
      </c>
      <c r="EJ69" s="6">
        <f>MAX(O69-P69,ABS(O69-Q67),ABS(Q67-P69))</f>
        <v>2538.25</v>
      </c>
      <c r="EK69" s="7">
        <f>(EJ69*R69)</f>
        <v>273922863.5</v>
      </c>
      <c r="EL69" s="7">
        <f>((EK69-EL67)*(2/(1+8)))+EL67</f>
        <v>73542991.096820161</v>
      </c>
      <c r="EM69" s="7">
        <f>((R69-EM67)*(2/(1+8)))+EM67</f>
        <v>74371.678357925222</v>
      </c>
      <c r="EN69" s="318">
        <f>EL69/EM69</f>
        <v>988.85748877258254</v>
      </c>
      <c r="EO69" s="7">
        <f t="shared" ref="EO69" si="290">EN69*$F$4</f>
        <v>19777.149775451649</v>
      </c>
      <c r="EP69" s="7">
        <f>EO69*'Base Data'!$D$13</f>
        <v>14832.862331588738</v>
      </c>
      <c r="EQ69" s="369">
        <f>IF(INT(('Base Data'!$D$7)/EP69)=0,0,INT(('Base Data'!$D$7)/EP69))</f>
        <v>0</v>
      </c>
      <c r="ER69" s="317">
        <f>(EN69/Q69)</f>
        <v>3.8260261003251334E-2</v>
      </c>
      <c r="ES69" s="142">
        <f>MAX(U69-V69,ABS(U69-W67),ABS(W67-V69))</f>
        <v>991.35000000000036</v>
      </c>
      <c r="ET69" s="9">
        <f>(ES69*X69)</f>
        <v>119074022.55000004</v>
      </c>
      <c r="EU69" s="9">
        <f>((ET69-EU67)*(2/(1+8)))+EU67</f>
        <v>32437832.177077208</v>
      </c>
      <c r="EV69" s="9">
        <f>((X69-EV67)*(2/(1+8)))+EV67</f>
        <v>106310.5149731433</v>
      </c>
      <c r="EW69" s="328">
        <f>EU69/EV69</f>
        <v>305.12346013253546</v>
      </c>
      <c r="EX69" s="9">
        <f t="shared" ref="EX69" si="291">EW69*$G$4</f>
        <v>22884.259509940159</v>
      </c>
      <c r="EY69" s="9">
        <f>EX69*'Base Data'!$D$13</f>
        <v>17163.194632455117</v>
      </c>
      <c r="EZ69" s="379">
        <f>IF(INT(('Base Data'!$D$7)/EY69)=0,0,INT(('Base Data'!$D$7)/EY69))</f>
        <v>0</v>
      </c>
      <c r="FA69" s="386">
        <f>(EW69/W69)</f>
        <v>2.8731563695411917E-2</v>
      </c>
      <c r="FB69" s="400">
        <f>(Q69-AVERAGE(BE47:BE67))/DV69</f>
        <v>5.0661725185129001</v>
      </c>
      <c r="FC69" s="312">
        <f>(Q69-AVERAGE(BE60:BE67))/EN69</f>
        <v>2.7487487976727532</v>
      </c>
      <c r="FD69" s="400">
        <f>(W69-AVERAGE(BM47:BM67))/EE69</f>
        <v>6.7946390409571418</v>
      </c>
      <c r="FE69" s="512">
        <f>(W69-AVERAGE(BM60:BM67))/EW69</f>
        <v>3.4614676942285274</v>
      </c>
      <c r="FF69" s="8">
        <f>(O69-P69)</f>
        <v>249.90000000000146</v>
      </c>
      <c r="FG69" s="51">
        <f>FF69/N69</f>
        <v>9.7123979790128823E-3</v>
      </c>
      <c r="FH69" s="391">
        <f>AVERAGE(FG61:FG69)</f>
        <v>1.1999153203747068E-2</v>
      </c>
      <c r="FI69" s="391">
        <f>AVERAGE(FG56:FG69)</f>
        <v>1.0656266453482145E-2</v>
      </c>
      <c r="FJ69" s="392">
        <f>AVERAGE(FG48:FG69)</f>
        <v>9.7105907895868766E-3</v>
      </c>
      <c r="FK69" s="441">
        <f>(U69-V69)</f>
        <v>72.850000000000364</v>
      </c>
      <c r="FL69" s="52">
        <f>FK69/T69</f>
        <v>6.8719932081879407E-3</v>
      </c>
      <c r="FM69" s="391">
        <f>AVERAGE(FL61:FL69)</f>
        <v>7.5649754857103815E-3</v>
      </c>
      <c r="FN69" s="391">
        <f>AVERAGE(FL56:FL69)</f>
        <v>7.6803294359778134E-3</v>
      </c>
      <c r="FO69" s="392">
        <f>AVERAGE(FL48:FL69)</f>
        <v>6.7478588097105285E-3</v>
      </c>
      <c r="FP69" s="416">
        <f>IF(Q67&lt;((O66+P66+Q66)/3),1,IF(Q67&gt;((O66+P66+Q66)/3),2,0))</f>
        <v>2</v>
      </c>
      <c r="FQ69" s="417">
        <f>IF(W67&lt;((U66+V66+W66)/3),1,IF(W67&gt;((U66+V66+W66)/3),2,0))</f>
        <v>2</v>
      </c>
      <c r="FR69" s="424">
        <f>ABS(Q69-Q48)/(MAX(O48:O69)-MIN(P48:P69))*100</f>
        <v>93.368421052631604</v>
      </c>
      <c r="FS69" s="413" t="str">
        <f>IF(AND(FR69&lt;30,FR69&gt;FR67),"C-R",IF(AND(FR69&lt;30,FR69=FR67),"C-F",IF(AND(FR69&lt;30,FR69&lt;FR67),"C-D",IF(AND(FR69&gt;=30,FR69&gt;FR67),"T-R",IF(AND(FR69&gt;=30,FR69=FR67),"T-F",IF(AND(FR69&gt;=30,FR69&lt;FR67),"T-D","Check"))))))</f>
        <v>T-R</v>
      </c>
      <c r="FT69" s="424">
        <f>ABS(W69-W48)/(MAX(U48:U69)-MIN(V48:V69))*100</f>
        <v>96.744496826162646</v>
      </c>
      <c r="FU69" s="414" t="str">
        <f>IF(AND(FT69&lt;30,FT69&gt;FT67),"C-R",IF(AND(FT69&lt;30,FT69=FT67),"C-F",IF(AND(FT69&lt;30,FT69&lt;FT67),"C-D",IF(AND(FT69&gt;=30,FT69&gt;FT67),"T-R",IF(AND(FT69&gt;=30,FT69=FT67),"T-F",IF(AND(FT69&gt;=30,FT69&lt;FT67),"T-D","Check"))))))</f>
        <v>T-R</v>
      </c>
      <c r="FV69" s="424">
        <f>ABS(Q69-Q61)/(MAX(O61:O69)-MIN(P61:P69))*100</f>
        <v>78.824561664411149</v>
      </c>
      <c r="FW69" s="413" t="str">
        <f>IF(AND(FV69&lt;30,FV69&gt;FV67),"C-R",IF(AND(FV69&lt;30,FV69=FV67),"C-F",IF(AND(FV69&lt;30,FV69&lt;FV67),"C-D",IF(AND(FV69&gt;=30,FV69&gt;FV67),"T-R",IF(AND(FV69&gt;=30,FV69=FV67),"T-F",IF(AND(FV69&gt;=30,FV69&lt;FV67),"T-D","Check"))))))</f>
        <v>T-D</v>
      </c>
      <c r="FX69" s="424">
        <f>ABS(W69-W61)/(MAX(U61:U69)-MIN(V61:V69))*100</f>
        <v>87.692125330909818</v>
      </c>
      <c r="FY69" s="414" t="str">
        <f>IF(AND(FX69&lt;30,FX69&gt;FX67),"C-R",IF(AND(FX69&lt;30,FX69=FX67),"C-F",IF(AND(FX69&lt;30,FX69&lt;FX67),"C-D",IF(AND(FX69&gt;=30,FX69&gt;FX67),"T-R",IF(AND(FX69&gt;=30,FX69=FX67),"T-F",IF(AND(FX69&gt;=30,FX69&lt;FX67),"T-D","Check"))))))</f>
        <v>T-R</v>
      </c>
    </row>
    <row r="70" spans="1:181" ht="11.15" thickBot="1" x14ac:dyDescent="0.35">
      <c r="A70" s="2" t="s">
        <v>364</v>
      </c>
      <c r="L70" s="279"/>
      <c r="M70" s="38"/>
      <c r="N70" s="41"/>
      <c r="O70" s="126"/>
      <c r="P70" s="126"/>
      <c r="Q70" s="41"/>
      <c r="R70" s="39"/>
      <c r="S70" s="49"/>
      <c r="T70" s="41"/>
      <c r="U70" s="126"/>
      <c r="V70" s="126"/>
      <c r="W70" s="41"/>
      <c r="X70" s="39"/>
      <c r="Z70" s="38"/>
      <c r="AA70" s="39"/>
      <c r="AB70" s="301"/>
      <c r="AC70" s="302"/>
      <c r="AD70" s="251"/>
      <c r="AE70" s="518"/>
      <c r="AF70" s="251"/>
      <c r="AG70" s="518"/>
      <c r="AH70" s="49"/>
      <c r="AI70" s="41"/>
      <c r="AJ70" s="41"/>
      <c r="AK70" s="162"/>
      <c r="AL70" s="49"/>
      <c r="AM70" s="41"/>
      <c r="AN70" s="41"/>
      <c r="AO70" s="162"/>
      <c r="AP70" s="49"/>
      <c r="AQ70" s="41"/>
      <c r="AR70" s="41"/>
      <c r="AS70" s="162"/>
      <c r="AT70" s="38"/>
      <c r="AU70" s="41"/>
      <c r="AV70" s="41"/>
      <c r="AW70" s="162"/>
      <c r="AX70" s="250"/>
      <c r="AY70" s="46"/>
      <c r="AZ70" s="137"/>
      <c r="BA70" s="253"/>
      <c r="BB70" s="250"/>
      <c r="BC70" s="126"/>
      <c r="BD70" s="46"/>
      <c r="BE70" s="46"/>
      <c r="BF70" s="46"/>
      <c r="BG70" s="46"/>
      <c r="BH70" s="46"/>
      <c r="BI70" s="170"/>
      <c r="BJ70" s="137"/>
      <c r="BK70" s="46"/>
      <c r="BL70" s="46"/>
      <c r="BM70" s="46"/>
      <c r="BN70" s="46"/>
      <c r="BO70" s="46"/>
      <c r="BP70" s="46"/>
      <c r="BQ70" s="170"/>
      <c r="BR70" s="137"/>
      <c r="BS70" s="45"/>
      <c r="BT70" s="45"/>
      <c r="BU70" s="46"/>
      <c r="BV70" s="45"/>
      <c r="BW70" s="45"/>
      <c r="BX70" s="46"/>
      <c r="BY70" s="224"/>
      <c r="BZ70" s="137"/>
      <c r="CA70" s="45"/>
      <c r="CB70" s="45"/>
      <c r="CC70" s="46"/>
      <c r="CD70" s="45"/>
      <c r="CE70" s="45"/>
      <c r="CF70" s="46"/>
      <c r="CG70" s="224"/>
      <c r="CH70" s="45"/>
      <c r="CI70" s="46"/>
      <c r="CJ70" s="46"/>
      <c r="CK70" s="46"/>
      <c r="CL70" s="46"/>
      <c r="CM70" s="46"/>
      <c r="CN70" s="47"/>
      <c r="CO70" s="47"/>
      <c r="CP70" s="244"/>
      <c r="CQ70" s="245"/>
      <c r="CR70" s="47"/>
      <c r="CS70" s="46"/>
      <c r="CT70" s="46"/>
      <c r="CU70" s="46"/>
      <c r="CV70" s="46"/>
      <c r="CW70" s="47"/>
      <c r="CX70" s="47"/>
      <c r="CY70" s="48"/>
      <c r="CZ70" s="49"/>
      <c r="DA70" s="41"/>
      <c r="DB70" s="41"/>
      <c r="DC70" s="276" t="s">
        <v>181</v>
      </c>
      <c r="DD70" s="276" t="s">
        <v>252</v>
      </c>
      <c r="DE70" s="126" t="s">
        <v>250</v>
      </c>
      <c r="DF70" s="126" t="s">
        <v>251</v>
      </c>
      <c r="DG70" s="456" t="s">
        <v>253</v>
      </c>
      <c r="DH70" s="39"/>
      <c r="DI70" s="38"/>
      <c r="DJ70" s="41"/>
      <c r="DK70" s="41"/>
      <c r="DL70" s="276" t="s">
        <v>181</v>
      </c>
      <c r="DM70" s="276" t="s">
        <v>252</v>
      </c>
      <c r="DN70" s="126" t="s">
        <v>250</v>
      </c>
      <c r="DO70" s="126" t="s">
        <v>251</v>
      </c>
      <c r="DP70" s="456" t="s">
        <v>253</v>
      </c>
      <c r="DQ70" s="39"/>
      <c r="DR70" s="137"/>
      <c r="DS70" s="45"/>
      <c r="DT70" s="276" t="s">
        <v>181</v>
      </c>
      <c r="DU70" s="126" t="s">
        <v>347</v>
      </c>
      <c r="DV70" s="126" t="s">
        <v>56</v>
      </c>
      <c r="DW70" s="126" t="s">
        <v>107</v>
      </c>
      <c r="DX70" s="126" t="s">
        <v>229</v>
      </c>
      <c r="DY70" s="126" t="s">
        <v>219</v>
      </c>
      <c r="DZ70" s="126" t="s">
        <v>220</v>
      </c>
      <c r="EA70" s="137"/>
      <c r="EB70" s="45"/>
      <c r="EC70" s="45"/>
      <c r="ED70" s="276" t="s">
        <v>181</v>
      </c>
      <c r="EE70" s="126" t="s">
        <v>56</v>
      </c>
      <c r="EF70" s="126" t="s">
        <v>107</v>
      </c>
      <c r="EG70" s="126" t="s">
        <v>229</v>
      </c>
      <c r="EH70" s="126" t="s">
        <v>219</v>
      </c>
      <c r="EI70" s="248" t="s">
        <v>220</v>
      </c>
      <c r="EJ70" s="137"/>
      <c r="EK70" s="46"/>
      <c r="EL70" s="46"/>
      <c r="EM70" s="276" t="s">
        <v>181</v>
      </c>
      <c r="EN70" s="126" t="s">
        <v>56</v>
      </c>
      <c r="EO70" s="126" t="s">
        <v>107</v>
      </c>
      <c r="EP70" s="126" t="s">
        <v>230</v>
      </c>
      <c r="EQ70" s="126" t="s">
        <v>219</v>
      </c>
      <c r="ER70" s="162" t="s">
        <v>220</v>
      </c>
      <c r="ES70" s="45"/>
      <c r="ET70" s="46"/>
      <c r="EU70" s="46"/>
      <c r="EV70" s="426" t="s">
        <v>181</v>
      </c>
      <c r="EW70" s="126" t="s">
        <v>56</v>
      </c>
      <c r="EX70" s="126" t="s">
        <v>107</v>
      </c>
      <c r="EY70" s="126" t="s">
        <v>230</v>
      </c>
      <c r="EZ70" s="126" t="s">
        <v>219</v>
      </c>
      <c r="FA70" s="162" t="s">
        <v>220</v>
      </c>
      <c r="FB70" s="294"/>
      <c r="FC70" s="298"/>
      <c r="FD70" s="294"/>
      <c r="FE70" s="298"/>
      <c r="FF70" s="132"/>
      <c r="FG70" s="126" t="s">
        <v>280</v>
      </c>
      <c r="FH70" s="56"/>
      <c r="FI70" s="56"/>
      <c r="FJ70" s="123"/>
      <c r="FK70" s="445"/>
      <c r="FL70" s="126" t="s">
        <v>280</v>
      </c>
      <c r="FM70" s="56"/>
      <c r="FN70" s="56"/>
      <c r="FO70" s="123"/>
      <c r="FP70" s="224"/>
      <c r="FQ70" s="173"/>
      <c r="FR70" s="137"/>
      <c r="FS70" s="170"/>
      <c r="FT70" s="137"/>
      <c r="FU70" s="170"/>
      <c r="FV70" s="137"/>
      <c r="FW70" s="170"/>
      <c r="FX70" s="137"/>
      <c r="FY70" s="170"/>
    </row>
    <row r="71" spans="1:181" x14ac:dyDescent="0.3">
      <c r="A71" s="2" t="s">
        <v>365</v>
      </c>
      <c r="L71" s="280"/>
      <c r="M71" s="286"/>
      <c r="N71" s="287"/>
      <c r="O71" s="288"/>
      <c r="P71" s="452" t="s">
        <v>181</v>
      </c>
      <c r="Q71" s="125" t="s">
        <v>180</v>
      </c>
      <c r="R71" s="453">
        <f>AVERAGE(R47:R67)</f>
        <v>68394.476190476184</v>
      </c>
      <c r="S71" s="292"/>
      <c r="T71" s="289"/>
      <c r="U71" s="282"/>
      <c r="V71" s="454" t="s">
        <v>181</v>
      </c>
      <c r="W71" s="147" t="s">
        <v>180</v>
      </c>
      <c r="X71" s="453">
        <f>AVERAGE(X47:X67)</f>
        <v>109057.04761904762</v>
      </c>
      <c r="Y71" s="117"/>
      <c r="Z71" s="124"/>
      <c r="AA71" s="54"/>
      <c r="AB71" s="165"/>
      <c r="AC71" s="163"/>
      <c r="AD71" s="127"/>
      <c r="AE71" s="514"/>
      <c r="AF71" s="448"/>
      <c r="AG71" s="520"/>
      <c r="AH71" s="150"/>
      <c r="AI71" s="125" t="s">
        <v>181</v>
      </c>
      <c r="AJ71" s="125" t="s">
        <v>180</v>
      </c>
      <c r="AK71" s="469">
        <f>AVERAGE(AK47:AK67)</f>
        <v>0.13549728640569952</v>
      </c>
      <c r="AL71" s="470"/>
      <c r="AM71" s="147" t="s">
        <v>181</v>
      </c>
      <c r="AN71" s="147" t="s">
        <v>180</v>
      </c>
      <c r="AO71" s="469">
        <f>AVERAGE(AO47:AO67)</f>
        <v>9.2263989749581096E-2</v>
      </c>
      <c r="AP71" s="150"/>
      <c r="AQ71" s="125" t="s">
        <v>181</v>
      </c>
      <c r="AR71" s="125" t="s">
        <v>180</v>
      </c>
      <c r="AS71" s="392">
        <f>AVERAGE(AS47:AS67)</f>
        <v>0.19351526057431356</v>
      </c>
      <c r="AT71" s="449"/>
      <c r="AU71" s="147" t="s">
        <v>181</v>
      </c>
      <c r="AV71" s="147" t="s">
        <v>180</v>
      </c>
      <c r="AW71" s="392">
        <f>AVERAGE(AW47:AW67)</f>
        <v>0.13492174738010931</v>
      </c>
      <c r="AX71" s="124"/>
      <c r="AY71" s="14"/>
      <c r="AZ71" s="146"/>
      <c r="BA71" s="483"/>
      <c r="BB71" s="124"/>
      <c r="BC71" s="125"/>
      <c r="BD71" s="14"/>
      <c r="BE71" s="14"/>
      <c r="BF71" s="14"/>
      <c r="BG71" s="14"/>
      <c r="BH71" s="14"/>
      <c r="BI71" s="172"/>
      <c r="BJ71" s="146"/>
      <c r="BK71" s="149"/>
      <c r="BL71" s="149"/>
      <c r="BM71" s="149"/>
      <c r="BN71" s="149"/>
      <c r="BO71" s="149"/>
      <c r="BP71" s="149"/>
      <c r="BQ71" s="171"/>
      <c r="BR71" s="138"/>
      <c r="BS71" s="13"/>
      <c r="BT71" s="13"/>
      <c r="BU71" s="14"/>
      <c r="BV71" s="13"/>
      <c r="BW71" s="13"/>
      <c r="BX71" s="14"/>
      <c r="BY71" s="277"/>
      <c r="BZ71" s="146"/>
      <c r="CA71" s="148"/>
      <c r="CB71" s="148"/>
      <c r="CC71" s="149"/>
      <c r="CD71" s="148"/>
      <c r="CE71" s="148"/>
      <c r="CF71" s="149"/>
      <c r="CG71" s="225"/>
      <c r="CH71" s="13"/>
      <c r="CI71" s="14"/>
      <c r="CJ71" s="14"/>
      <c r="CK71" s="14"/>
      <c r="CL71" s="14"/>
      <c r="CM71" s="14"/>
      <c r="CN71" s="15"/>
      <c r="CO71" s="15"/>
      <c r="CP71" s="246"/>
      <c r="CQ71" s="247"/>
      <c r="CR71" s="144"/>
      <c r="CS71" s="149"/>
      <c r="CT71" s="149"/>
      <c r="CU71" s="149"/>
      <c r="CV71" s="149"/>
      <c r="CW71" s="144"/>
      <c r="CX71" s="144"/>
      <c r="CY71" s="145"/>
      <c r="CZ71" s="8"/>
      <c r="DA71" s="7"/>
      <c r="DB71" s="7"/>
      <c r="DC71" s="7"/>
      <c r="DD71" s="457">
        <f>ROUNDDOWN(DE71,0)-'Base Data'!$D$16</f>
        <v>84</v>
      </c>
      <c r="DE71" s="457">
        <f>MAX(DF18:DF67)</f>
        <v>86.826069704833259</v>
      </c>
      <c r="DF71" s="340">
        <f>MIN(DF18:DF67)</f>
        <v>45.477116392802742</v>
      </c>
      <c r="DG71" s="340">
        <f>ROUNDUP(DF71,0)+'Base Data'!$E$16</f>
        <v>48</v>
      </c>
      <c r="DH71" s="16"/>
      <c r="DI71" s="140"/>
      <c r="DJ71" s="9"/>
      <c r="DK71" s="9"/>
      <c r="DL71" s="9"/>
      <c r="DM71" s="455">
        <f>ROUNDDOWN(DN71,0)-'Base Data'!$D$16</f>
        <v>77</v>
      </c>
      <c r="DN71" s="455">
        <f>MAX(DO18:DO67)</f>
        <v>79.289902763201951</v>
      </c>
      <c r="DO71" s="348">
        <f>MIN(DO18:DO67)</f>
        <v>28.954253470718044</v>
      </c>
      <c r="DP71" s="348">
        <f>ROUNDUP(DO71,0)+'Base Data'!$E$16</f>
        <v>31</v>
      </c>
      <c r="DQ71" s="145"/>
      <c r="DR71" s="138"/>
      <c r="DS71" s="13"/>
      <c r="DT71" s="13"/>
      <c r="DU71" s="528">
        <f>AVERAGE(DV47:DV67)</f>
        <v>252.0366030667825</v>
      </c>
      <c r="DV71" s="436">
        <f>MAX(DV25:DV67)</f>
        <v>310.99529076417213</v>
      </c>
      <c r="DW71" s="436">
        <f>MIN(DV25:DV67)</f>
        <v>216.08479125321904</v>
      </c>
      <c r="DX71" s="425">
        <f>AVERAGE(DZ47:DZ67)</f>
        <v>1.09851095343073E-2</v>
      </c>
      <c r="DY71" s="437">
        <f>MAX(DZ25:DZ67)</f>
        <v>1.3372144273611636E-2</v>
      </c>
      <c r="DZ71" s="438">
        <f>MIN(DZ25:DZ67)</f>
        <v>9.4233018003313882E-3</v>
      </c>
      <c r="EA71" s="146"/>
      <c r="EB71" s="148"/>
      <c r="EC71" s="148"/>
      <c r="ED71" s="148"/>
      <c r="EE71" s="434">
        <f>MAX(EE25:EE67)</f>
        <v>90.420940313846245</v>
      </c>
      <c r="EF71" s="434">
        <f>MIN(EE25:EE67)</f>
        <v>63.960252642792724</v>
      </c>
      <c r="EG71" s="425">
        <f>AVERAGE(EI47:EI67)</f>
        <v>7.7964733309424661E-3</v>
      </c>
      <c r="EH71" s="433">
        <f>MAX(EI25:EI67)</f>
        <v>9.4132588269304936E-3</v>
      </c>
      <c r="EI71" s="435">
        <f>MIN(EI25:EI67)</f>
        <v>6.712217639885166E-3</v>
      </c>
      <c r="EJ71" s="138"/>
      <c r="EK71" s="14"/>
      <c r="EL71" s="14"/>
      <c r="EM71" s="13"/>
      <c r="EN71" s="436">
        <f>MAX(EN12:EN67)</f>
        <v>406.07538929788683</v>
      </c>
      <c r="EO71" s="436">
        <f>MIN(EN12:EN67)</f>
        <v>193.83185663791556</v>
      </c>
      <c r="EP71" s="425">
        <f>AVERAGE(ER60:ER67)</f>
        <v>1.3822504633239002E-2</v>
      </c>
      <c r="EQ71" s="437">
        <f>MAX(ER12:ER67)</f>
        <v>1.7506758436405867E-2</v>
      </c>
      <c r="ER71" s="439">
        <f>MIN(ER12:ER67)</f>
        <v>8.4528673814772016E-3</v>
      </c>
      <c r="ES71" s="148"/>
      <c r="ET71" s="149"/>
      <c r="EU71" s="149"/>
      <c r="EV71" s="149"/>
      <c r="EW71" s="434">
        <f>MAX(EW12:EW67)</f>
        <v>118.86969695014415</v>
      </c>
      <c r="EX71" s="434">
        <f>MIN(EW12:EW67)</f>
        <v>53.527261580395937</v>
      </c>
      <c r="EY71" s="425">
        <f>AVERAGE(FA60:FA67)</f>
        <v>9.6812032286474961E-3</v>
      </c>
      <c r="EZ71" s="433">
        <f>MAX(FA12:FA67)</f>
        <v>1.3058299126677376E-2</v>
      </c>
      <c r="FA71" s="440">
        <f>MIN(FA12:FA67)</f>
        <v>5.8196038792526364E-3</v>
      </c>
      <c r="FB71" s="296"/>
      <c r="FC71" s="299"/>
      <c r="FD71" s="295"/>
      <c r="FE71" s="300"/>
      <c r="FF71" s="133"/>
      <c r="FG71" s="391">
        <f>AVERAGE(FG13:FG67)</f>
        <v>9.5808497415862341E-3</v>
      </c>
      <c r="FH71" s="55"/>
      <c r="FI71" s="55"/>
      <c r="FJ71" s="130"/>
      <c r="FK71" s="441"/>
      <c r="FL71" s="391">
        <f>AVERAGE(FL13:FL67)</f>
        <v>6.5204003330194315E-3</v>
      </c>
      <c r="FM71" s="52"/>
      <c r="FN71" s="52"/>
      <c r="FO71" s="53"/>
      <c r="FP71" s="277"/>
      <c r="FQ71" s="184"/>
      <c r="FR71" s="138"/>
      <c r="FS71" s="172"/>
      <c r="FT71" s="146"/>
      <c r="FU71" s="171"/>
      <c r="FV71" s="138"/>
      <c r="FW71" s="172"/>
      <c r="FX71" s="146"/>
      <c r="FY71" s="171"/>
    </row>
    <row r="72" spans="1:181" ht="12.15" customHeight="1" thickBot="1" x14ac:dyDescent="0.35">
      <c r="A72" s="2" t="s">
        <v>366</v>
      </c>
      <c r="L72" s="281"/>
      <c r="M72" s="285"/>
      <c r="N72" s="128"/>
      <c r="O72" s="128"/>
      <c r="P72" s="128"/>
      <c r="Q72" s="44"/>
      <c r="R72" s="162"/>
      <c r="S72" s="157"/>
      <c r="T72" s="128"/>
      <c r="U72" s="128"/>
      <c r="V72" s="128"/>
      <c r="W72" s="44"/>
      <c r="X72" s="162"/>
      <c r="Y72" s="117"/>
      <c r="Z72" s="38"/>
      <c r="AA72" s="39"/>
      <c r="AB72" s="166"/>
      <c r="AC72" s="164"/>
      <c r="AD72" s="251"/>
      <c r="AE72" s="515"/>
      <c r="AF72" s="251"/>
      <c r="AG72" s="515"/>
      <c r="AH72" s="43"/>
      <c r="AI72" s="44"/>
      <c r="AJ72" s="44"/>
      <c r="AK72" s="162"/>
      <c r="AL72" s="43"/>
      <c r="AM72" s="44"/>
      <c r="AN72" s="44"/>
      <c r="AO72" s="162"/>
      <c r="AP72" s="43"/>
      <c r="AQ72" s="44"/>
      <c r="AR72" s="44"/>
      <c r="AS72" s="162"/>
      <c r="AT72" s="251"/>
      <c r="AU72" s="44"/>
      <c r="AV72" s="44"/>
      <c r="AW72" s="162"/>
      <c r="AX72" s="250"/>
      <c r="AY72" s="46"/>
      <c r="AZ72" s="137"/>
      <c r="BA72" s="253"/>
      <c r="BB72" s="250"/>
      <c r="BC72" s="126"/>
      <c r="BD72" s="46"/>
      <c r="BE72" s="46"/>
      <c r="BF72" s="46"/>
      <c r="BG72" s="46"/>
      <c r="BH72" s="46"/>
      <c r="BI72" s="170"/>
      <c r="BJ72" s="137"/>
      <c r="BK72" s="46"/>
      <c r="BL72" s="46"/>
      <c r="BM72" s="46"/>
      <c r="BN72" s="46"/>
      <c r="BO72" s="46"/>
      <c r="BP72" s="46"/>
      <c r="BQ72" s="170"/>
      <c r="BR72" s="137"/>
      <c r="BS72" s="45"/>
      <c r="BT72" s="45"/>
      <c r="BU72" s="46"/>
      <c r="BV72" s="45"/>
      <c r="BW72" s="45"/>
      <c r="BX72" s="46"/>
      <c r="BY72" s="224"/>
      <c r="BZ72" s="137"/>
      <c r="CA72" s="45"/>
      <c r="CB72" s="45"/>
      <c r="CC72" s="46"/>
      <c r="CD72" s="45"/>
      <c r="CE72" s="45"/>
      <c r="CF72" s="46"/>
      <c r="CG72" s="224"/>
      <c r="CH72" s="45"/>
      <c r="CI72" s="46"/>
      <c r="CJ72" s="46"/>
      <c r="CK72" s="46"/>
      <c r="CL72" s="46"/>
      <c r="CM72" s="46"/>
      <c r="CN72" s="47"/>
      <c r="CO72" s="47"/>
      <c r="CP72" s="244"/>
      <c r="CQ72" s="245"/>
      <c r="CR72" s="47"/>
      <c r="CS72" s="46"/>
      <c r="CT72" s="46"/>
      <c r="CU72" s="46"/>
      <c r="CV72" s="46"/>
      <c r="CW72" s="47"/>
      <c r="CX72" s="47"/>
      <c r="CY72" s="48"/>
      <c r="CZ72" s="49"/>
      <c r="DA72" s="41"/>
      <c r="DB72" s="41"/>
      <c r="DC72" s="276" t="s">
        <v>182</v>
      </c>
      <c r="DD72" s="276" t="s">
        <v>252</v>
      </c>
      <c r="DE72" s="126" t="s">
        <v>250</v>
      </c>
      <c r="DF72" s="126" t="s">
        <v>251</v>
      </c>
      <c r="DG72" s="456" t="s">
        <v>253</v>
      </c>
      <c r="DH72" s="39"/>
      <c r="DI72" s="38"/>
      <c r="DJ72" s="41"/>
      <c r="DK72" s="41"/>
      <c r="DL72" s="276" t="s">
        <v>182</v>
      </c>
      <c r="DM72" s="276" t="s">
        <v>252</v>
      </c>
      <c r="DN72" s="126" t="s">
        <v>250</v>
      </c>
      <c r="DO72" s="126" t="s">
        <v>251</v>
      </c>
      <c r="DP72" s="456" t="s">
        <v>253</v>
      </c>
      <c r="DQ72" s="39"/>
      <c r="DR72" s="137"/>
      <c r="DS72" s="45"/>
      <c r="DT72" s="276" t="s">
        <v>182</v>
      </c>
      <c r="DU72" s="126" t="s">
        <v>347</v>
      </c>
      <c r="DV72" s="126" t="s">
        <v>56</v>
      </c>
      <c r="DW72" s="126" t="s">
        <v>107</v>
      </c>
      <c r="DX72" s="126" t="s">
        <v>229</v>
      </c>
      <c r="DY72" s="126" t="s">
        <v>219</v>
      </c>
      <c r="DZ72" s="126" t="s">
        <v>220</v>
      </c>
      <c r="EA72" s="137"/>
      <c r="EB72" s="45"/>
      <c r="EC72" s="45"/>
      <c r="ED72" s="276" t="s">
        <v>182</v>
      </c>
      <c r="EE72" s="126" t="s">
        <v>56</v>
      </c>
      <c r="EF72" s="126" t="s">
        <v>107</v>
      </c>
      <c r="EG72" s="126" t="s">
        <v>229</v>
      </c>
      <c r="EH72" s="126" t="s">
        <v>219</v>
      </c>
      <c r="EI72" s="248" t="s">
        <v>220</v>
      </c>
      <c r="EJ72" s="137"/>
      <c r="EK72" s="46"/>
      <c r="EL72" s="46"/>
      <c r="EM72" s="276" t="s">
        <v>182</v>
      </c>
      <c r="EN72" s="126" t="s">
        <v>56</v>
      </c>
      <c r="EO72" s="126" t="s">
        <v>107</v>
      </c>
      <c r="EP72" s="126" t="s">
        <v>230</v>
      </c>
      <c r="EQ72" s="126" t="s">
        <v>219</v>
      </c>
      <c r="ER72" s="162" t="s">
        <v>220</v>
      </c>
      <c r="ES72" s="45"/>
      <c r="ET72" s="46"/>
      <c r="EU72" s="46"/>
      <c r="EV72" s="426" t="s">
        <v>182</v>
      </c>
      <c r="EW72" s="126" t="s">
        <v>56</v>
      </c>
      <c r="EX72" s="126" t="s">
        <v>107</v>
      </c>
      <c r="EY72" s="126" t="s">
        <v>230</v>
      </c>
      <c r="EZ72" s="126" t="s">
        <v>219</v>
      </c>
      <c r="FA72" s="162" t="s">
        <v>220</v>
      </c>
      <c r="FB72" s="294"/>
      <c r="FC72" s="298"/>
      <c r="FD72" s="294"/>
      <c r="FE72" s="298"/>
      <c r="FF72" s="132"/>
      <c r="FG72" s="126" t="s">
        <v>281</v>
      </c>
      <c r="FH72" s="56"/>
      <c r="FI72" s="56"/>
      <c r="FJ72" s="123"/>
      <c r="FK72" s="445"/>
      <c r="FL72" s="126" t="s">
        <v>281</v>
      </c>
      <c r="FM72" s="56"/>
      <c r="FN72" s="56"/>
      <c r="FO72" s="123"/>
      <c r="FP72" s="224"/>
      <c r="FQ72" s="173"/>
      <c r="FR72" s="137"/>
      <c r="FS72" s="170"/>
      <c r="FT72" s="137"/>
      <c r="FU72" s="170"/>
      <c r="FV72" s="137"/>
      <c r="FW72" s="170"/>
      <c r="FX72" s="137"/>
      <c r="FY72" s="170"/>
    </row>
    <row r="73" spans="1:181" x14ac:dyDescent="0.3">
      <c r="A73" s="240" t="s">
        <v>357</v>
      </c>
      <c r="G73" s="116"/>
      <c r="L73" s="280"/>
      <c r="M73" s="286"/>
      <c r="N73" s="287"/>
      <c r="O73" s="288"/>
      <c r="P73" s="452" t="s">
        <v>182</v>
      </c>
      <c r="Q73" s="125" t="s">
        <v>180</v>
      </c>
      <c r="R73" s="453">
        <f>AVERAGE(R48:R69)</f>
        <v>68980.952380952382</v>
      </c>
      <c r="S73" s="292"/>
      <c r="T73" s="289"/>
      <c r="U73" s="282"/>
      <c r="V73" s="454" t="s">
        <v>182</v>
      </c>
      <c r="W73" s="147" t="s">
        <v>180</v>
      </c>
      <c r="X73" s="453">
        <f>AVERAGE(X48:X69)</f>
        <v>110474.90476190476</v>
      </c>
      <c r="Y73" s="117"/>
      <c r="Z73" s="124"/>
      <c r="AA73" s="54"/>
      <c r="AB73" s="167"/>
      <c r="AC73" s="163"/>
      <c r="AD73" s="127"/>
      <c r="AE73" s="514"/>
      <c r="AF73" s="448"/>
      <c r="AG73" s="520"/>
      <c r="AH73" s="150"/>
      <c r="AI73" s="125" t="s">
        <v>182</v>
      </c>
      <c r="AJ73" s="125" t="s">
        <v>180</v>
      </c>
      <c r="AK73" s="469">
        <f>AVERAGE(AK48:AK69)</f>
        <v>0.15289485128232774</v>
      </c>
      <c r="AL73" s="470"/>
      <c r="AM73" s="147" t="s">
        <v>182</v>
      </c>
      <c r="AN73" s="147" t="s">
        <v>180</v>
      </c>
      <c r="AO73" s="469">
        <f>AVERAGE(AO48:AO69)</f>
        <v>0.11020353489422777</v>
      </c>
      <c r="AP73" s="150"/>
      <c r="AQ73" s="125" t="s">
        <v>182</v>
      </c>
      <c r="AR73" s="125" t="s">
        <v>180</v>
      </c>
      <c r="AS73" s="392">
        <f>AVERAGE(AS48:AS69)</f>
        <v>0.19464594776505836</v>
      </c>
      <c r="AT73" s="449"/>
      <c r="AU73" s="147" t="s">
        <v>182</v>
      </c>
      <c r="AV73" s="147" t="s">
        <v>180</v>
      </c>
      <c r="AW73" s="392">
        <f>AVERAGE(AW48:AW69)</f>
        <v>0.13531035035778866</v>
      </c>
      <c r="AX73" s="124"/>
      <c r="AY73" s="14"/>
      <c r="AZ73" s="146"/>
      <c r="BA73" s="483"/>
      <c r="BB73" s="124"/>
      <c r="BC73" s="125"/>
      <c r="BD73" s="14"/>
      <c r="BE73" s="14"/>
      <c r="BF73" s="14"/>
      <c r="BG73" s="14"/>
      <c r="BH73" s="14"/>
      <c r="BI73" s="172"/>
      <c r="BJ73" s="146"/>
      <c r="BK73" s="149"/>
      <c r="BL73" s="149"/>
      <c r="BM73" s="149"/>
      <c r="BN73" s="149"/>
      <c r="BO73" s="149"/>
      <c r="BP73" s="149"/>
      <c r="BQ73" s="171"/>
      <c r="BR73" s="138"/>
      <c r="BS73" s="13"/>
      <c r="BT73" s="13"/>
      <c r="BU73" s="14"/>
      <c r="BV73" s="13"/>
      <c r="BW73" s="13"/>
      <c r="BX73" s="14"/>
      <c r="BY73" s="277"/>
      <c r="BZ73" s="146"/>
      <c r="CA73" s="148"/>
      <c r="CB73" s="148"/>
      <c r="CC73" s="149"/>
      <c r="CD73" s="148"/>
      <c r="CE73" s="148"/>
      <c r="CF73" s="149"/>
      <c r="CG73" s="225"/>
      <c r="CH73" s="13"/>
      <c r="CI73" s="14"/>
      <c r="CJ73" s="14"/>
      <c r="CK73" s="14"/>
      <c r="CL73" s="14"/>
      <c r="CM73" s="14"/>
      <c r="CN73" s="15"/>
      <c r="CO73" s="15"/>
      <c r="CP73" s="246"/>
      <c r="CQ73" s="247"/>
      <c r="CR73" s="144"/>
      <c r="CS73" s="149"/>
      <c r="CT73" s="149"/>
      <c r="CU73" s="149"/>
      <c r="CV73" s="149"/>
      <c r="CW73" s="144"/>
      <c r="CX73" s="144"/>
      <c r="CY73" s="145"/>
      <c r="CZ73" s="8"/>
      <c r="DA73" s="7"/>
      <c r="DB73" s="7"/>
      <c r="DC73" s="7"/>
      <c r="DD73" s="457">
        <f>ROUNDDOWN(DE73,0)-'Base Data'!$D$16</f>
        <v>84</v>
      </c>
      <c r="DE73" s="457">
        <f>MAX(DF18:DF69)</f>
        <v>86.826069704833259</v>
      </c>
      <c r="DF73" s="340">
        <f>MIN(DF18:DF69)</f>
        <v>45.477116392802742</v>
      </c>
      <c r="DG73" s="340">
        <f>ROUNDUP(DF73,0)+'Base Data'!$E$16</f>
        <v>48</v>
      </c>
      <c r="DH73" s="16"/>
      <c r="DI73" s="140"/>
      <c r="DJ73" s="9"/>
      <c r="DK73" s="9"/>
      <c r="DL73" s="9"/>
      <c r="DM73" s="455">
        <f>ROUNDDOWN(DN73,0)-'Base Data'!$D$16</f>
        <v>77</v>
      </c>
      <c r="DN73" s="455">
        <f>MAX(DO18:DO69)</f>
        <v>79.289902763201951</v>
      </c>
      <c r="DO73" s="348">
        <f>MIN(DO18:DO69)</f>
        <v>28.954253470718044</v>
      </c>
      <c r="DP73" s="348">
        <f>ROUNDUP(DO73,0)+'Base Data'!$E$16</f>
        <v>31</v>
      </c>
      <c r="DQ73" s="145"/>
      <c r="DR73" s="138"/>
      <c r="DS73" s="13"/>
      <c r="DT73" s="13"/>
      <c r="DU73" s="528">
        <f>AVERAGE(DV48:DV69)</f>
        <v>267.94592322655274</v>
      </c>
      <c r="DV73" s="436">
        <f>MAX(DV25:DV69)</f>
        <v>580.71406141360444</v>
      </c>
      <c r="DW73" s="436">
        <f>MIN(DV25:DV69)</f>
        <v>216.08479125321904</v>
      </c>
      <c r="DX73" s="425">
        <f>AVERAGE(DZ48:DZ69)</f>
        <v>1.1538385497051509E-2</v>
      </c>
      <c r="DY73" s="437">
        <f>MAX(DZ25:DZ69)</f>
        <v>2.2468628503305384E-2</v>
      </c>
      <c r="DZ73" s="438">
        <f>MIN(DZ25:DZ69)</f>
        <v>9.4233018003313882E-3</v>
      </c>
      <c r="EA73" s="146"/>
      <c r="EB73" s="148"/>
      <c r="EC73" s="148"/>
      <c r="ED73" s="148"/>
      <c r="EE73" s="434">
        <f>MAX(EE25:EE69)</f>
        <v>168.6525695369254</v>
      </c>
      <c r="EF73" s="434">
        <f>MIN(EE25:EE69)</f>
        <v>63.960252642792724</v>
      </c>
      <c r="EG73" s="425">
        <f>AVERAGE(EI48:EI69)</f>
        <v>8.2037373438396816E-3</v>
      </c>
      <c r="EH73" s="433">
        <f>MAX(EI25:EI69)</f>
        <v>1.5880955341618996E-2</v>
      </c>
      <c r="EI73" s="435">
        <f>MIN(EI25:EI69)</f>
        <v>6.712217639885166E-3</v>
      </c>
      <c r="EJ73" s="138"/>
      <c r="EK73" s="14"/>
      <c r="EL73" s="14"/>
      <c r="EM73" s="14"/>
      <c r="EN73" s="436">
        <f>MAX(EN12:EN69)</f>
        <v>988.85748877258254</v>
      </c>
      <c r="EO73" s="436">
        <f>MIN(EN12:EN69)</f>
        <v>193.83185663791556</v>
      </c>
      <c r="EP73" s="425">
        <f>AVERAGE(ER61:ER69)</f>
        <v>1.7381501352947821E-2</v>
      </c>
      <c r="EQ73" s="437">
        <f>MAX(ER12:ER69)</f>
        <v>3.8260261003251334E-2</v>
      </c>
      <c r="ER73" s="439">
        <f>MIN(ER12:ER69)</f>
        <v>8.4528673814772016E-3</v>
      </c>
      <c r="ES73" s="148"/>
      <c r="ET73" s="149"/>
      <c r="EU73" s="149"/>
      <c r="EV73" s="149"/>
      <c r="EW73" s="434">
        <f>MAX(EW12:EW69)</f>
        <v>305.12346013253546</v>
      </c>
      <c r="EX73" s="434">
        <f>MIN(EW12:EW69)</f>
        <v>53.527261580395937</v>
      </c>
      <c r="EY73" s="425">
        <f>AVERAGE(FA61:FA69)</f>
        <v>1.2132899190152611E-2</v>
      </c>
      <c r="EZ73" s="433">
        <f>MAX(FA12:FA69)</f>
        <v>2.8731563695411917E-2</v>
      </c>
      <c r="FA73" s="440">
        <f>MIN(FA12:FA69)</f>
        <v>5.8196038792526364E-3</v>
      </c>
      <c r="FB73" s="296"/>
      <c r="FC73" s="299"/>
      <c r="FD73" s="295"/>
      <c r="FE73" s="300"/>
      <c r="FF73" s="133"/>
      <c r="FG73" s="391">
        <f>AVERAGE(FG14:FG69)</f>
        <v>9.5637766732543199E-3</v>
      </c>
      <c r="FH73" s="55"/>
      <c r="FI73" s="55"/>
      <c r="FJ73" s="130"/>
      <c r="FK73" s="441"/>
      <c r="FL73" s="391">
        <f>AVERAGE(FL14:FL69)</f>
        <v>6.4854967650267454E-3</v>
      </c>
      <c r="FM73" s="52"/>
      <c r="FN73" s="52"/>
      <c r="FO73" s="53"/>
      <c r="FP73" s="277"/>
      <c r="FQ73" s="184"/>
      <c r="FR73" s="138"/>
      <c r="FS73" s="172"/>
      <c r="FT73" s="146"/>
      <c r="FU73" s="171"/>
      <c r="FV73" s="138"/>
      <c r="FW73" s="172"/>
      <c r="FX73" s="146"/>
      <c r="FY73" s="171"/>
    </row>
    <row r="74" spans="1:181" ht="11.15" thickBot="1" x14ac:dyDescent="0.35">
      <c r="A74" s="240" t="s">
        <v>359</v>
      </c>
      <c r="G74" s="116"/>
      <c r="L74" s="281"/>
      <c r="M74" s="285"/>
      <c r="N74" s="128"/>
      <c r="O74" s="128"/>
      <c r="P74" s="128"/>
      <c r="Q74" s="128"/>
      <c r="R74" s="129"/>
      <c r="S74" s="293"/>
      <c r="T74" s="128"/>
      <c r="U74" s="128"/>
      <c r="V74" s="128"/>
      <c r="W74" s="128"/>
      <c r="X74" s="129"/>
      <c r="Y74" s="117"/>
      <c r="Z74" s="38"/>
      <c r="AA74" s="39"/>
      <c r="AB74" s="49"/>
      <c r="AC74" s="39"/>
      <c r="AD74" s="251"/>
      <c r="AE74" s="519"/>
      <c r="AF74" s="251"/>
      <c r="AG74" s="519"/>
      <c r="AH74" s="49"/>
      <c r="AI74" s="41"/>
      <c r="AJ74" s="41"/>
      <c r="AK74" s="39"/>
      <c r="AL74" s="49"/>
      <c r="AM74" s="41"/>
      <c r="AN74" s="41"/>
      <c r="AO74" s="39"/>
      <c r="AP74" s="49"/>
      <c r="AQ74" s="41"/>
      <c r="AR74" s="41"/>
      <c r="AS74" s="39"/>
      <c r="AT74" s="38"/>
      <c r="AU74" s="41"/>
      <c r="AV74" s="41"/>
      <c r="AW74" s="39"/>
      <c r="AX74" s="38"/>
      <c r="AY74" s="46"/>
      <c r="AZ74" s="137"/>
      <c r="BA74" s="253"/>
      <c r="BB74" s="38"/>
      <c r="BC74" s="41"/>
      <c r="BD74" s="46"/>
      <c r="BE74" s="46"/>
      <c r="BF74" s="46"/>
      <c r="BG74" s="46"/>
      <c r="BH74" s="46"/>
      <c r="BI74" s="170"/>
      <c r="BJ74" s="137"/>
      <c r="BK74" s="46"/>
      <c r="BL74" s="46"/>
      <c r="BM74" s="46"/>
      <c r="BN74" s="46"/>
      <c r="BO74" s="46"/>
      <c r="BP74" s="46"/>
      <c r="BQ74" s="170"/>
      <c r="BR74" s="137"/>
      <c r="BS74" s="45"/>
      <c r="BT74" s="45"/>
      <c r="BU74" s="46"/>
      <c r="BV74" s="45"/>
      <c r="BW74" s="45"/>
      <c r="BX74" s="46"/>
      <c r="BY74" s="224"/>
      <c r="BZ74" s="137"/>
      <c r="CA74" s="45"/>
      <c r="CB74" s="45"/>
      <c r="CC74" s="46"/>
      <c r="CD74" s="45"/>
      <c r="CE74" s="45"/>
      <c r="CF74" s="46"/>
      <c r="CG74" s="224"/>
      <c r="CH74" s="45"/>
      <c r="CI74" s="46"/>
      <c r="CJ74" s="46"/>
      <c r="CK74" s="46"/>
      <c r="CL74" s="46"/>
      <c r="CM74" s="46"/>
      <c r="CN74" s="47"/>
      <c r="CO74" s="47"/>
      <c r="CP74" s="244"/>
      <c r="CQ74" s="245"/>
      <c r="CR74" s="47"/>
      <c r="CS74" s="46"/>
      <c r="CT74" s="46"/>
      <c r="CU74" s="46"/>
      <c r="CV74" s="46"/>
      <c r="CW74" s="47"/>
      <c r="CX74" s="47"/>
      <c r="CY74" s="48"/>
      <c r="CZ74" s="49"/>
      <c r="DA74" s="41"/>
      <c r="DB74" s="41"/>
      <c r="DC74" s="41"/>
      <c r="DD74" s="41"/>
      <c r="DE74" s="41"/>
      <c r="DF74" s="41"/>
      <c r="DG74" s="41"/>
      <c r="DH74" s="39"/>
      <c r="DI74" s="38"/>
      <c r="DJ74" s="41"/>
      <c r="DK74" s="41"/>
      <c r="DL74" s="41"/>
      <c r="DM74" s="41"/>
      <c r="DN74" s="41"/>
      <c r="DO74" s="41"/>
      <c r="DP74" s="41"/>
      <c r="DQ74" s="39"/>
      <c r="DR74" s="137"/>
      <c r="DS74" s="45"/>
      <c r="DT74" s="45"/>
      <c r="DU74" s="45"/>
      <c r="DV74" s="41"/>
      <c r="DW74" s="41"/>
      <c r="DX74" s="41"/>
      <c r="DY74" s="56"/>
      <c r="DZ74" s="275"/>
      <c r="EA74" s="137"/>
      <c r="EB74" s="45"/>
      <c r="EC74" s="45"/>
      <c r="ED74" s="45"/>
      <c r="EE74" s="41"/>
      <c r="EF74" s="41"/>
      <c r="EG74" s="41"/>
      <c r="EH74" s="41"/>
      <c r="EI74" s="274"/>
      <c r="EJ74" s="137"/>
      <c r="EK74" s="46"/>
      <c r="EL74" s="46"/>
      <c r="EM74" s="46"/>
      <c r="EN74" s="41"/>
      <c r="EO74" s="41"/>
      <c r="EP74" s="41"/>
      <c r="EQ74" s="56"/>
      <c r="ER74" s="123"/>
      <c r="ES74" s="45"/>
      <c r="ET74" s="46"/>
      <c r="EU74" s="46"/>
      <c r="EV74" s="46"/>
      <c r="EW74" s="41"/>
      <c r="EX74" s="41"/>
      <c r="EY74" s="41"/>
      <c r="EZ74" s="41"/>
      <c r="FA74" s="39"/>
      <c r="FB74" s="137"/>
      <c r="FC74" s="170"/>
      <c r="FD74" s="137"/>
      <c r="FE74" s="170"/>
      <c r="FF74" s="132"/>
      <c r="FG74" s="56"/>
      <c r="FH74" s="56"/>
      <c r="FI74" s="56"/>
      <c r="FJ74" s="123"/>
      <c r="FK74" s="445"/>
      <c r="FL74" s="56"/>
      <c r="FM74" s="56"/>
      <c r="FN74" s="56"/>
      <c r="FO74" s="123"/>
      <c r="FP74" s="224"/>
      <c r="FQ74" s="173"/>
      <c r="FR74" s="137"/>
      <c r="FS74" s="170"/>
      <c r="FT74" s="137"/>
      <c r="FU74" s="170"/>
      <c r="FV74" s="137"/>
      <c r="FW74" s="170"/>
      <c r="FX74" s="137"/>
      <c r="FY74" s="170"/>
    </row>
    <row r="75" spans="1:181" x14ac:dyDescent="0.3">
      <c r="A75" s="5" t="s">
        <v>367</v>
      </c>
      <c r="DY75" s="57"/>
      <c r="DZ75" s="57"/>
      <c r="EQ75" s="57"/>
      <c r="ER75" s="57"/>
    </row>
    <row r="76" spans="1:181" x14ac:dyDescent="0.3">
      <c r="B76" s="592" t="s">
        <v>368</v>
      </c>
      <c r="C76" s="592"/>
      <c r="D76" s="592"/>
      <c r="E76" s="593" t="s">
        <v>371</v>
      </c>
      <c r="F76" s="593"/>
      <c r="G76" s="593"/>
      <c r="H76" s="117">
        <f>SUM(H77:H80)</f>
        <v>156.5</v>
      </c>
      <c r="J76" s="223"/>
      <c r="K76" s="223"/>
      <c r="M76" s="57"/>
      <c r="N76" s="223"/>
      <c r="O76" s="223"/>
      <c r="P76" s="223"/>
      <c r="Q76" s="223"/>
      <c r="S76" s="223"/>
      <c r="T76" s="223"/>
      <c r="U76" s="223"/>
      <c r="V76" s="223"/>
      <c r="W76" s="223"/>
      <c r="AY76" s="476"/>
      <c r="CZ76" s="524"/>
      <c r="DY76" s="57"/>
      <c r="DZ76" s="57"/>
      <c r="EQ76" s="57"/>
      <c r="ER76" s="57"/>
    </row>
    <row r="77" spans="1:181" ht="11.3" customHeight="1" x14ac:dyDescent="0.3">
      <c r="A77" s="2" t="s">
        <v>362</v>
      </c>
      <c r="B77" s="2" t="s">
        <v>376</v>
      </c>
      <c r="D77" s="116">
        <f>$D$81+(1*($O$66-$P$66))</f>
        <v>23458.5625</v>
      </c>
      <c r="E77" s="116"/>
      <c r="F77" s="116"/>
      <c r="G77" s="117">
        <f>SUM(G78:G80)</f>
        <v>273.46250000000146</v>
      </c>
      <c r="H77" s="116">
        <f>D77-D78</f>
        <v>59.782999999999447</v>
      </c>
      <c r="J77" s="223"/>
      <c r="K77" s="223"/>
      <c r="M77" s="57"/>
      <c r="N77" s="223"/>
      <c r="O77" s="223"/>
      <c r="P77" s="223"/>
      <c r="Q77" s="223"/>
      <c r="S77" s="223"/>
      <c r="T77" s="223"/>
      <c r="U77" s="223"/>
      <c r="V77" s="223"/>
      <c r="W77" s="223"/>
      <c r="CZ77" s="524"/>
      <c r="DY77" s="57"/>
      <c r="DZ77" s="57"/>
      <c r="EQ77" s="57"/>
      <c r="ER77" s="57"/>
    </row>
    <row r="78" spans="1:181" x14ac:dyDescent="0.3">
      <c r="A78" s="2" t="s">
        <v>352</v>
      </c>
      <c r="B78" s="2" t="s">
        <v>377</v>
      </c>
      <c r="D78" s="116">
        <f>$D$81+(0.618*($O$66-$P$66))</f>
        <v>23398.779500000001</v>
      </c>
      <c r="E78" s="116">
        <f>$O$66+(2*($E$81-$P$66))</f>
        <v>23575.525000000001</v>
      </c>
      <c r="F78" s="116" t="s">
        <v>384</v>
      </c>
      <c r="G78" s="116">
        <f>E78-E79</f>
        <v>116.96250000000146</v>
      </c>
      <c r="H78" s="116">
        <f t="shared" ref="H78:H80" si="292">D78-D79</f>
        <v>36.934000000001106</v>
      </c>
      <c r="I78" s="2" t="s">
        <v>386</v>
      </c>
      <c r="J78" s="116" t="s">
        <v>384</v>
      </c>
      <c r="L78" s="116">
        <f>$O$66+(2*($E$81-$P$66))</f>
        <v>23575.525000000001</v>
      </c>
      <c r="M78" s="529">
        <f t="shared" ref="M78:M82" si="293">L78-L79</f>
        <v>116.96250000000146</v>
      </c>
      <c r="N78" s="223"/>
      <c r="O78" s="223"/>
      <c r="P78" s="223"/>
      <c r="Q78" s="223"/>
      <c r="S78" s="223"/>
      <c r="T78" s="223"/>
      <c r="U78" s="223"/>
      <c r="V78" s="223"/>
      <c r="W78" s="223"/>
      <c r="DY78" s="57"/>
      <c r="DZ78" s="57"/>
      <c r="EQ78" s="57"/>
      <c r="ER78" s="57"/>
    </row>
    <row r="79" spans="1:181" x14ac:dyDescent="0.3">
      <c r="A79" s="2" t="s">
        <v>353</v>
      </c>
      <c r="B79" s="2" t="s">
        <v>378</v>
      </c>
      <c r="D79" s="116">
        <f>$D$81+(0.382*($O$66-$P$66))</f>
        <v>23361.845499999999</v>
      </c>
      <c r="E79" s="116">
        <f>$E$81+($O$66-$P$66)</f>
        <v>23458.5625</v>
      </c>
      <c r="F79" s="116" t="s">
        <v>374</v>
      </c>
      <c r="G79" s="116">
        <f t="shared" ref="G79:G80" si="294">E79-E80</f>
        <v>39.537499999998545</v>
      </c>
      <c r="H79" s="116">
        <f t="shared" si="292"/>
        <v>22.848999999998341</v>
      </c>
      <c r="I79" s="2" t="s">
        <v>387</v>
      </c>
      <c r="J79" s="2" t="s">
        <v>376</v>
      </c>
      <c r="L79" s="116">
        <f>$E$81+($O$66-$P$66)</f>
        <v>23458.5625</v>
      </c>
      <c r="M79" s="529">
        <f t="shared" si="293"/>
        <v>39.537499999998545</v>
      </c>
      <c r="N79" s="223"/>
      <c r="O79" s="223"/>
      <c r="P79" s="223"/>
      <c r="Q79" s="223"/>
      <c r="S79" s="223"/>
      <c r="T79" s="223"/>
      <c r="U79" s="223"/>
      <c r="V79" s="223"/>
      <c r="W79" s="223"/>
      <c r="DY79" s="57"/>
      <c r="DZ79" s="57"/>
      <c r="EQ79" s="57"/>
      <c r="ER79" s="57"/>
    </row>
    <row r="80" spans="1:181" x14ac:dyDescent="0.3">
      <c r="A80" s="2" t="s">
        <v>351</v>
      </c>
      <c r="B80" s="2" t="s">
        <v>379</v>
      </c>
      <c r="D80" s="116">
        <f>$D$81+(0.236*($O$66-$P$66))</f>
        <v>23338.996500000001</v>
      </c>
      <c r="E80" s="116">
        <f>(2*$E$81)-$P$66</f>
        <v>23419.025000000001</v>
      </c>
      <c r="F80" s="2" t="s">
        <v>372</v>
      </c>
      <c r="G80" s="116">
        <f t="shared" si="294"/>
        <v>116.96250000000146</v>
      </c>
      <c r="H80" s="116">
        <f t="shared" si="292"/>
        <v>36.934000000001106</v>
      </c>
      <c r="I80" s="2" t="s">
        <v>362</v>
      </c>
      <c r="J80" s="2" t="s">
        <v>372</v>
      </c>
      <c r="L80" s="116">
        <f>(2*$E$81)-$P$66</f>
        <v>23419.025000000001</v>
      </c>
      <c r="M80" s="529">
        <f t="shared" si="293"/>
        <v>20.245500000000902</v>
      </c>
      <c r="S80" s="223"/>
      <c r="DY80" s="57"/>
      <c r="DZ80" s="57"/>
      <c r="EQ80" s="57"/>
      <c r="ER80" s="57"/>
    </row>
    <row r="81" spans="1:148" x14ac:dyDescent="0.3">
      <c r="A81" s="2" t="s">
        <v>350</v>
      </c>
      <c r="B81" s="2" t="s">
        <v>358</v>
      </c>
      <c r="D81" s="116">
        <f>($N$67+$O$66+$P$66+$Q$66)/4</f>
        <v>23302.0625</v>
      </c>
      <c r="E81" s="116">
        <f>($N$67+$O$66+$P$66+$Q$66)/4</f>
        <v>23302.0625</v>
      </c>
      <c r="F81" s="2" t="s">
        <v>358</v>
      </c>
      <c r="G81" s="116"/>
      <c r="I81" s="2" t="s">
        <v>352</v>
      </c>
      <c r="J81" s="2" t="s">
        <v>377</v>
      </c>
      <c r="L81" s="116">
        <f>$D$81+(0.618*($O$66-$P$66))</f>
        <v>23398.779500000001</v>
      </c>
      <c r="M81" s="529">
        <f t="shared" si="293"/>
        <v>36.934000000001106</v>
      </c>
      <c r="N81" s="223"/>
      <c r="O81" s="223"/>
      <c r="P81" s="223"/>
      <c r="Q81" s="223"/>
      <c r="R81" s="223"/>
      <c r="S81" s="223"/>
      <c r="T81" s="223"/>
      <c r="U81" s="223"/>
      <c r="V81" s="223"/>
      <c r="W81" s="223"/>
      <c r="DY81" s="57"/>
      <c r="DZ81" s="57"/>
      <c r="EQ81" s="57"/>
      <c r="ER81" s="57"/>
    </row>
    <row r="82" spans="1:148" x14ac:dyDescent="0.3">
      <c r="A82" s="2" t="s">
        <v>354</v>
      </c>
      <c r="B82" s="2" t="s">
        <v>380</v>
      </c>
      <c r="D82" s="116">
        <f>$D$81-(0.236*($O$66-$P$66))</f>
        <v>23265.128499999999</v>
      </c>
      <c r="E82" s="116">
        <f>(2*$E$81)-$O$66</f>
        <v>23262.525000000001</v>
      </c>
      <c r="F82" s="2" t="s">
        <v>373</v>
      </c>
      <c r="G82" s="116">
        <f>E81-E82</f>
        <v>39.537499999998545</v>
      </c>
      <c r="H82" s="116">
        <f>D81-D82</f>
        <v>36.934000000001106</v>
      </c>
      <c r="I82" s="2" t="s">
        <v>353</v>
      </c>
      <c r="J82" s="2" t="s">
        <v>378</v>
      </c>
      <c r="L82" s="116">
        <f>$D$81+(0.382*($O$66-$P$66))</f>
        <v>23361.845499999999</v>
      </c>
      <c r="M82" s="529">
        <f t="shared" si="293"/>
        <v>22.848999999998341</v>
      </c>
      <c r="N82" s="223"/>
      <c r="O82" s="223"/>
      <c r="P82" s="223"/>
      <c r="Q82" s="223"/>
      <c r="R82" s="223"/>
      <c r="S82" s="223"/>
      <c r="T82" s="223"/>
      <c r="U82" s="223"/>
      <c r="V82" s="223"/>
      <c r="W82" s="223"/>
      <c r="DY82" s="57"/>
      <c r="DZ82" s="57"/>
      <c r="EQ82" s="57"/>
      <c r="ER82" s="57"/>
    </row>
    <row r="83" spans="1:148" x14ac:dyDescent="0.3">
      <c r="A83" s="2" t="s">
        <v>355</v>
      </c>
      <c r="B83" s="2" t="s">
        <v>381</v>
      </c>
      <c r="D83" s="116">
        <f>$D$81-(0.382*($O$66-$P$66))</f>
        <v>23242.279500000001</v>
      </c>
      <c r="E83" s="116">
        <f>$E$81-($O$66-$P$66)</f>
        <v>23145.5625</v>
      </c>
      <c r="F83" s="116" t="s">
        <v>375</v>
      </c>
      <c r="G83" s="116">
        <f t="shared" ref="G83:G84" si="295">E82-E83</f>
        <v>116.96250000000146</v>
      </c>
      <c r="H83" s="116">
        <f t="shared" ref="H83:H85" si="296">D82-D83</f>
        <v>22.848999999998341</v>
      </c>
      <c r="I83" s="2" t="s">
        <v>351</v>
      </c>
      <c r="J83" s="2" t="s">
        <v>379</v>
      </c>
      <c r="L83" s="116">
        <f>$D$81+(0.236*($O$66-$P$66))</f>
        <v>23338.996500000001</v>
      </c>
      <c r="M83" s="529">
        <f>L83-L84</f>
        <v>36.934000000001106</v>
      </c>
      <c r="N83" s="223"/>
      <c r="O83" s="223"/>
      <c r="P83" s="223"/>
      <c r="Q83" s="223"/>
      <c r="R83" s="223"/>
      <c r="S83" s="223"/>
      <c r="T83" s="223"/>
      <c r="U83" s="223"/>
      <c r="V83" s="223"/>
      <c r="W83" s="223"/>
      <c r="DY83" s="57"/>
      <c r="DZ83" s="57"/>
      <c r="EQ83" s="57"/>
      <c r="ER83" s="57"/>
    </row>
    <row r="84" spans="1:148" x14ac:dyDescent="0.3">
      <c r="A84" s="2" t="s">
        <v>356</v>
      </c>
      <c r="B84" s="2" t="s">
        <v>382</v>
      </c>
      <c r="D84" s="116">
        <f>$D$81-(0.618*($O$66-$P$66))</f>
        <v>23205.345499999999</v>
      </c>
      <c r="E84" s="116">
        <f>$P$66-(2*($O$66-$E$81))</f>
        <v>23106.025000000001</v>
      </c>
      <c r="F84" s="2" t="s">
        <v>385</v>
      </c>
      <c r="G84" s="116">
        <f t="shared" si="295"/>
        <v>39.537499999998545</v>
      </c>
      <c r="H84" s="116">
        <f t="shared" si="296"/>
        <v>36.934000000001106</v>
      </c>
      <c r="I84" s="2" t="s">
        <v>350</v>
      </c>
      <c r="J84" s="2" t="s">
        <v>358</v>
      </c>
      <c r="L84" s="116">
        <f>($N$67+$O$66+$P$66+$Q$66)/4</f>
        <v>23302.0625</v>
      </c>
      <c r="M84" s="57"/>
      <c r="N84" s="223"/>
      <c r="O84" s="223"/>
      <c r="P84" s="223"/>
      <c r="Q84" s="223"/>
      <c r="R84" s="223"/>
      <c r="S84" s="223"/>
      <c r="T84" s="223"/>
      <c r="U84" s="223"/>
      <c r="V84" s="223"/>
      <c r="W84" s="223"/>
      <c r="DY84" s="57"/>
      <c r="DZ84" s="57"/>
      <c r="EQ84" s="57"/>
      <c r="ER84" s="57"/>
    </row>
    <row r="85" spans="1:148" x14ac:dyDescent="0.3">
      <c r="A85" s="2" t="s">
        <v>361</v>
      </c>
      <c r="B85" s="2" t="s">
        <v>383</v>
      </c>
      <c r="D85" s="116">
        <f>$D$81-(1*($O$66-$P$66))</f>
        <v>23145.5625</v>
      </c>
      <c r="G85" s="117">
        <f>SUM(G82:G84)</f>
        <v>196.03749999999854</v>
      </c>
      <c r="H85" s="116">
        <f t="shared" si="296"/>
        <v>59.782999999999447</v>
      </c>
      <c r="I85" s="2" t="s">
        <v>354</v>
      </c>
      <c r="J85" s="2" t="s">
        <v>380</v>
      </c>
      <c r="L85" s="116">
        <f>$D$81-(0.236*($O$66-$P$66))</f>
        <v>23265.128499999999</v>
      </c>
      <c r="M85" s="116">
        <f>L84-L85</f>
        <v>36.934000000001106</v>
      </c>
      <c r="S85" s="223"/>
      <c r="DY85" s="57"/>
      <c r="DZ85" s="57"/>
      <c r="EQ85" s="57"/>
      <c r="ER85" s="57"/>
    </row>
    <row r="86" spans="1:148" x14ac:dyDescent="0.3">
      <c r="H86" s="117">
        <f>SUM(H82:H85)</f>
        <v>156.5</v>
      </c>
      <c r="I86" s="2" t="s">
        <v>355</v>
      </c>
      <c r="J86" s="2" t="s">
        <v>381</v>
      </c>
      <c r="L86" s="116">
        <f>$D$81-(0.382*($O$66-$P$66))</f>
        <v>23242.279500000001</v>
      </c>
      <c r="M86" s="116">
        <f t="shared" ref="M86:M87" si="297">L85-L86</f>
        <v>22.848999999998341</v>
      </c>
      <c r="N86" s="223"/>
      <c r="O86" s="223"/>
      <c r="P86" s="223"/>
      <c r="Q86" s="223"/>
      <c r="T86" s="223"/>
      <c r="U86" s="223"/>
      <c r="V86" s="223"/>
      <c r="W86" s="223"/>
      <c r="DY86" s="57"/>
      <c r="DZ86" s="57"/>
      <c r="EQ86" s="57"/>
      <c r="ER86" s="57"/>
    </row>
    <row r="87" spans="1:148" x14ac:dyDescent="0.3">
      <c r="A87" s="5" t="s">
        <v>369</v>
      </c>
      <c r="E87" s="116"/>
      <c r="F87" s="116"/>
      <c r="I87" s="2" t="s">
        <v>356</v>
      </c>
      <c r="J87" s="2" t="s">
        <v>382</v>
      </c>
      <c r="L87" s="116">
        <f>$D$81-(0.618*($O$66-$P$66))</f>
        <v>23205.345499999999</v>
      </c>
      <c r="M87" s="116">
        <f t="shared" si="297"/>
        <v>36.934000000001106</v>
      </c>
      <c r="N87" s="223"/>
      <c r="O87" s="223"/>
      <c r="P87" s="223"/>
      <c r="Q87" s="223"/>
      <c r="T87" s="223"/>
      <c r="U87" s="223"/>
      <c r="V87" s="223"/>
      <c r="W87" s="223"/>
      <c r="DY87" s="57"/>
      <c r="DZ87" s="57"/>
      <c r="EQ87" s="57"/>
      <c r="ER87" s="57"/>
    </row>
    <row r="88" spans="1:148" x14ac:dyDescent="0.3">
      <c r="B88" s="592" t="s">
        <v>370</v>
      </c>
      <c r="C88" s="592"/>
      <c r="D88" s="592"/>
      <c r="E88" s="593" t="s">
        <v>371</v>
      </c>
      <c r="F88" s="593"/>
      <c r="G88" s="593"/>
      <c r="H88" s="117">
        <f>SUM(H89:H92)</f>
        <v>49</v>
      </c>
      <c r="I88" s="240" t="s">
        <v>361</v>
      </c>
      <c r="J88" s="240" t="s">
        <v>373</v>
      </c>
      <c r="K88" s="240"/>
      <c r="L88" s="530">
        <f>(2*$E$81)-$O$66</f>
        <v>23262.525000000001</v>
      </c>
      <c r="M88" s="240"/>
      <c r="N88" s="223"/>
      <c r="O88" s="223"/>
      <c r="P88" s="223"/>
      <c r="Q88" s="223"/>
      <c r="T88" s="223"/>
      <c r="U88" s="223"/>
      <c r="V88" s="223"/>
      <c r="W88" s="223"/>
      <c r="DY88" s="57"/>
      <c r="DZ88" s="57"/>
      <c r="EQ88" s="57"/>
      <c r="ER88" s="57"/>
    </row>
    <row r="89" spans="1:148" x14ac:dyDescent="0.3">
      <c r="A89" s="2" t="s">
        <v>362</v>
      </c>
      <c r="B89" s="2" t="s">
        <v>376</v>
      </c>
      <c r="D89" s="116">
        <f>$D$93+(1*($U$66-$V$66))</f>
        <v>9681.7875000000004</v>
      </c>
      <c r="E89" s="116"/>
      <c r="F89" s="116"/>
      <c r="G89" s="117">
        <f>SUM(G90:G92)</f>
        <v>85.837499999999636</v>
      </c>
      <c r="H89" s="116">
        <f>D89-D90</f>
        <v>18.718000000000757</v>
      </c>
      <c r="I89" s="2" t="s">
        <v>388</v>
      </c>
      <c r="J89" s="2" t="s">
        <v>383</v>
      </c>
      <c r="L89" s="116">
        <f>$E$81-($O$66-$P$66)</f>
        <v>23145.5625</v>
      </c>
      <c r="M89" s="116">
        <f>L87-L89</f>
        <v>59.782999999999447</v>
      </c>
      <c r="N89" s="223"/>
      <c r="O89" s="223"/>
      <c r="P89" s="223"/>
      <c r="Q89" s="223"/>
      <c r="T89" s="223"/>
      <c r="U89" s="223"/>
      <c r="V89" s="223"/>
      <c r="W89" s="223"/>
      <c r="DY89" s="57"/>
      <c r="DZ89" s="57"/>
      <c r="EQ89" s="57"/>
      <c r="ER89" s="57"/>
    </row>
    <row r="90" spans="1:148" x14ac:dyDescent="0.3">
      <c r="A90" s="2" t="s">
        <v>352</v>
      </c>
      <c r="B90" s="2" t="s">
        <v>377</v>
      </c>
      <c r="D90" s="116">
        <f>$D$93+(0.618*($U$66-$V$66))</f>
        <v>9663.0694999999996</v>
      </c>
      <c r="E90" s="116">
        <f>$U$66+(2*($E$93-$V$66))</f>
        <v>9718.625</v>
      </c>
      <c r="F90" s="116" t="s">
        <v>384</v>
      </c>
      <c r="G90" s="116">
        <f>E90-E91</f>
        <v>36.837499999999636</v>
      </c>
      <c r="H90" s="116">
        <f t="shared" ref="H90:H92" si="298">D90-D91</f>
        <v>11.563999999998487</v>
      </c>
      <c r="I90" s="2" t="s">
        <v>389</v>
      </c>
      <c r="J90" s="2" t="s">
        <v>385</v>
      </c>
      <c r="L90" s="116">
        <f>$P$66-(2*($O$66-$E$81))</f>
        <v>23106.025000000001</v>
      </c>
      <c r="M90" s="116">
        <f>L89-L90</f>
        <v>39.537499999998545</v>
      </c>
      <c r="DY90" s="57"/>
      <c r="DZ90" s="57"/>
      <c r="EQ90" s="57"/>
      <c r="ER90" s="57"/>
    </row>
    <row r="91" spans="1:148" x14ac:dyDescent="0.3">
      <c r="A91" s="2" t="s">
        <v>353</v>
      </c>
      <c r="B91" s="2" t="s">
        <v>378</v>
      </c>
      <c r="D91" s="116">
        <f>$D$93+(0.382*($U$66-$V$66))</f>
        <v>9651.5055000000011</v>
      </c>
      <c r="E91" s="116">
        <f>$E$93+($U$66-$V$66)</f>
        <v>9681.7875000000004</v>
      </c>
      <c r="F91" s="116" t="s">
        <v>374</v>
      </c>
      <c r="G91" s="116">
        <f t="shared" ref="G91:G92" si="299">E91-E92</f>
        <v>12.162500000000364</v>
      </c>
      <c r="H91" s="116">
        <f t="shared" si="298"/>
        <v>7.1540000000004511</v>
      </c>
      <c r="J91" s="223"/>
      <c r="K91" s="223"/>
      <c r="O91" s="223"/>
      <c r="P91" s="223"/>
      <c r="U91" s="223"/>
      <c r="V91" s="223"/>
      <c r="DY91" s="57"/>
      <c r="DZ91" s="57"/>
      <c r="EQ91" s="57"/>
      <c r="ER91" s="57"/>
    </row>
    <row r="92" spans="1:148" x14ac:dyDescent="0.3">
      <c r="A92" s="2" t="s">
        <v>351</v>
      </c>
      <c r="B92" s="2" t="s">
        <v>379</v>
      </c>
      <c r="D92" s="116">
        <f>$D$93+(0.236*($U$66-$V$66))</f>
        <v>9644.3515000000007</v>
      </c>
      <c r="E92" s="116">
        <f>(2*$E$93)-$V$66</f>
        <v>9669.625</v>
      </c>
      <c r="F92" s="2" t="s">
        <v>372</v>
      </c>
      <c r="G92" s="116">
        <f t="shared" si="299"/>
        <v>36.837499999999636</v>
      </c>
      <c r="H92" s="116">
        <f t="shared" si="298"/>
        <v>11.564000000000306</v>
      </c>
      <c r="J92" s="223"/>
      <c r="K92" s="223"/>
      <c r="O92" s="223"/>
      <c r="P92" s="223"/>
      <c r="U92" s="223"/>
      <c r="V92" s="223"/>
      <c r="DY92" s="57"/>
      <c r="DZ92" s="57"/>
      <c r="EQ92" s="57"/>
      <c r="ER92" s="57"/>
    </row>
    <row r="93" spans="1:148" x14ac:dyDescent="0.3">
      <c r="A93" s="2" t="s">
        <v>350</v>
      </c>
      <c r="B93" s="2" t="s">
        <v>358</v>
      </c>
      <c r="D93" s="116">
        <f>($T$67+$U$66+$V$66+$W$66)/4</f>
        <v>9632.7875000000004</v>
      </c>
      <c r="E93" s="116">
        <f>($T$67+$U$66+$V$66+$W$66)/4</f>
        <v>9632.7875000000004</v>
      </c>
      <c r="F93" s="2" t="s">
        <v>358</v>
      </c>
      <c r="G93" s="116"/>
      <c r="J93" s="223"/>
      <c r="K93" s="223"/>
      <c r="O93" s="223"/>
      <c r="P93" s="223"/>
      <c r="U93" s="223"/>
      <c r="V93" s="223"/>
      <c r="DY93" s="57"/>
      <c r="DZ93" s="57"/>
      <c r="EQ93" s="57"/>
      <c r="ER93" s="57"/>
    </row>
    <row r="94" spans="1:148" x14ac:dyDescent="0.3">
      <c r="A94" s="2" t="s">
        <v>354</v>
      </c>
      <c r="B94" s="2" t="s">
        <v>380</v>
      </c>
      <c r="D94" s="116">
        <f>$D$93-(0.236*($U$66-$V$66))</f>
        <v>9621.2235000000001</v>
      </c>
      <c r="E94" s="116">
        <f>(2*$E$93)-$U$66</f>
        <v>9620.625</v>
      </c>
      <c r="F94" s="2" t="s">
        <v>373</v>
      </c>
      <c r="G94" s="116">
        <f>E93-E94</f>
        <v>12.162500000000364</v>
      </c>
      <c r="H94" s="116">
        <f>D93-D94</f>
        <v>11.564000000000306</v>
      </c>
      <c r="J94" s="223"/>
      <c r="K94" s="223"/>
      <c r="O94" s="223"/>
      <c r="P94" s="223"/>
      <c r="U94" s="223"/>
      <c r="V94" s="223"/>
      <c r="DY94" s="57"/>
      <c r="DZ94" s="57"/>
      <c r="EQ94" s="57"/>
      <c r="ER94" s="57"/>
    </row>
    <row r="95" spans="1:148" x14ac:dyDescent="0.3">
      <c r="A95" s="2" t="s">
        <v>355</v>
      </c>
      <c r="B95" s="2" t="s">
        <v>381</v>
      </c>
      <c r="D95" s="116">
        <f>$D$93-(0.382*($U$66-$V$66))</f>
        <v>9614.0694999999996</v>
      </c>
      <c r="E95" s="116">
        <f>$E$93-($U$66-$V$66)</f>
        <v>9583.7875000000004</v>
      </c>
      <c r="F95" s="116" t="s">
        <v>375</v>
      </c>
      <c r="G95" s="116">
        <f t="shared" ref="G95:G96" si="300">E94-E95</f>
        <v>36.837499999999636</v>
      </c>
      <c r="H95" s="116">
        <f t="shared" ref="H95:H97" si="301">D94-D95</f>
        <v>7.1540000000004511</v>
      </c>
      <c r="DY95" s="57"/>
      <c r="DZ95" s="57"/>
      <c r="EQ95" s="57"/>
      <c r="ER95" s="57"/>
    </row>
    <row r="96" spans="1:148" x14ac:dyDescent="0.3">
      <c r="A96" s="2" t="s">
        <v>356</v>
      </c>
      <c r="B96" s="2" t="s">
        <v>382</v>
      </c>
      <c r="D96" s="116">
        <f>$D$93-(0.618*($U$66-$V$66))</f>
        <v>9602.5055000000011</v>
      </c>
      <c r="E96" s="116">
        <f>$V$66-(2*($U$66-$E$93))</f>
        <v>9571.625</v>
      </c>
      <c r="F96" s="2" t="s">
        <v>385</v>
      </c>
      <c r="G96" s="116">
        <f t="shared" si="300"/>
        <v>12.162500000000364</v>
      </c>
      <c r="H96" s="116">
        <f t="shared" si="301"/>
        <v>11.563999999998487</v>
      </c>
      <c r="J96" s="223"/>
      <c r="K96" s="223"/>
      <c r="N96" s="223"/>
      <c r="O96" s="223"/>
      <c r="P96" s="223"/>
      <c r="U96" s="223"/>
      <c r="V96" s="223"/>
      <c r="DY96" s="57"/>
      <c r="DZ96" s="57"/>
      <c r="EQ96" s="57"/>
      <c r="ER96" s="57"/>
    </row>
    <row r="97" spans="1:148" x14ac:dyDescent="0.3">
      <c r="A97" s="2" t="s">
        <v>361</v>
      </c>
      <c r="B97" s="2" t="s">
        <v>383</v>
      </c>
      <c r="D97" s="116">
        <f>$D$93-(1*($U$66-$V$66))</f>
        <v>9583.7875000000004</v>
      </c>
      <c r="G97" s="117">
        <f>SUM(G94:G96)</f>
        <v>61.162500000000364</v>
      </c>
      <c r="H97" s="116">
        <f t="shared" si="301"/>
        <v>18.718000000000757</v>
      </c>
      <c r="J97" s="223"/>
      <c r="K97" s="223"/>
      <c r="N97" s="223"/>
      <c r="O97" s="223"/>
      <c r="P97" s="223"/>
      <c r="U97" s="223"/>
      <c r="V97" s="223"/>
      <c r="DY97" s="57"/>
      <c r="DZ97" s="57"/>
      <c r="EQ97" s="57"/>
      <c r="ER97" s="57"/>
    </row>
    <row r="98" spans="1:148" x14ac:dyDescent="0.3">
      <c r="H98" s="117">
        <f>SUM(H94:H97)</f>
        <v>49</v>
      </c>
      <c r="J98" s="223"/>
      <c r="K98" s="223"/>
      <c r="N98" s="223"/>
      <c r="O98" s="223"/>
      <c r="P98" s="223"/>
      <c r="U98" s="223"/>
      <c r="V98" s="223"/>
      <c r="DY98" s="57"/>
      <c r="DZ98" s="57"/>
      <c r="EQ98" s="57"/>
      <c r="ER98" s="57"/>
    </row>
    <row r="99" spans="1:148" x14ac:dyDescent="0.3">
      <c r="J99" s="223"/>
      <c r="K99" s="223"/>
      <c r="N99" s="223"/>
      <c r="O99" s="223"/>
      <c r="P99" s="223"/>
      <c r="U99" s="223"/>
      <c r="V99" s="223"/>
      <c r="DY99" s="57"/>
      <c r="DZ99" s="57"/>
      <c r="EQ99" s="57"/>
      <c r="ER99" s="57"/>
    </row>
    <row r="100" spans="1:148" x14ac:dyDescent="0.3">
      <c r="DY100" s="57"/>
      <c r="DZ100" s="57"/>
      <c r="EQ100" s="57"/>
      <c r="ER100" s="57"/>
    </row>
    <row r="101" spans="1:148" x14ac:dyDescent="0.3">
      <c r="DY101" s="57"/>
      <c r="DZ101" s="57"/>
      <c r="EQ101" s="57"/>
      <c r="ER101" s="57"/>
    </row>
    <row r="102" spans="1:148" x14ac:dyDescent="0.3">
      <c r="DY102" s="57"/>
      <c r="DZ102" s="57"/>
      <c r="EQ102" s="57"/>
      <c r="ER102" s="57"/>
    </row>
    <row r="103" spans="1:148" x14ac:dyDescent="0.3">
      <c r="DY103" s="57"/>
      <c r="DZ103" s="57"/>
      <c r="EQ103" s="57"/>
      <c r="ER103" s="57"/>
    </row>
    <row r="104" spans="1:148" x14ac:dyDescent="0.3">
      <c r="DY104" s="57"/>
      <c r="DZ104" s="57"/>
      <c r="EQ104" s="57"/>
      <c r="ER104" s="57"/>
    </row>
    <row r="105" spans="1:148" x14ac:dyDescent="0.3">
      <c r="DY105" s="57"/>
      <c r="DZ105" s="57"/>
      <c r="EQ105" s="57"/>
      <c r="ER105" s="57"/>
    </row>
    <row r="106" spans="1:148" x14ac:dyDescent="0.3">
      <c r="DY106" s="57"/>
      <c r="DZ106" s="57"/>
      <c r="EQ106" s="57"/>
      <c r="ER106" s="57"/>
    </row>
    <row r="107" spans="1:148" x14ac:dyDescent="0.3">
      <c r="DY107" s="57"/>
      <c r="DZ107" s="57"/>
      <c r="EQ107" s="57"/>
      <c r="ER107" s="57"/>
    </row>
    <row r="108" spans="1:148" x14ac:dyDescent="0.3">
      <c r="DY108" s="57"/>
      <c r="DZ108" s="57"/>
      <c r="EQ108" s="57"/>
      <c r="ER108" s="57"/>
    </row>
    <row r="109" spans="1:148" x14ac:dyDescent="0.3">
      <c r="DY109" s="57"/>
      <c r="DZ109" s="57"/>
      <c r="EQ109" s="57"/>
      <c r="ER109" s="57"/>
    </row>
    <row r="110" spans="1:148" x14ac:dyDescent="0.3">
      <c r="DY110" s="57"/>
      <c r="DZ110" s="57"/>
      <c r="EQ110" s="57"/>
      <c r="ER110" s="57"/>
    </row>
    <row r="111" spans="1:148" x14ac:dyDescent="0.3">
      <c r="DY111" s="57"/>
      <c r="DZ111" s="57"/>
      <c r="EQ111" s="57"/>
      <c r="ER111" s="57"/>
    </row>
    <row r="112" spans="1:148" x14ac:dyDescent="0.3">
      <c r="DY112" s="57"/>
      <c r="DZ112" s="57"/>
      <c r="EQ112" s="57"/>
      <c r="ER112" s="57"/>
    </row>
    <row r="113" spans="129:148" x14ac:dyDescent="0.3">
      <c r="DY113" s="57"/>
      <c r="DZ113" s="57"/>
      <c r="EQ113" s="57"/>
      <c r="ER113" s="57"/>
    </row>
    <row r="114" spans="129:148" x14ac:dyDescent="0.3">
      <c r="DY114" s="57"/>
      <c r="DZ114" s="57"/>
      <c r="EQ114" s="57"/>
      <c r="ER114" s="57"/>
    </row>
    <row r="115" spans="129:148" x14ac:dyDescent="0.3">
      <c r="DY115" s="57"/>
      <c r="DZ115" s="57"/>
      <c r="EQ115" s="57"/>
      <c r="ER115" s="57"/>
    </row>
    <row r="116" spans="129:148" x14ac:dyDescent="0.3">
      <c r="DY116" s="57"/>
      <c r="DZ116" s="57"/>
      <c r="EQ116" s="57"/>
      <c r="ER116" s="57"/>
    </row>
    <row r="117" spans="129:148" x14ac:dyDescent="0.3">
      <c r="DY117" s="57"/>
      <c r="DZ117" s="57"/>
      <c r="EQ117" s="57"/>
      <c r="ER117" s="57"/>
    </row>
    <row r="118" spans="129:148" x14ac:dyDescent="0.3">
      <c r="DY118" s="57"/>
      <c r="DZ118" s="57"/>
      <c r="EQ118" s="57"/>
      <c r="ER118" s="57"/>
    </row>
    <row r="119" spans="129:148" x14ac:dyDescent="0.3">
      <c r="DY119" s="57"/>
      <c r="DZ119" s="57"/>
      <c r="EQ119" s="57"/>
      <c r="ER119" s="57"/>
    </row>
    <row r="120" spans="129:148" x14ac:dyDescent="0.3">
      <c r="DY120" s="57"/>
      <c r="DZ120" s="57"/>
      <c r="EQ120" s="57"/>
      <c r="ER120" s="57"/>
    </row>
    <row r="121" spans="129:148" x14ac:dyDescent="0.3">
      <c r="DY121" s="57"/>
      <c r="DZ121" s="57"/>
      <c r="EQ121" s="57"/>
      <c r="ER121" s="57"/>
    </row>
    <row r="122" spans="129:148" x14ac:dyDescent="0.3">
      <c r="DY122" s="57"/>
      <c r="DZ122" s="57"/>
      <c r="EQ122" s="57"/>
      <c r="ER122" s="57"/>
    </row>
    <row r="123" spans="129:148" x14ac:dyDescent="0.3">
      <c r="DY123" s="57"/>
      <c r="DZ123" s="57"/>
      <c r="EQ123" s="57"/>
      <c r="ER123" s="57"/>
    </row>
    <row r="124" spans="129:148" x14ac:dyDescent="0.3">
      <c r="DY124" s="57"/>
      <c r="DZ124" s="57"/>
      <c r="EQ124" s="57"/>
      <c r="ER124" s="57"/>
    </row>
    <row r="125" spans="129:148" x14ac:dyDescent="0.3">
      <c r="DY125" s="57"/>
      <c r="DZ125" s="57"/>
      <c r="EQ125" s="57"/>
      <c r="ER125" s="57"/>
    </row>
    <row r="126" spans="129:148" x14ac:dyDescent="0.3">
      <c r="DY126" s="57"/>
      <c r="DZ126" s="57"/>
      <c r="EQ126" s="57"/>
      <c r="ER126" s="57"/>
    </row>
    <row r="127" spans="129:148" x14ac:dyDescent="0.3">
      <c r="DY127" s="57"/>
      <c r="DZ127" s="57"/>
      <c r="EQ127" s="57"/>
      <c r="ER127" s="57"/>
    </row>
    <row r="128" spans="129:148" x14ac:dyDescent="0.3">
      <c r="DY128" s="57"/>
      <c r="DZ128" s="57"/>
      <c r="EQ128" s="57"/>
      <c r="ER128" s="57"/>
    </row>
    <row r="129" spans="129:148" x14ac:dyDescent="0.3">
      <c r="DY129" s="57"/>
      <c r="DZ129" s="57"/>
      <c r="EQ129" s="57"/>
      <c r="ER129" s="57"/>
    </row>
    <row r="130" spans="129:148" x14ac:dyDescent="0.3">
      <c r="DY130" s="57"/>
      <c r="DZ130" s="57"/>
      <c r="EQ130" s="57"/>
      <c r="ER130" s="57"/>
    </row>
    <row r="131" spans="129:148" x14ac:dyDescent="0.3">
      <c r="DY131" s="57"/>
      <c r="DZ131" s="57"/>
      <c r="EQ131" s="57"/>
      <c r="ER131" s="57"/>
    </row>
    <row r="132" spans="129:148" x14ac:dyDescent="0.3">
      <c r="DY132" s="57"/>
      <c r="DZ132" s="57"/>
      <c r="EQ132" s="57"/>
      <c r="ER132" s="57"/>
    </row>
    <row r="133" spans="129:148" x14ac:dyDescent="0.3">
      <c r="DY133" s="57"/>
      <c r="DZ133" s="57"/>
      <c r="EQ133" s="57"/>
      <c r="ER133" s="57"/>
    </row>
    <row r="134" spans="129:148" x14ac:dyDescent="0.3">
      <c r="DY134" s="57"/>
      <c r="DZ134" s="57"/>
      <c r="EQ134" s="57"/>
      <c r="ER134" s="57"/>
    </row>
    <row r="135" spans="129:148" x14ac:dyDescent="0.3">
      <c r="DY135" s="57"/>
      <c r="DZ135" s="57"/>
      <c r="EQ135" s="57"/>
      <c r="ER135" s="57"/>
    </row>
    <row r="136" spans="129:148" x14ac:dyDescent="0.3">
      <c r="DY136" s="57"/>
      <c r="DZ136" s="57"/>
      <c r="EQ136" s="57"/>
      <c r="ER136" s="57"/>
    </row>
    <row r="137" spans="129:148" x14ac:dyDescent="0.3">
      <c r="DY137" s="57"/>
      <c r="DZ137" s="57"/>
      <c r="EQ137" s="57"/>
      <c r="ER137" s="57"/>
    </row>
    <row r="138" spans="129:148" x14ac:dyDescent="0.3">
      <c r="DY138" s="57"/>
      <c r="DZ138" s="57"/>
      <c r="EQ138" s="57"/>
      <c r="ER138" s="57"/>
    </row>
    <row r="139" spans="129:148" x14ac:dyDescent="0.3">
      <c r="DY139" s="57"/>
      <c r="DZ139" s="57"/>
      <c r="EQ139" s="57"/>
      <c r="ER139" s="57"/>
    </row>
    <row r="140" spans="129:148" x14ac:dyDescent="0.3">
      <c r="DY140" s="57"/>
      <c r="DZ140" s="57"/>
      <c r="EQ140" s="57"/>
      <c r="ER140" s="57"/>
    </row>
    <row r="141" spans="129:148" x14ac:dyDescent="0.3">
      <c r="DY141" s="57"/>
      <c r="DZ141" s="57"/>
      <c r="EQ141" s="57"/>
      <c r="ER141" s="57"/>
    </row>
    <row r="142" spans="129:148" x14ac:dyDescent="0.3">
      <c r="DY142" s="57"/>
      <c r="DZ142" s="57"/>
      <c r="EQ142" s="57"/>
      <c r="ER142" s="57"/>
    </row>
    <row r="143" spans="129:148" x14ac:dyDescent="0.3">
      <c r="DY143" s="57"/>
      <c r="DZ143" s="57"/>
      <c r="EQ143" s="57"/>
      <c r="ER143" s="57"/>
    </row>
    <row r="144" spans="129:148" x14ac:dyDescent="0.3">
      <c r="DY144" s="57"/>
      <c r="DZ144" s="57"/>
      <c r="EQ144" s="57"/>
      <c r="ER144" s="57"/>
    </row>
    <row r="145" spans="129:148" x14ac:dyDescent="0.3">
      <c r="DY145" s="57"/>
      <c r="DZ145" s="57"/>
      <c r="EQ145" s="57"/>
      <c r="ER145" s="57"/>
    </row>
    <row r="146" spans="129:148" x14ac:dyDescent="0.3">
      <c r="DY146" s="57"/>
      <c r="DZ146" s="57"/>
      <c r="EQ146" s="57"/>
      <c r="ER146" s="57"/>
    </row>
    <row r="147" spans="129:148" x14ac:dyDescent="0.3">
      <c r="DY147" s="57"/>
      <c r="DZ147" s="57"/>
      <c r="EQ147" s="57"/>
      <c r="ER147" s="57"/>
    </row>
    <row r="148" spans="129:148" x14ac:dyDescent="0.3">
      <c r="DY148" s="57"/>
      <c r="DZ148" s="57"/>
      <c r="EQ148" s="57"/>
      <c r="ER148" s="57"/>
    </row>
    <row r="149" spans="129:148" x14ac:dyDescent="0.3">
      <c r="DY149" s="57"/>
      <c r="DZ149" s="57"/>
      <c r="EQ149" s="57"/>
      <c r="ER149" s="57"/>
    </row>
    <row r="150" spans="129:148" x14ac:dyDescent="0.3">
      <c r="DY150" s="57"/>
      <c r="DZ150" s="57"/>
      <c r="EQ150" s="57"/>
      <c r="ER150" s="57"/>
    </row>
    <row r="151" spans="129:148" x14ac:dyDescent="0.3">
      <c r="DY151" s="57"/>
      <c r="DZ151" s="57"/>
      <c r="EQ151" s="57"/>
      <c r="ER151" s="57"/>
    </row>
    <row r="152" spans="129:148" x14ac:dyDescent="0.3">
      <c r="DY152" s="57"/>
      <c r="DZ152" s="57"/>
      <c r="EQ152" s="57"/>
      <c r="ER152" s="57"/>
    </row>
    <row r="153" spans="129:148" x14ac:dyDescent="0.3">
      <c r="DY153" s="57"/>
      <c r="DZ153" s="57"/>
      <c r="EQ153" s="57"/>
      <c r="ER153" s="57"/>
    </row>
    <row r="154" spans="129:148" x14ac:dyDescent="0.3">
      <c r="DY154" s="57"/>
      <c r="DZ154" s="57"/>
      <c r="EQ154" s="57"/>
      <c r="ER154" s="57"/>
    </row>
    <row r="155" spans="129:148" x14ac:dyDescent="0.3">
      <c r="DY155" s="57"/>
      <c r="DZ155" s="57"/>
      <c r="EQ155" s="57"/>
      <c r="ER155" s="57"/>
    </row>
    <row r="156" spans="129:148" x14ac:dyDescent="0.3">
      <c r="DY156" s="57"/>
      <c r="DZ156" s="57"/>
      <c r="EQ156" s="57"/>
      <c r="ER156" s="57"/>
    </row>
    <row r="157" spans="129:148" x14ac:dyDescent="0.3">
      <c r="DY157" s="57"/>
      <c r="DZ157" s="57"/>
      <c r="EQ157" s="57"/>
      <c r="ER157" s="57"/>
    </row>
    <row r="158" spans="129:148" x14ac:dyDescent="0.3">
      <c r="DY158" s="57"/>
      <c r="DZ158" s="57"/>
      <c r="EQ158" s="57"/>
      <c r="ER158" s="57"/>
    </row>
    <row r="159" spans="129:148" x14ac:dyDescent="0.3">
      <c r="DY159" s="57"/>
      <c r="DZ159" s="57"/>
      <c r="EQ159" s="57"/>
      <c r="ER159" s="57"/>
    </row>
    <row r="160" spans="129:148" x14ac:dyDescent="0.3">
      <c r="DY160" s="57"/>
      <c r="DZ160" s="57"/>
      <c r="EQ160" s="57"/>
      <c r="ER160" s="57"/>
    </row>
    <row r="161" spans="129:148" x14ac:dyDescent="0.3">
      <c r="DY161" s="57"/>
      <c r="DZ161" s="57"/>
      <c r="EQ161" s="57"/>
      <c r="ER161" s="57"/>
    </row>
    <row r="162" spans="129:148" x14ac:dyDescent="0.3">
      <c r="DY162" s="57"/>
      <c r="DZ162" s="57"/>
      <c r="EQ162" s="57"/>
      <c r="ER162" s="57"/>
    </row>
    <row r="163" spans="129:148" x14ac:dyDescent="0.3">
      <c r="DY163" s="57"/>
      <c r="DZ163" s="57"/>
      <c r="EQ163" s="57"/>
      <c r="ER163" s="57"/>
    </row>
    <row r="164" spans="129:148" x14ac:dyDescent="0.3">
      <c r="DY164" s="57"/>
      <c r="DZ164" s="57"/>
      <c r="EQ164" s="57"/>
      <c r="ER164" s="57"/>
    </row>
    <row r="165" spans="129:148" x14ac:dyDescent="0.3">
      <c r="DY165" s="57"/>
      <c r="DZ165" s="57"/>
      <c r="EQ165" s="57"/>
      <c r="ER165" s="57"/>
    </row>
    <row r="166" spans="129:148" x14ac:dyDescent="0.3">
      <c r="DY166" s="57"/>
      <c r="DZ166" s="57"/>
      <c r="EQ166" s="57"/>
      <c r="ER166" s="57"/>
    </row>
    <row r="167" spans="129:148" x14ac:dyDescent="0.3">
      <c r="DY167" s="57"/>
      <c r="DZ167" s="57"/>
      <c r="EQ167" s="57"/>
      <c r="ER167" s="57"/>
    </row>
    <row r="168" spans="129:148" x14ac:dyDescent="0.3">
      <c r="DY168" s="57"/>
      <c r="DZ168" s="57"/>
      <c r="EQ168" s="57"/>
      <c r="ER168" s="57"/>
    </row>
    <row r="169" spans="129:148" x14ac:dyDescent="0.3">
      <c r="DY169" s="57"/>
      <c r="DZ169" s="57"/>
      <c r="EQ169" s="57"/>
      <c r="ER169" s="57"/>
    </row>
    <row r="170" spans="129:148" x14ac:dyDescent="0.3">
      <c r="DY170" s="57"/>
      <c r="DZ170" s="57"/>
      <c r="EQ170" s="57"/>
      <c r="ER170" s="57"/>
    </row>
    <row r="171" spans="129:148" x14ac:dyDescent="0.3">
      <c r="DY171" s="57"/>
      <c r="DZ171" s="57"/>
      <c r="EQ171" s="57"/>
      <c r="ER171" s="57"/>
    </row>
    <row r="172" spans="129:148" x14ac:dyDescent="0.3">
      <c r="DY172" s="57"/>
      <c r="DZ172" s="57"/>
      <c r="EQ172" s="57"/>
      <c r="ER172" s="57"/>
    </row>
    <row r="173" spans="129:148" x14ac:dyDescent="0.3">
      <c r="DY173" s="57"/>
      <c r="DZ173" s="57"/>
      <c r="EQ173" s="57"/>
      <c r="ER173" s="57"/>
    </row>
    <row r="174" spans="129:148" x14ac:dyDescent="0.3">
      <c r="DY174" s="57"/>
      <c r="DZ174" s="57"/>
      <c r="EQ174" s="57"/>
      <c r="ER174" s="57"/>
    </row>
    <row r="175" spans="129:148" x14ac:dyDescent="0.3">
      <c r="DY175" s="57"/>
      <c r="DZ175" s="57"/>
      <c r="EQ175" s="57"/>
      <c r="ER175" s="57"/>
    </row>
    <row r="176" spans="129:148" x14ac:dyDescent="0.3">
      <c r="DY176" s="57"/>
      <c r="DZ176" s="57"/>
      <c r="EQ176" s="57"/>
      <c r="ER176" s="57"/>
    </row>
    <row r="177" spans="129:148" x14ac:dyDescent="0.3">
      <c r="DY177" s="57"/>
      <c r="DZ177" s="57"/>
      <c r="EQ177" s="57"/>
      <c r="ER177" s="57"/>
    </row>
    <row r="178" spans="129:148" x14ac:dyDescent="0.3">
      <c r="DY178" s="57"/>
      <c r="DZ178" s="57"/>
      <c r="EQ178" s="57"/>
      <c r="ER178" s="57"/>
    </row>
    <row r="179" spans="129:148" x14ac:dyDescent="0.3">
      <c r="DY179" s="57"/>
      <c r="DZ179" s="57"/>
      <c r="EQ179" s="57"/>
      <c r="ER179" s="57"/>
    </row>
    <row r="180" spans="129:148" x14ac:dyDescent="0.3">
      <c r="DY180" s="57"/>
      <c r="DZ180" s="57"/>
      <c r="EQ180" s="57"/>
      <c r="ER180" s="57"/>
    </row>
    <row r="181" spans="129:148" x14ac:dyDescent="0.3">
      <c r="DY181" s="57"/>
      <c r="DZ181" s="57"/>
      <c r="EQ181" s="57"/>
      <c r="ER181" s="57"/>
    </row>
    <row r="182" spans="129:148" x14ac:dyDescent="0.3">
      <c r="DY182" s="57"/>
      <c r="DZ182" s="57"/>
      <c r="EQ182" s="57"/>
      <c r="ER182" s="57"/>
    </row>
    <row r="183" spans="129:148" x14ac:dyDescent="0.3">
      <c r="DY183" s="57"/>
      <c r="DZ183" s="57"/>
      <c r="EQ183" s="57"/>
      <c r="ER183" s="57"/>
    </row>
    <row r="184" spans="129:148" x14ac:dyDescent="0.3">
      <c r="DY184" s="57"/>
      <c r="DZ184" s="57"/>
      <c r="EQ184" s="57"/>
      <c r="ER184" s="57"/>
    </row>
    <row r="185" spans="129:148" x14ac:dyDescent="0.3">
      <c r="DY185" s="57"/>
      <c r="DZ185" s="57"/>
      <c r="EQ185" s="57"/>
      <c r="ER185" s="57"/>
    </row>
    <row r="186" spans="129:148" x14ac:dyDescent="0.3">
      <c r="DY186" s="57"/>
      <c r="DZ186" s="57"/>
      <c r="EQ186" s="57"/>
      <c r="ER186" s="57"/>
    </row>
    <row r="187" spans="129:148" x14ac:dyDescent="0.3">
      <c r="DY187" s="57"/>
      <c r="DZ187" s="57"/>
      <c r="EQ187" s="57"/>
      <c r="ER187" s="57"/>
    </row>
  </sheetData>
  <mergeCells count="238">
    <mergeCell ref="CI2:CI3"/>
    <mergeCell ref="CJ2:CJ3"/>
    <mergeCell ref="CM2:CM3"/>
    <mergeCell ref="CQ2:CQ3"/>
    <mergeCell ref="CR2:CR3"/>
    <mergeCell ref="DC2:DC3"/>
    <mergeCell ref="DD2:DD3"/>
    <mergeCell ref="CN2:CN3"/>
    <mergeCell ref="CO2:CO3"/>
    <mergeCell ref="CP2:CP3"/>
    <mergeCell ref="CS2:CS3"/>
    <mergeCell ref="AD2:AD3"/>
    <mergeCell ref="AE2:AE3"/>
    <mergeCell ref="AF1:AG1"/>
    <mergeCell ref="AF2:AF3"/>
    <mergeCell ref="AG2:AG3"/>
    <mergeCell ref="ES2:ES3"/>
    <mergeCell ref="FE2:FE3"/>
    <mergeCell ref="FB1:FC1"/>
    <mergeCell ref="FD1:FE1"/>
    <mergeCell ref="BB2:BB3"/>
    <mergeCell ref="BC2:BC3"/>
    <mergeCell ref="BM2:BM3"/>
    <mergeCell ref="BO2:BO3"/>
    <mergeCell ref="CV2:CV3"/>
    <mergeCell ref="CW2:CW3"/>
    <mergeCell ref="CX2:CX3"/>
    <mergeCell ref="CH1:CP1"/>
    <mergeCell ref="CY2:CY3"/>
    <mergeCell ref="DR2:DR3"/>
    <mergeCell ref="BR2:BR3"/>
    <mergeCell ref="BZ2:BZ3"/>
    <mergeCell ref="BQ2:BQ3"/>
    <mergeCell ref="BW2:BW3"/>
    <mergeCell ref="BT2:BT3"/>
    <mergeCell ref="ES1:FA1"/>
    <mergeCell ref="FA2:FA3"/>
    <mergeCell ref="ER2:ER3"/>
    <mergeCell ref="DZ2:DZ3"/>
    <mergeCell ref="DR1:DZ1"/>
    <mergeCell ref="EG2:EG3"/>
    <mergeCell ref="EI2:EI3"/>
    <mergeCell ref="EB2:EB3"/>
    <mergeCell ref="DY2:DY3"/>
    <mergeCell ref="DV2:DV3"/>
    <mergeCell ref="DU2:DU3"/>
    <mergeCell ref="EA1:EI1"/>
    <mergeCell ref="DX2:DX3"/>
    <mergeCell ref="DW2:DW3"/>
    <mergeCell ref="DS2:DS3"/>
    <mergeCell ref="EC2:EC3"/>
    <mergeCell ref="FF2:FF3"/>
    <mergeCell ref="FC2:FC3"/>
    <mergeCell ref="CF2:CF3"/>
    <mergeCell ref="AU2:AU3"/>
    <mergeCell ref="AV2:AV3"/>
    <mergeCell ref="BI2:BI3"/>
    <mergeCell ref="AW2:AW3"/>
    <mergeCell ref="AN2:AN3"/>
    <mergeCell ref="AM2:AM3"/>
    <mergeCell ref="CU2:CU3"/>
    <mergeCell ref="EA2:EA3"/>
    <mergeCell ref="EE2:EE3"/>
    <mergeCell ref="EF2:EF3"/>
    <mergeCell ref="EH2:EH3"/>
    <mergeCell ref="DT2:DT3"/>
    <mergeCell ref="CK2:CK3"/>
    <mergeCell ref="DL2:DL3"/>
    <mergeCell ref="DM2:DM3"/>
    <mergeCell ref="BU2:BU3"/>
    <mergeCell ref="DO2:DO3"/>
    <mergeCell ref="DQ2:DQ3"/>
    <mergeCell ref="DH2:DH3"/>
    <mergeCell ref="DP2:DP3"/>
    <mergeCell ref="CH2:CH3"/>
    <mergeCell ref="A32:A33"/>
    <mergeCell ref="A8:A9"/>
    <mergeCell ref="B9:C9"/>
    <mergeCell ref="A11:C11"/>
    <mergeCell ref="B32:C32"/>
    <mergeCell ref="B33:C33"/>
    <mergeCell ref="A13:A14"/>
    <mergeCell ref="B13:B14"/>
    <mergeCell ref="C13:C14"/>
    <mergeCell ref="A37:A38"/>
    <mergeCell ref="B37:B38"/>
    <mergeCell ref="C37:C38"/>
    <mergeCell ref="D37:D38"/>
    <mergeCell ref="E37:E38"/>
    <mergeCell ref="F37:F38"/>
    <mergeCell ref="G37:G38"/>
    <mergeCell ref="H37:H38"/>
    <mergeCell ref="V2:V3"/>
    <mergeCell ref="T2:T3"/>
    <mergeCell ref="D2:E2"/>
    <mergeCell ref="F2:G2"/>
    <mergeCell ref="D13:D14"/>
    <mergeCell ref="I37:I38"/>
    <mergeCell ref="S2:S3"/>
    <mergeCell ref="J37:J38"/>
    <mergeCell ref="J13:J14"/>
    <mergeCell ref="U2:U3"/>
    <mergeCell ref="M2:M3"/>
    <mergeCell ref="L1:L3"/>
    <mergeCell ref="N2:N3"/>
    <mergeCell ref="A35:C35"/>
    <mergeCell ref="A4:C4"/>
    <mergeCell ref="A5:C5"/>
    <mergeCell ref="A1:C1"/>
    <mergeCell ref="AB1:AC1"/>
    <mergeCell ref="AP1:AS1"/>
    <mergeCell ref="M1:R1"/>
    <mergeCell ref="H13:H14"/>
    <mergeCell ref="AH1:AK1"/>
    <mergeCell ref="AL1:AO1"/>
    <mergeCell ref="AH2:AH3"/>
    <mergeCell ref="AI2:AI3"/>
    <mergeCell ref="AJ2:AJ3"/>
    <mergeCell ref="AK2:AK3"/>
    <mergeCell ref="AL2:AL3"/>
    <mergeCell ref="A2:C3"/>
    <mergeCell ref="E13:E14"/>
    <mergeCell ref="F13:F14"/>
    <mergeCell ref="AR2:AR3"/>
    <mergeCell ref="I13:I14"/>
    <mergeCell ref="B8:C8"/>
    <mergeCell ref="O2:O3"/>
    <mergeCell ref="P2:P3"/>
    <mergeCell ref="Q2:Q3"/>
    <mergeCell ref="R2:R3"/>
    <mergeCell ref="W2:W3"/>
    <mergeCell ref="X2:X3"/>
    <mergeCell ref="BJ2:BJ3"/>
    <mergeCell ref="BK2:BK3"/>
    <mergeCell ref="BN2:BN3"/>
    <mergeCell ref="BP2:BP3"/>
    <mergeCell ref="BL2:BL3"/>
    <mergeCell ref="BE2:BE3"/>
    <mergeCell ref="CL2:CL3"/>
    <mergeCell ref="S1:X1"/>
    <mergeCell ref="G13:G14"/>
    <mergeCell ref="AB2:AB3"/>
    <mergeCell ref="AC2:AC3"/>
    <mergeCell ref="Z2:Z3"/>
    <mergeCell ref="AA2:AA3"/>
    <mergeCell ref="AQ2:AQ3"/>
    <mergeCell ref="BF2:BF3"/>
    <mergeCell ref="BG2:BG3"/>
    <mergeCell ref="AX2:AX3"/>
    <mergeCell ref="AY2:AY3"/>
    <mergeCell ref="AZ2:AZ3"/>
    <mergeCell ref="BA2:BA3"/>
    <mergeCell ref="AO2:AO3"/>
    <mergeCell ref="AP2:AP3"/>
    <mergeCell ref="AS2:AS3"/>
    <mergeCell ref="AD1:AE1"/>
    <mergeCell ref="CD2:CD3"/>
    <mergeCell ref="CG2:CG3"/>
    <mergeCell ref="BS2:BS3"/>
    <mergeCell ref="CA2:CA3"/>
    <mergeCell ref="BZ1:CG1"/>
    <mergeCell ref="BR1:BY1"/>
    <mergeCell ref="BX2:BX3"/>
    <mergeCell ref="CB2:CB3"/>
    <mergeCell ref="CE2:CE3"/>
    <mergeCell ref="CC2:CC3"/>
    <mergeCell ref="AT1:AW1"/>
    <mergeCell ref="EW2:EW3"/>
    <mergeCell ref="EX2:EX3"/>
    <mergeCell ref="EJ1:ER1"/>
    <mergeCell ref="EK2:EK3"/>
    <mergeCell ref="EL2:EL3"/>
    <mergeCell ref="EM2:EM3"/>
    <mergeCell ref="ET2:ET3"/>
    <mergeCell ref="EU2:EU3"/>
    <mergeCell ref="EV2:EV3"/>
    <mergeCell ref="EJ2:EJ3"/>
    <mergeCell ref="EN2:EN3"/>
    <mergeCell ref="EO2:EO3"/>
    <mergeCell ref="BD2:BD3"/>
    <mergeCell ref="AT2:AT3"/>
    <mergeCell ref="BH2:BH3"/>
    <mergeCell ref="CT2:CT3"/>
    <mergeCell ref="AX1:AY1"/>
    <mergeCell ref="AZ1:BA1"/>
    <mergeCell ref="BB1:BI1"/>
    <mergeCell ref="BJ1:BQ1"/>
    <mergeCell ref="CQ1:CY1"/>
    <mergeCell ref="BV2:BV3"/>
    <mergeCell ref="BY2:BY3"/>
    <mergeCell ref="FO2:FO3"/>
    <mergeCell ref="DJ2:DJ3"/>
    <mergeCell ref="DK2:DK3"/>
    <mergeCell ref="DN2:DN3"/>
    <mergeCell ref="FX1:FY1"/>
    <mergeCell ref="FV2:FV3"/>
    <mergeCell ref="FW2:FW3"/>
    <mergeCell ref="FX2:FX3"/>
    <mergeCell ref="FY2:FY3"/>
    <mergeCell ref="FD2:FD3"/>
    <mergeCell ref="EQ2:EQ3"/>
    <mergeCell ref="EP2:EP3"/>
    <mergeCell ref="FM2:FM3"/>
    <mergeCell ref="FN2:FN3"/>
    <mergeCell ref="FK2:FK3"/>
    <mergeCell ref="ED2:ED3"/>
    <mergeCell ref="EY2:EY3"/>
    <mergeCell ref="EZ2:EZ3"/>
    <mergeCell ref="FB2:FB3"/>
    <mergeCell ref="FG2:FG3"/>
    <mergeCell ref="FF1:FJ1"/>
    <mergeCell ref="FH2:FH3"/>
    <mergeCell ref="FI2:FI3"/>
    <mergeCell ref="FJ2:FJ3"/>
    <mergeCell ref="B76:D76"/>
    <mergeCell ref="B88:D88"/>
    <mergeCell ref="E76:G76"/>
    <mergeCell ref="E88:G88"/>
    <mergeCell ref="FV1:FW1"/>
    <mergeCell ref="CZ1:DH1"/>
    <mergeCell ref="DF2:DF3"/>
    <mergeCell ref="DI2:DI3"/>
    <mergeCell ref="CZ2:CZ3"/>
    <mergeCell ref="DA2:DA3"/>
    <mergeCell ref="DB2:DB3"/>
    <mergeCell ref="DI1:DQ1"/>
    <mergeCell ref="FT1:FU1"/>
    <mergeCell ref="FR2:FR3"/>
    <mergeCell ref="FT2:FT3"/>
    <mergeCell ref="FP2:FP3"/>
    <mergeCell ref="DG2:DG3"/>
    <mergeCell ref="FU2:FU3"/>
    <mergeCell ref="FL2:FL3"/>
    <mergeCell ref="FS2:FS3"/>
    <mergeCell ref="FK1:FO1"/>
    <mergeCell ref="FR1:FS1"/>
    <mergeCell ref="DE2:DE3"/>
    <mergeCell ref="FQ2:FQ3"/>
  </mergeCells>
  <conditionalFormatting sqref="C28">
    <cfRule type="containsText" dxfId="5" priority="9" operator="containsText" text="OR(Error,Multiply)">
      <formula>NOT(ISERROR(SEARCH("OR(Error,Multiply)",C28)))</formula>
    </cfRule>
  </conditionalFormatting>
  <conditionalFormatting sqref="C52">
    <cfRule type="containsText" dxfId="4" priority="1" operator="containsText" text="OR(Error,Multiply)">
      <formula>NOT(ISERROR(SEARCH("OR(Error,Multiply)",C52)))</formula>
    </cfRule>
  </conditionalFormatting>
  <conditionalFormatting sqref="M4:M67">
    <cfRule type="expression" dxfId="3" priority="2">
      <formula>M4&lt;&gt;S4</formula>
    </cfRule>
  </conditionalFormatting>
  <hyperlinks>
    <hyperlink ref="A63" r:id="rId1" xr:uid="{00000000-0004-0000-0700-000000000000}"/>
  </hyperlinks>
  <pageMargins left="0.7" right="0.7" top="0.75" bottom="0.75" header="0.3" footer="0.3"/>
  <pageSetup paperSize="5" orientation="portrait" horizontalDpi="4294967294" r:id="rId2"/>
  <ignoredErrors>
    <ignoredError sqref="E3" formula="1"/>
  </ignoredError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X187"/>
  <sheetViews>
    <sheetView tabSelected="1" zoomScale="164" workbookViewId="0">
      <pane ySplit="3" topLeftCell="A4" activePane="bottomLeft" state="frozen"/>
      <selection activeCell="G1" sqref="G1"/>
      <selection pane="bottomLeft" activeCell="A4" sqref="A4:C4"/>
    </sheetView>
  </sheetViews>
  <sheetFormatPr defaultColWidth="9.109375" defaultRowHeight="10.5" x14ac:dyDescent="0.3"/>
  <cols>
    <col min="1" max="3" width="9.6640625" style="2" customWidth="1"/>
    <col min="4" max="7" width="15.6640625" style="2" customWidth="1"/>
    <col min="8" max="9" width="8.6640625" style="2" customWidth="1"/>
    <col min="10" max="10" width="11.44140625" style="2" customWidth="1"/>
    <col min="11" max="11" width="8.6640625" style="2" customWidth="1"/>
    <col min="12" max="17" width="9.6640625" style="2" customWidth="1"/>
    <col min="18" max="18" width="10.6640625" style="2" customWidth="1"/>
    <col min="19" max="23" width="9.6640625" style="2" customWidth="1"/>
    <col min="24" max="24" width="10.6640625" style="2" customWidth="1"/>
    <col min="25" max="25" width="0.88671875" style="2" customWidth="1"/>
    <col min="26" max="45" width="9.6640625" style="2" customWidth="1"/>
    <col min="46" max="46" width="14.6640625" style="2" customWidth="1"/>
    <col min="47" max="47" width="12.6640625" style="2" customWidth="1"/>
    <col min="48" max="48" width="14.6640625" style="2" customWidth="1"/>
    <col min="49" max="50" width="12.6640625" style="2" customWidth="1"/>
    <col min="51" max="53" width="9.6640625" style="2" customWidth="1"/>
    <col min="54" max="55" width="12.6640625" style="2" customWidth="1"/>
    <col min="56" max="57" width="9.6640625" style="2" customWidth="1"/>
    <col min="58" max="58" width="12.6640625" style="2" customWidth="1"/>
    <col min="59" max="61" width="9.6640625" style="2" customWidth="1"/>
    <col min="62" max="63" width="12.6640625" style="2" customWidth="1"/>
    <col min="64" max="65" width="9.6640625" style="2" customWidth="1"/>
    <col min="66" max="66" width="13.6640625" style="2" customWidth="1"/>
    <col min="67" max="70" width="9.6640625" style="2" customWidth="1"/>
    <col min="71" max="71" width="13.6640625" style="2" customWidth="1"/>
    <col min="72" max="75" width="9.6640625" style="2" customWidth="1"/>
    <col min="76" max="76" width="13.6640625" style="2" customWidth="1"/>
    <col min="77" max="77" width="10.6640625" style="2" customWidth="1"/>
    <col min="78" max="78" width="9.109375" style="2" customWidth="1"/>
    <col min="79" max="79" width="13.6640625" style="2" customWidth="1"/>
    <col min="80" max="80" width="10.6640625" style="2" customWidth="1"/>
    <col min="81" max="84" width="9.109375" style="2" customWidth="1"/>
    <col min="85" max="85" width="13.6640625" style="2" customWidth="1"/>
    <col min="86" max="86" width="10.6640625" style="2" customWidth="1"/>
    <col min="87" max="87" width="9.109375" style="2" customWidth="1"/>
    <col min="88" max="88" width="13.6640625" style="2" customWidth="1"/>
    <col min="89" max="89" width="10.6640625" style="2" customWidth="1"/>
    <col min="90" max="94" width="9.109375" style="2" customWidth="1"/>
    <col min="95" max="98" width="13.6640625" style="2" customWidth="1"/>
    <col min="99" max="99" width="9.6640625" style="2" customWidth="1"/>
    <col min="100" max="103" width="9.109375" style="2" customWidth="1"/>
    <col min="104" max="107" width="13.6640625" style="2" customWidth="1"/>
    <col min="108" max="108" width="9.6640625" style="2" customWidth="1"/>
    <col min="109" max="111" width="9.109375" style="2" customWidth="1"/>
    <col min="112" max="112" width="9.6640625" style="2" customWidth="1"/>
    <col min="113" max="115" width="13.6640625" style="2" customWidth="1"/>
    <col min="116" max="116" width="9.6640625" style="2" customWidth="1"/>
    <col min="117" max="117" width="10.6640625" style="2" customWidth="1"/>
    <col min="118" max="118" width="11.6640625" style="2" customWidth="1"/>
    <col min="119" max="120" width="10.6640625" style="2" customWidth="1"/>
    <col min="121" max="121" width="9.6640625" style="2" customWidth="1"/>
    <col min="122" max="124" width="13.6640625" style="2" customWidth="1"/>
    <col min="125" max="125" width="9.6640625" style="2" customWidth="1"/>
    <col min="126" max="126" width="10.6640625" style="2" customWidth="1"/>
    <col min="127" max="127" width="11.6640625" style="2" customWidth="1"/>
    <col min="128" max="129" width="10.6640625" style="2" customWidth="1"/>
    <col min="130" max="130" width="9.6640625" style="2" customWidth="1"/>
    <col min="131" max="133" width="13.6640625" style="2" customWidth="1"/>
    <col min="134" max="134" width="9.6640625" style="2" customWidth="1"/>
    <col min="135" max="138" width="10.6640625" style="2" customWidth="1"/>
    <col min="139" max="139" width="9.6640625" style="2" customWidth="1"/>
    <col min="140" max="142" width="13.6640625" style="2" customWidth="1"/>
    <col min="143" max="143" width="9.6640625" style="2" customWidth="1"/>
    <col min="144" max="147" width="10.6640625" style="2" customWidth="1"/>
    <col min="148" max="151" width="12.6640625" style="2" customWidth="1"/>
    <col min="152" max="161" width="9.6640625" style="2" customWidth="1"/>
    <col min="162" max="163" width="10.6640625" style="2" customWidth="1"/>
    <col min="164" max="171" width="9.109375" style="2" customWidth="1"/>
    <col min="172" max="172" width="0.88671875" style="2" customWidth="1"/>
    <col min="173" max="178" width="9.109375" style="2" customWidth="1"/>
    <col min="179" max="16384" width="9.109375" style="2"/>
  </cols>
  <sheetData>
    <row r="1" spans="1:180" ht="12.15" customHeight="1" thickBot="1" x14ac:dyDescent="0.35">
      <c r="A1" s="672" t="s">
        <v>110</v>
      </c>
      <c r="B1" s="673"/>
      <c r="C1" s="674"/>
      <c r="D1" s="86" t="s">
        <v>129</v>
      </c>
      <c r="E1" s="156" t="s">
        <v>130</v>
      </c>
      <c r="F1" s="87" t="s">
        <v>302</v>
      </c>
      <c r="G1" s="88" t="s">
        <v>303</v>
      </c>
      <c r="L1" s="699" t="s">
        <v>1</v>
      </c>
      <c r="M1" s="677" t="str">
        <f>CONCATENATE($F$1," - Open, High, Low &amp; Close")</f>
        <v>Ashok - Open, High, Low &amp; Close</v>
      </c>
      <c r="N1" s="658"/>
      <c r="O1" s="658"/>
      <c r="P1" s="658"/>
      <c r="Q1" s="658"/>
      <c r="R1" s="659"/>
      <c r="S1" s="657" t="str">
        <f>CONCATENATE($G$1," - Open, High, Low &amp; Close")</f>
        <v>AsianP - Open, High, Low &amp; Close</v>
      </c>
      <c r="T1" s="658"/>
      <c r="U1" s="658"/>
      <c r="V1" s="658"/>
      <c r="W1" s="658"/>
      <c r="X1" s="659"/>
      <c r="Y1" s="4"/>
      <c r="Z1" s="158" t="str">
        <f>CONCATENATE($F$1," - %Chg")</f>
        <v>Ashok - %Chg</v>
      </c>
      <c r="AA1" s="159" t="str">
        <f>CONCATENATE($G$1," - %Chg")</f>
        <v>AsianP - %Chg</v>
      </c>
      <c r="AB1" s="675" t="s">
        <v>11</v>
      </c>
      <c r="AC1" s="676"/>
      <c r="AD1" s="594" t="str">
        <f>CONCATENATE($F$1," - Historical Annual Volatility (NSE Method)")</f>
        <v>Ashok - Historical Annual Volatility (NSE Method)</v>
      </c>
      <c r="AE1" s="596"/>
      <c r="AF1" s="596"/>
      <c r="AG1" s="595"/>
      <c r="AH1" s="606" t="str">
        <f>CONCATENATE($G$1," - Historical Annual Volatility (NSE Method)")</f>
        <v>AsianP - Historical Annual Volatility (NSE Method)</v>
      </c>
      <c r="AI1" s="606"/>
      <c r="AJ1" s="606"/>
      <c r="AK1" s="607"/>
      <c r="AL1" s="594" t="str">
        <f>CONCATENATE($F$1," - Intraday Annual Volatility")</f>
        <v>Ashok - Intraday Annual Volatility</v>
      </c>
      <c r="AM1" s="596"/>
      <c r="AN1" s="596"/>
      <c r="AO1" s="595"/>
      <c r="AP1" s="605" t="str">
        <f>CONCATENATE($G$1," - Intraday Annual Volatility")</f>
        <v>AsianP - Intraday Annual Volatility</v>
      </c>
      <c r="AQ1" s="606"/>
      <c r="AR1" s="606"/>
      <c r="AS1" s="607"/>
      <c r="AT1" s="594" t="str">
        <f>CONCATENATE($F$1," - VW SMA (Trend Finder)")</f>
        <v>Ashok - VW SMA (Trend Finder)</v>
      </c>
      <c r="AU1" s="596"/>
      <c r="AV1" s="606" t="str">
        <f>CONCATENATE($G$1," - VW SMA (Trend Finder)")</f>
        <v>AsianP - VW SMA (Trend Finder)</v>
      </c>
      <c r="AW1" s="606"/>
      <c r="AX1" s="594" t="str">
        <f>CONCATENATE($F$1," - Volume Weighted EMA (Trend Finder)")</f>
        <v>Ashok - Volume Weighted EMA (Trend Finder)</v>
      </c>
      <c r="AY1" s="596"/>
      <c r="AZ1" s="596"/>
      <c r="BA1" s="596"/>
      <c r="BB1" s="596"/>
      <c r="BC1" s="596"/>
      <c r="BD1" s="596"/>
      <c r="BE1" s="595"/>
      <c r="BF1" s="605" t="str">
        <f>CONCATENATE($G$1," - Volume Weighted EMA (Trend Finder)")</f>
        <v>AsianP - Volume Weighted EMA (Trend Finder)</v>
      </c>
      <c r="BG1" s="606"/>
      <c r="BH1" s="606"/>
      <c r="BI1" s="606"/>
      <c r="BJ1" s="606"/>
      <c r="BK1" s="606"/>
      <c r="BL1" s="606"/>
      <c r="BM1" s="607"/>
      <c r="BN1" s="741" t="str">
        <f>CONCATENATE($F$1," - SMA Crossover (Entries &amp; Exits)")</f>
        <v>Ashok - SMA Crossover (Entries &amp; Exits)</v>
      </c>
      <c r="BO1" s="741"/>
      <c r="BP1" s="741"/>
      <c r="BQ1" s="741"/>
      <c r="BR1" s="742"/>
      <c r="BS1" s="605" t="str">
        <f>CONCATENATE($G$1," - SMA Crossover (Entries &amp; Exits)")</f>
        <v>AsianP - SMA Crossover (Entries &amp; Exits)</v>
      </c>
      <c r="BT1" s="606"/>
      <c r="BU1" s="606"/>
      <c r="BV1" s="606"/>
      <c r="BW1" s="607"/>
      <c r="BX1" s="596" t="str">
        <f>CONCATENATE($F$1," - Volume Weighted MACD (12,26,9)")</f>
        <v>Ashok - Volume Weighted MACD (12,26,9)</v>
      </c>
      <c r="BY1" s="596"/>
      <c r="BZ1" s="596"/>
      <c r="CA1" s="596"/>
      <c r="CB1" s="596"/>
      <c r="CC1" s="596"/>
      <c r="CD1" s="596"/>
      <c r="CE1" s="596"/>
      <c r="CF1" s="596"/>
      <c r="CG1" s="605" t="str">
        <f>CONCATENATE($G$1," - Volume Weighted MACD (12,26,9)")</f>
        <v>AsianP - Volume Weighted MACD (12,26,9)</v>
      </c>
      <c r="CH1" s="606"/>
      <c r="CI1" s="606"/>
      <c r="CJ1" s="606"/>
      <c r="CK1" s="606"/>
      <c r="CL1" s="606"/>
      <c r="CM1" s="606"/>
      <c r="CN1" s="606"/>
      <c r="CO1" s="607"/>
      <c r="CP1" s="596" t="str">
        <f>CONCATENATE($F$1," - Money Flow Index [MFI] (14) [with Entries &amp; Exits]")</f>
        <v>Ashok - Money Flow Index [MFI] (14) [with Entries &amp; Exits]</v>
      </c>
      <c r="CQ1" s="596"/>
      <c r="CR1" s="596"/>
      <c r="CS1" s="596"/>
      <c r="CT1" s="596"/>
      <c r="CU1" s="596"/>
      <c r="CV1" s="596"/>
      <c r="CW1" s="596"/>
      <c r="CX1" s="595"/>
      <c r="CY1" s="605" t="str">
        <f>CONCATENATE($G$1," - Money Flow Index [MFI] (14) [with Entries &amp; Exits]")</f>
        <v>AsianP - Money Flow Index [MFI] (14) [with Entries &amp; Exits]</v>
      </c>
      <c r="CZ1" s="606"/>
      <c r="DA1" s="606"/>
      <c r="DB1" s="606"/>
      <c r="DC1" s="606"/>
      <c r="DD1" s="606"/>
      <c r="DE1" s="606"/>
      <c r="DF1" s="606"/>
      <c r="DG1" s="607"/>
      <c r="DH1" s="594" t="str">
        <f>CONCATENATE($F$1," - MM (Market Normalisation) with Volume Weighted ATR (21) for Positional Trades")</f>
        <v>Ashok - MM (Market Normalisation) with Volume Weighted ATR (21) for Positional Trades</v>
      </c>
      <c r="DI1" s="596"/>
      <c r="DJ1" s="596"/>
      <c r="DK1" s="596"/>
      <c r="DL1" s="596"/>
      <c r="DM1" s="596"/>
      <c r="DN1" s="596"/>
      <c r="DO1" s="596"/>
      <c r="DP1" s="595"/>
      <c r="DQ1" s="605" t="str">
        <f>CONCATENATE($G$1," - MM (Market Normalisation) with Volume Weighted ATR (21) for Positional Trades")</f>
        <v>AsianP - MM (Market Normalisation) with Volume Weighted ATR (21) for Positional Trades</v>
      </c>
      <c r="DR1" s="606"/>
      <c r="DS1" s="606"/>
      <c r="DT1" s="606"/>
      <c r="DU1" s="606"/>
      <c r="DV1" s="606"/>
      <c r="DW1" s="606"/>
      <c r="DX1" s="606"/>
      <c r="DY1" s="606"/>
      <c r="DZ1" s="646" t="str">
        <f>CONCATENATE($F$1," - MM (Market Normalisation) with Volume Weighted ATR (8) for IntraDay Trades")</f>
        <v>Ashok - MM (Market Normalisation) with Volume Weighted ATR (8) for IntraDay Trades</v>
      </c>
      <c r="EA1" s="644"/>
      <c r="EB1" s="644"/>
      <c r="EC1" s="644"/>
      <c r="ED1" s="644"/>
      <c r="EE1" s="644"/>
      <c r="EF1" s="644"/>
      <c r="EG1" s="644"/>
      <c r="EH1" s="645"/>
      <c r="EI1" s="720" t="str">
        <f>CONCATENATE($G$1," - MM (Market Normalisation) with Volume Weighted ATR (8) for IntraDay Trades")</f>
        <v>AsianP - MM (Market Normalisation) with Volume Weighted ATR (8) for IntraDay Trades</v>
      </c>
      <c r="EJ1" s="621"/>
      <c r="EK1" s="621"/>
      <c r="EL1" s="621"/>
      <c r="EM1" s="621"/>
      <c r="EN1" s="621"/>
      <c r="EO1" s="621"/>
      <c r="EP1" s="621"/>
      <c r="EQ1" s="622"/>
      <c r="ER1" s="594" t="str">
        <f>CONCATENATE($F$1," - Strength /Weakness")</f>
        <v>Ashok - Strength /Weakness</v>
      </c>
      <c r="ES1" s="595"/>
      <c r="ET1" s="605" t="str">
        <f>CONCATENATE($G$1," - Strength /Weakness")</f>
        <v>AsianP - Strength /Weakness</v>
      </c>
      <c r="EU1" s="607"/>
      <c r="EV1" s="643" t="str">
        <f>CONCATENATE($F$1," - High-Low Range Average for ORB")</f>
        <v>Ashok - High-Low Range Average for ORB</v>
      </c>
      <c r="EW1" s="644"/>
      <c r="EX1" s="644"/>
      <c r="EY1" s="644"/>
      <c r="EZ1" s="645"/>
      <c r="FA1" s="620" t="str">
        <f>CONCATENATE($G$1," - High-Low Range Average for ORB")</f>
        <v>AsianP - High-Low Range Average for ORB</v>
      </c>
      <c r="FB1" s="621"/>
      <c r="FC1" s="621"/>
      <c r="FD1" s="621"/>
      <c r="FE1" s="622"/>
      <c r="FF1" s="297" t="str">
        <f>CONCATENATE($F$1," - B/SED")</f>
        <v>Ashok - B/SED</v>
      </c>
      <c r="FG1" s="183" t="str">
        <f>CONCATENATE($G$1," - B/SED")</f>
        <v>AsianP - B/SED</v>
      </c>
      <c r="FH1" s="594" t="str">
        <f>CONCATENATE($F$1," - CMI")</f>
        <v>Ashok - CMI</v>
      </c>
      <c r="FI1" s="595"/>
      <c r="FJ1" s="605" t="str">
        <f>CONCATENATE($G$1," - CMI")</f>
        <v>AsianP - CMI</v>
      </c>
      <c r="FK1" s="607"/>
      <c r="FL1" s="594" t="str">
        <f>CONCATENATE($F$1," - CMI")</f>
        <v>Ashok - CMI</v>
      </c>
      <c r="FM1" s="595"/>
      <c r="FN1" s="605" t="str">
        <f>CONCATENATE($G$1," - CMI")</f>
        <v>AsianP - CMI</v>
      </c>
      <c r="FO1" s="607"/>
      <c r="FQ1" s="735" t="str">
        <f>CONCATENATE($F$1," - Heikin Ashi OHLC (Trend Finder)")</f>
        <v>Ashok - Heikin Ashi OHLC (Trend Finder)</v>
      </c>
      <c r="FR1" s="736"/>
      <c r="FS1" s="736"/>
      <c r="FT1" s="737"/>
      <c r="FU1" s="738" t="str">
        <f>CONCATENATE($G$1," - Heikin Ashi OHLC (Trend Finder)")</f>
        <v>AsianP - Heikin Ashi OHLC (Trend Finder)</v>
      </c>
      <c r="FV1" s="739"/>
      <c r="FW1" s="739"/>
      <c r="FX1" s="740"/>
    </row>
    <row r="2" spans="1:180" ht="56.95" customHeight="1" thickBot="1" x14ac:dyDescent="0.35">
      <c r="A2" s="680" t="s">
        <v>12</v>
      </c>
      <c r="B2" s="681"/>
      <c r="C2" s="682"/>
      <c r="D2" s="693" t="s">
        <v>9</v>
      </c>
      <c r="E2" s="694"/>
      <c r="F2" s="693" t="s">
        <v>10</v>
      </c>
      <c r="G2" s="694"/>
      <c r="L2" s="700"/>
      <c r="M2" s="697" t="s">
        <v>14</v>
      </c>
      <c r="N2" s="631" t="str">
        <f>CONCATENATE($F$1,"
Open")</f>
        <v>Ashok
Open</v>
      </c>
      <c r="O2" s="631" t="str">
        <f>CONCATENATE($F$1,"
High")</f>
        <v>Ashok
High</v>
      </c>
      <c r="P2" s="631" t="str">
        <f>CONCATENATE($F$1,"
Low")</f>
        <v>Ashok
Low</v>
      </c>
      <c r="Q2" s="631" t="str">
        <f>CONCATENATE($F$1,"
Close")</f>
        <v>Ashok
Close</v>
      </c>
      <c r="R2" s="689" t="str">
        <f>CONCATENATE($F$1,"
Volume")</f>
        <v>Ashok
Volume</v>
      </c>
      <c r="S2" s="695" t="s">
        <v>14</v>
      </c>
      <c r="T2" s="637" t="str">
        <f>CONCATENATE($G$1,"
Open")</f>
        <v>AsianP
Open</v>
      </c>
      <c r="U2" s="637" t="str">
        <f>CONCATENATE($G$1,"
High")</f>
        <v>AsianP
High</v>
      </c>
      <c r="V2" s="637" t="str">
        <f>CONCATENATE($G$1,"
Low")</f>
        <v>AsianP
Low</v>
      </c>
      <c r="W2" s="637" t="str">
        <f>CONCATENATE($G$1,"
Close")</f>
        <v>AsianP
Close</v>
      </c>
      <c r="X2" s="664" t="str">
        <f>CONCATENATE($G$1,"
Volume")</f>
        <v>AsianP
Volume</v>
      </c>
      <c r="Y2" s="4"/>
      <c r="Z2" s="647" t="str">
        <f>CONCATENATE($F$1,"
% Change (Close)")</f>
        <v>Ashok
% Change (Close)</v>
      </c>
      <c r="AA2" s="664" t="str">
        <f>CONCATENATE($G$1,"
% Change (Close)")</f>
        <v>AsianP
% Change (Close)</v>
      </c>
      <c r="AB2" s="662" t="str">
        <f>CONCATENATE($F$1," &amp; Nifty
(21 Day)")</f>
        <v>Ashok &amp; Nifty
(21 Day)</v>
      </c>
      <c r="AC2" s="625" t="str">
        <f>CONCATENATE($G$1," &amp; Nifty
(21 Day)")</f>
        <v>AsianP &amp; Nifty
(21 Day)</v>
      </c>
      <c r="AD2" s="670" t="s">
        <v>274</v>
      </c>
      <c r="AE2" s="641" t="s">
        <v>15</v>
      </c>
      <c r="AF2" s="641" t="s">
        <v>16</v>
      </c>
      <c r="AG2" s="678" t="s">
        <v>275</v>
      </c>
      <c r="AH2" s="635" t="s">
        <v>274</v>
      </c>
      <c r="AI2" s="616" t="s">
        <v>15</v>
      </c>
      <c r="AJ2" s="616" t="s">
        <v>16</v>
      </c>
      <c r="AK2" s="668" t="s">
        <v>275</v>
      </c>
      <c r="AL2" s="670" t="s">
        <v>231</v>
      </c>
      <c r="AM2" s="641" t="s">
        <v>15</v>
      </c>
      <c r="AN2" s="641" t="s">
        <v>16</v>
      </c>
      <c r="AO2" s="618" t="s">
        <v>232</v>
      </c>
      <c r="AP2" s="635" t="s">
        <v>231</v>
      </c>
      <c r="AQ2" s="616" t="s">
        <v>15</v>
      </c>
      <c r="AR2" s="616" t="s">
        <v>16</v>
      </c>
      <c r="AS2" s="614" t="s">
        <v>232</v>
      </c>
      <c r="AT2" s="647" t="s">
        <v>186</v>
      </c>
      <c r="AU2" s="649" t="s">
        <v>283</v>
      </c>
      <c r="AV2" s="655" t="s">
        <v>186</v>
      </c>
      <c r="AW2" s="666" t="s">
        <v>283</v>
      </c>
      <c r="AX2" s="647" t="s">
        <v>185</v>
      </c>
      <c r="AY2" s="631" t="s">
        <v>187</v>
      </c>
      <c r="AZ2" s="629" t="s">
        <v>284</v>
      </c>
      <c r="BA2" s="631" t="s">
        <v>152</v>
      </c>
      <c r="BB2" s="631" t="s">
        <v>184</v>
      </c>
      <c r="BC2" s="631" t="s">
        <v>194</v>
      </c>
      <c r="BD2" s="631" t="s">
        <v>195</v>
      </c>
      <c r="BE2" s="710" t="s">
        <v>285</v>
      </c>
      <c r="BF2" s="655" t="s">
        <v>185</v>
      </c>
      <c r="BG2" s="637" t="s">
        <v>187</v>
      </c>
      <c r="BH2" s="639" t="s">
        <v>284</v>
      </c>
      <c r="BI2" s="637" t="s">
        <v>152</v>
      </c>
      <c r="BJ2" s="637" t="s">
        <v>184</v>
      </c>
      <c r="BK2" s="637" t="s">
        <v>194</v>
      </c>
      <c r="BL2" s="637" t="s">
        <v>195</v>
      </c>
      <c r="BM2" s="731" t="s">
        <v>285</v>
      </c>
      <c r="BN2" s="725" t="s">
        <v>179</v>
      </c>
      <c r="BO2" s="653" t="s">
        <v>223</v>
      </c>
      <c r="BP2" s="649" t="s">
        <v>224</v>
      </c>
      <c r="BQ2" s="653" t="s">
        <v>225</v>
      </c>
      <c r="BR2" s="651" t="s">
        <v>226</v>
      </c>
      <c r="BS2" s="655" t="s">
        <v>179</v>
      </c>
      <c r="BT2" s="653" t="s">
        <v>223</v>
      </c>
      <c r="BU2" s="649" t="s">
        <v>224</v>
      </c>
      <c r="BV2" s="653" t="s">
        <v>225</v>
      </c>
      <c r="BW2" s="651" t="s">
        <v>226</v>
      </c>
      <c r="BX2" s="631" t="s">
        <v>198</v>
      </c>
      <c r="BY2" s="631" t="s">
        <v>199</v>
      </c>
      <c r="BZ2" s="631" t="s">
        <v>196</v>
      </c>
      <c r="CA2" s="631" t="s">
        <v>200</v>
      </c>
      <c r="CB2" s="631" t="s">
        <v>201</v>
      </c>
      <c r="CC2" s="631" t="s">
        <v>197</v>
      </c>
      <c r="CD2" s="629" t="s">
        <v>286</v>
      </c>
      <c r="CE2" s="629" t="s">
        <v>288</v>
      </c>
      <c r="CF2" s="733" t="s">
        <v>287</v>
      </c>
      <c r="CG2" s="655" t="s">
        <v>198</v>
      </c>
      <c r="CH2" s="637" t="s">
        <v>204</v>
      </c>
      <c r="CI2" s="637" t="s">
        <v>202</v>
      </c>
      <c r="CJ2" s="637" t="s">
        <v>200</v>
      </c>
      <c r="CK2" s="637" t="s">
        <v>203</v>
      </c>
      <c r="CL2" s="637" t="s">
        <v>205</v>
      </c>
      <c r="CM2" s="639" t="s">
        <v>286</v>
      </c>
      <c r="CN2" s="639" t="s">
        <v>288</v>
      </c>
      <c r="CO2" s="731" t="s">
        <v>287</v>
      </c>
      <c r="CP2" s="601" t="s">
        <v>206</v>
      </c>
      <c r="CQ2" s="603" t="s">
        <v>208</v>
      </c>
      <c r="CR2" s="603" t="s">
        <v>209</v>
      </c>
      <c r="CS2" s="603" t="s">
        <v>289</v>
      </c>
      <c r="CT2" s="603" t="s">
        <v>290</v>
      </c>
      <c r="CU2" s="603" t="s">
        <v>207</v>
      </c>
      <c r="CV2" s="597" t="s">
        <v>291</v>
      </c>
      <c r="CW2" s="612" t="s">
        <v>292</v>
      </c>
      <c r="CX2" s="716" t="s">
        <v>293</v>
      </c>
      <c r="CY2" s="599" t="s">
        <v>206</v>
      </c>
      <c r="CZ2" s="627" t="s">
        <v>208</v>
      </c>
      <c r="DA2" s="627" t="s">
        <v>209</v>
      </c>
      <c r="DB2" s="627" t="s">
        <v>289</v>
      </c>
      <c r="DC2" s="627" t="s">
        <v>290</v>
      </c>
      <c r="DD2" s="627" t="s">
        <v>207</v>
      </c>
      <c r="DE2" s="714" t="s">
        <v>291</v>
      </c>
      <c r="DF2" s="612" t="s">
        <v>292</v>
      </c>
      <c r="DG2" s="716" t="s">
        <v>293</v>
      </c>
      <c r="DH2" s="725" t="s">
        <v>17</v>
      </c>
      <c r="DI2" s="641" t="s">
        <v>212</v>
      </c>
      <c r="DJ2" s="641" t="s">
        <v>213</v>
      </c>
      <c r="DK2" s="641" t="s">
        <v>210</v>
      </c>
      <c r="DL2" s="723" t="s">
        <v>211</v>
      </c>
      <c r="DM2" s="641" t="s">
        <v>18</v>
      </c>
      <c r="DN2" s="641" t="str">
        <f>CONCATENATE("Contract Risk
(Unit)
[",'Base Data'!$D$10,"N]")</f>
        <v>Contract Risk
(Unit)
[2N]</v>
      </c>
      <c r="DO2" s="723" t="str">
        <f>CONCATENATE("Max. Lots that can be Traded with a Unit of
Rs. ",'Base Data'!$D$7,"
[No. of Lots]")</f>
        <v>Max. Lots that can be Traded with a Unit of
Rs. 10500
[No. of Lots]</v>
      </c>
      <c r="DP2" s="610" t="s">
        <v>215</v>
      </c>
      <c r="DQ2" s="635" t="s">
        <v>17</v>
      </c>
      <c r="DR2" s="616" t="s">
        <v>212</v>
      </c>
      <c r="DS2" s="616" t="s">
        <v>213</v>
      </c>
      <c r="DT2" s="616" t="s">
        <v>210</v>
      </c>
      <c r="DU2" s="712" t="s">
        <v>211</v>
      </c>
      <c r="DV2" s="616" t="s">
        <v>18</v>
      </c>
      <c r="DW2" s="616" t="str">
        <f>CONCATENATE("Contract Risk
(Unit)
[",'Base Data'!$D$10,"N]")</f>
        <v>Contract Risk
(Unit)
[2N]</v>
      </c>
      <c r="DX2" s="712" t="str">
        <f>CONCATENATE("Max. Lots that can be Traded with a Unit of
Rs. ",'Base Data'!$D$7,"
[No. of Lots]")</f>
        <v>Max. Lots that can be Traded with a Unit of
Rs. 10500
[No. of Lots]</v>
      </c>
      <c r="DY2" s="721" t="s">
        <v>215</v>
      </c>
      <c r="DZ2" s="647" t="s">
        <v>17</v>
      </c>
      <c r="EA2" s="631" t="s">
        <v>212</v>
      </c>
      <c r="EB2" s="631" t="s">
        <v>216</v>
      </c>
      <c r="EC2" s="631" t="s">
        <v>217</v>
      </c>
      <c r="ED2" s="629" t="s">
        <v>221</v>
      </c>
      <c r="EE2" s="631" t="s">
        <v>18</v>
      </c>
      <c r="EF2" s="631" t="str">
        <f>CONCATENATE("Contract Risk
(Unit)
[",'Base Data'!$D$13,"N]")</f>
        <v>Contract Risk
(Unit)
[0.75N]</v>
      </c>
      <c r="EG2" s="629" t="str">
        <f>CONCATENATE("Max. Lots that can be Traded with a Unit of
Rs. ",'Base Data'!$D$7,"
[No. of Lots]")</f>
        <v>Max. Lots that can be Traded with a Unit of
Rs. 10500
[No. of Lots]</v>
      </c>
      <c r="EH2" s="710" t="s">
        <v>218</v>
      </c>
      <c r="EI2" s="729" t="s">
        <v>17</v>
      </c>
      <c r="EJ2" s="637" t="s">
        <v>212</v>
      </c>
      <c r="EK2" s="637" t="s">
        <v>216</v>
      </c>
      <c r="EL2" s="637" t="s">
        <v>217</v>
      </c>
      <c r="EM2" s="639" t="s">
        <v>221</v>
      </c>
      <c r="EN2" s="637" t="s">
        <v>18</v>
      </c>
      <c r="EO2" s="637" t="str">
        <f>CONCATENATE("Contract Risk
(Unit)
[",'Base Data'!$D$13,"N]")</f>
        <v>Contract Risk
(Unit)
[0.75N]</v>
      </c>
      <c r="EP2" s="639" t="str">
        <f>CONCATENATE("Max. Lots that can be Traded with a Unit of
Rs. ",'Base Data'!$D$7,"
[No. of Lots]")</f>
        <v>Max. Lots that can be Traded with a Unit of
Rs. 10500
[No. of Lots]</v>
      </c>
      <c r="EQ2" s="614" t="s">
        <v>218</v>
      </c>
      <c r="ER2" s="608" t="s">
        <v>227</v>
      </c>
      <c r="ES2" s="651" t="s">
        <v>228</v>
      </c>
      <c r="ET2" s="608" t="s">
        <v>227</v>
      </c>
      <c r="EU2" s="651" t="s">
        <v>228</v>
      </c>
      <c r="EV2" s="670" t="s">
        <v>106</v>
      </c>
      <c r="EW2" s="641" t="s">
        <v>105</v>
      </c>
      <c r="EX2" s="633" t="s">
        <v>296</v>
      </c>
      <c r="EY2" s="633" t="s">
        <v>297</v>
      </c>
      <c r="EZ2" s="625" t="s">
        <v>298</v>
      </c>
      <c r="FA2" s="635" t="s">
        <v>106</v>
      </c>
      <c r="FB2" s="616" t="s">
        <v>105</v>
      </c>
      <c r="FC2" s="633" t="s">
        <v>296</v>
      </c>
      <c r="FD2" s="633" t="s">
        <v>297</v>
      </c>
      <c r="FE2" s="625" t="s">
        <v>298</v>
      </c>
      <c r="FF2" s="610" t="s">
        <v>117</v>
      </c>
      <c r="FG2" s="623" t="s">
        <v>117</v>
      </c>
      <c r="FH2" s="608" t="s">
        <v>222</v>
      </c>
      <c r="FI2" s="618" t="s">
        <v>126</v>
      </c>
      <c r="FJ2" s="608" t="s">
        <v>222</v>
      </c>
      <c r="FK2" s="614" t="s">
        <v>126</v>
      </c>
      <c r="FL2" s="608" t="s">
        <v>299</v>
      </c>
      <c r="FM2" s="618" t="s">
        <v>126</v>
      </c>
      <c r="FN2" s="608" t="s">
        <v>299</v>
      </c>
      <c r="FO2" s="614" t="s">
        <v>126</v>
      </c>
      <c r="FQ2" s="745" t="str">
        <f>CONCATENATE($F$1,"
HaOpen")</f>
        <v>Ashok
HaOpen</v>
      </c>
      <c r="FR2" s="746" t="str">
        <f>CONCATENATE($F$1,"
HaHigh")</f>
        <v>Ashok
HaHigh</v>
      </c>
      <c r="FS2" s="746" t="str">
        <f>CONCATENATE($F$1,"
HaLow")</f>
        <v>Ashok
HaLow</v>
      </c>
      <c r="FT2" s="747" t="str">
        <f>CONCATENATE($F$1,"
HaClose")</f>
        <v>Ashok
HaClose</v>
      </c>
      <c r="FU2" s="748" t="str">
        <f>CONCATENATE($G$1,"
HaOpen")</f>
        <v>AsianP
HaOpen</v>
      </c>
      <c r="FV2" s="743" t="str">
        <f>CONCATENATE($G$1,"
HaHigh")</f>
        <v>AsianP
HaHigh</v>
      </c>
      <c r="FW2" s="743" t="str">
        <f>CONCATENATE($G$1,"
HaLow")</f>
        <v>AsianP
HaLow</v>
      </c>
      <c r="FX2" s="744" t="str">
        <f>CONCATENATE($G$1,"
HaClose")</f>
        <v>AsianP
HaClose</v>
      </c>
    </row>
    <row r="3" spans="1:180" ht="11.15" thickBot="1" x14ac:dyDescent="0.35">
      <c r="A3" s="683"/>
      <c r="B3" s="684"/>
      <c r="C3" s="684"/>
      <c r="D3" s="89" t="str">
        <f>$F$1</f>
        <v>Ashok</v>
      </c>
      <c r="E3" s="90" t="str">
        <f>$G$1</f>
        <v>AsianP</v>
      </c>
      <c r="F3" s="177" t="str">
        <f>$F$1</f>
        <v>Ashok</v>
      </c>
      <c r="G3" s="90" t="str">
        <f>$G$1</f>
        <v>AsianP</v>
      </c>
      <c r="L3" s="701"/>
      <c r="M3" s="698"/>
      <c r="N3" s="632"/>
      <c r="O3" s="632"/>
      <c r="P3" s="632"/>
      <c r="Q3" s="632"/>
      <c r="R3" s="690"/>
      <c r="S3" s="696"/>
      <c r="T3" s="638"/>
      <c r="U3" s="638"/>
      <c r="V3" s="638"/>
      <c r="W3" s="638"/>
      <c r="X3" s="665"/>
      <c r="Y3" s="114"/>
      <c r="Z3" s="648"/>
      <c r="AA3" s="665"/>
      <c r="AB3" s="663"/>
      <c r="AC3" s="626"/>
      <c r="AD3" s="671"/>
      <c r="AE3" s="642"/>
      <c r="AF3" s="642"/>
      <c r="AG3" s="679"/>
      <c r="AH3" s="636"/>
      <c r="AI3" s="617"/>
      <c r="AJ3" s="617"/>
      <c r="AK3" s="669"/>
      <c r="AL3" s="671"/>
      <c r="AM3" s="642"/>
      <c r="AN3" s="642"/>
      <c r="AO3" s="619"/>
      <c r="AP3" s="636"/>
      <c r="AQ3" s="617"/>
      <c r="AR3" s="617"/>
      <c r="AS3" s="615"/>
      <c r="AT3" s="648"/>
      <c r="AU3" s="650"/>
      <c r="AV3" s="656"/>
      <c r="AW3" s="667"/>
      <c r="AX3" s="648"/>
      <c r="AY3" s="632"/>
      <c r="AZ3" s="630"/>
      <c r="BA3" s="632"/>
      <c r="BB3" s="632"/>
      <c r="BC3" s="632"/>
      <c r="BD3" s="632"/>
      <c r="BE3" s="711"/>
      <c r="BF3" s="656"/>
      <c r="BG3" s="638"/>
      <c r="BH3" s="640"/>
      <c r="BI3" s="638"/>
      <c r="BJ3" s="638"/>
      <c r="BK3" s="638"/>
      <c r="BL3" s="638"/>
      <c r="BM3" s="732"/>
      <c r="BN3" s="726"/>
      <c r="BO3" s="654"/>
      <c r="BP3" s="650"/>
      <c r="BQ3" s="654"/>
      <c r="BR3" s="652"/>
      <c r="BS3" s="656"/>
      <c r="BT3" s="654"/>
      <c r="BU3" s="650"/>
      <c r="BV3" s="654"/>
      <c r="BW3" s="652"/>
      <c r="BX3" s="632"/>
      <c r="BY3" s="632"/>
      <c r="BZ3" s="632"/>
      <c r="CA3" s="632"/>
      <c r="CB3" s="632"/>
      <c r="CC3" s="632"/>
      <c r="CD3" s="630"/>
      <c r="CE3" s="630"/>
      <c r="CF3" s="734"/>
      <c r="CG3" s="656"/>
      <c r="CH3" s="638"/>
      <c r="CI3" s="638"/>
      <c r="CJ3" s="638"/>
      <c r="CK3" s="638"/>
      <c r="CL3" s="638"/>
      <c r="CM3" s="640"/>
      <c r="CN3" s="640"/>
      <c r="CO3" s="732"/>
      <c r="CP3" s="602"/>
      <c r="CQ3" s="604"/>
      <c r="CR3" s="604"/>
      <c r="CS3" s="604"/>
      <c r="CT3" s="604"/>
      <c r="CU3" s="604"/>
      <c r="CV3" s="598"/>
      <c r="CW3" s="613"/>
      <c r="CX3" s="717"/>
      <c r="CY3" s="600"/>
      <c r="CZ3" s="628"/>
      <c r="DA3" s="628"/>
      <c r="DB3" s="628"/>
      <c r="DC3" s="628"/>
      <c r="DD3" s="628"/>
      <c r="DE3" s="715"/>
      <c r="DF3" s="613"/>
      <c r="DG3" s="717"/>
      <c r="DH3" s="726"/>
      <c r="DI3" s="642"/>
      <c r="DJ3" s="642"/>
      <c r="DK3" s="642"/>
      <c r="DL3" s="724"/>
      <c r="DM3" s="642"/>
      <c r="DN3" s="642"/>
      <c r="DO3" s="724"/>
      <c r="DP3" s="611"/>
      <c r="DQ3" s="636"/>
      <c r="DR3" s="617"/>
      <c r="DS3" s="617"/>
      <c r="DT3" s="617"/>
      <c r="DU3" s="713"/>
      <c r="DV3" s="617"/>
      <c r="DW3" s="617"/>
      <c r="DX3" s="713"/>
      <c r="DY3" s="722"/>
      <c r="DZ3" s="648"/>
      <c r="EA3" s="632"/>
      <c r="EB3" s="632"/>
      <c r="EC3" s="632"/>
      <c r="ED3" s="630"/>
      <c r="EE3" s="632"/>
      <c r="EF3" s="632"/>
      <c r="EG3" s="630"/>
      <c r="EH3" s="711"/>
      <c r="EI3" s="730"/>
      <c r="EJ3" s="638"/>
      <c r="EK3" s="638"/>
      <c r="EL3" s="638"/>
      <c r="EM3" s="640"/>
      <c r="EN3" s="638"/>
      <c r="EO3" s="638"/>
      <c r="EP3" s="640"/>
      <c r="EQ3" s="615"/>
      <c r="ER3" s="609"/>
      <c r="ES3" s="652"/>
      <c r="ET3" s="609"/>
      <c r="EU3" s="652"/>
      <c r="EV3" s="671"/>
      <c r="EW3" s="642"/>
      <c r="EX3" s="634"/>
      <c r="EY3" s="634"/>
      <c r="EZ3" s="626"/>
      <c r="FA3" s="636"/>
      <c r="FB3" s="617"/>
      <c r="FC3" s="634"/>
      <c r="FD3" s="634"/>
      <c r="FE3" s="626"/>
      <c r="FF3" s="611"/>
      <c r="FG3" s="624"/>
      <c r="FH3" s="609"/>
      <c r="FI3" s="619"/>
      <c r="FJ3" s="609"/>
      <c r="FK3" s="615"/>
      <c r="FL3" s="609"/>
      <c r="FM3" s="619"/>
      <c r="FN3" s="609"/>
      <c r="FO3" s="615"/>
      <c r="FQ3" s="648"/>
      <c r="FR3" s="632"/>
      <c r="FS3" s="632"/>
      <c r="FT3" s="690"/>
      <c r="FU3" s="656"/>
      <c r="FV3" s="638"/>
      <c r="FW3" s="638"/>
      <c r="FX3" s="665"/>
    </row>
    <row r="4" spans="1:180" x14ac:dyDescent="0.3">
      <c r="A4" s="704" t="s">
        <v>19</v>
      </c>
      <c r="B4" s="705"/>
      <c r="C4" s="705"/>
      <c r="D4" s="175">
        <f>$Q$69</f>
        <v>94.4</v>
      </c>
      <c r="E4" s="180">
        <f>$W$69</f>
        <v>1172.55</v>
      </c>
      <c r="F4" s="178">
        <f>VLOOKUP(D1,'[3]Margin - NSE Fut (5Paisa)'!$A:$K,2,FALSE)</f>
        <v>4000</v>
      </c>
      <c r="G4" s="176">
        <f>VLOOKUP(E1,'[3]Margin - NSE Fut (5Paisa)'!$A:$K,2,FALSE)</f>
        <v>600</v>
      </c>
      <c r="J4" s="473"/>
      <c r="L4" s="278">
        <v>1</v>
      </c>
      <c r="M4" s="290">
        <f>'[6]ASHOKLEY-I'!C20</f>
        <v>42794</v>
      </c>
      <c r="N4" s="7">
        <f>'[6]ASHOKLEY-I'!D20</f>
        <v>89.45</v>
      </c>
      <c r="O4" s="7">
        <f>'[6]ASHOKLEY-I'!E20</f>
        <v>91.4</v>
      </c>
      <c r="P4" s="7">
        <f>'[6]ASHOKLEY-I'!F20</f>
        <v>89.4</v>
      </c>
      <c r="Q4" s="7">
        <f>'[6]ASHOKLEY-I'!G20</f>
        <v>91.15</v>
      </c>
      <c r="R4" s="11">
        <f>'[6]ASHOKLEY-I'!H20</f>
        <v>2240</v>
      </c>
      <c r="S4" s="291">
        <f>'[7]ASIANPAINT-I'!C20</f>
        <v>42794</v>
      </c>
      <c r="T4" s="9">
        <f>'[7]ASIANPAINT-I'!D20</f>
        <v>1007.7</v>
      </c>
      <c r="U4" s="9">
        <f>'[7]ASIANPAINT-I'!E20</f>
        <v>1032.45</v>
      </c>
      <c r="V4" s="9">
        <f>'[7]ASIANPAINT-I'!F20</f>
        <v>1002.6</v>
      </c>
      <c r="W4" s="9">
        <f>'[7]ASIANPAINT-I'!G20</f>
        <v>1030.3499999999999</v>
      </c>
      <c r="X4" s="12">
        <f>'[7]ASIANPAINT-I'!H20</f>
        <v>4362</v>
      </c>
      <c r="Y4" s="115"/>
      <c r="Z4" s="6">
        <v>0</v>
      </c>
      <c r="AA4" s="12">
        <v>0</v>
      </c>
      <c r="AB4" s="303">
        <v>0</v>
      </c>
      <c r="AC4" s="304">
        <v>0</v>
      </c>
      <c r="AD4" s="10">
        <v>0</v>
      </c>
      <c r="AE4" s="7">
        <v>0</v>
      </c>
      <c r="AF4" s="7">
        <v>0</v>
      </c>
      <c r="AG4" s="313">
        <v>0</v>
      </c>
      <c r="AH4" s="465">
        <v>0</v>
      </c>
      <c r="AI4" s="9">
        <v>0</v>
      </c>
      <c r="AJ4" s="9">
        <v>0</v>
      </c>
      <c r="AK4" s="324">
        <v>0</v>
      </c>
      <c r="AL4" s="10">
        <f>IF(P4=0,0,LN(O4/P4))</f>
        <v>2.2124796280635763E-2</v>
      </c>
      <c r="AM4" s="7">
        <v>0</v>
      </c>
      <c r="AN4" s="7">
        <v>0</v>
      </c>
      <c r="AO4" s="313">
        <v>0</v>
      </c>
      <c r="AP4" s="448">
        <f>IF(V4=0,0,LN(U4/V4))</f>
        <v>2.9337992683079846E-2</v>
      </c>
      <c r="AQ4" s="9">
        <v>0</v>
      </c>
      <c r="AR4" s="9">
        <v>0</v>
      </c>
      <c r="AS4" s="324">
        <v>0</v>
      </c>
      <c r="AT4" s="6">
        <f t="shared" ref="AT4:AT67" si="0">(N4*R4)</f>
        <v>200368</v>
      </c>
      <c r="AU4" s="318">
        <v>0</v>
      </c>
      <c r="AV4" s="140">
        <f t="shared" ref="AV4:AV67" si="1">(T4*X4)</f>
        <v>4395587.4000000004</v>
      </c>
      <c r="AW4" s="480">
        <v>0</v>
      </c>
      <c r="AX4" s="6">
        <v>0</v>
      </c>
      <c r="AY4" s="7">
        <v>0</v>
      </c>
      <c r="AZ4" s="318">
        <v>0</v>
      </c>
      <c r="BA4" s="7">
        <f t="shared" ref="BA4:BA67" si="2">(O4+P4+Q4)/3</f>
        <v>90.65000000000002</v>
      </c>
      <c r="BB4" s="7">
        <f t="shared" ref="BB4:BB67" si="3">(BA4*R4)</f>
        <v>203056.00000000006</v>
      </c>
      <c r="BC4" s="7">
        <v>0</v>
      </c>
      <c r="BD4" s="7">
        <v>0</v>
      </c>
      <c r="BE4" s="313">
        <v>0</v>
      </c>
      <c r="BF4" s="140">
        <v>0</v>
      </c>
      <c r="BG4" s="9">
        <v>0</v>
      </c>
      <c r="BH4" s="328">
        <v>0</v>
      </c>
      <c r="BI4" s="9">
        <f t="shared" ref="BI4:BI67" si="4">(U4+V4+W4)/3</f>
        <v>1021.8000000000001</v>
      </c>
      <c r="BJ4" s="9">
        <f t="shared" ref="BJ4:BJ67" si="5">(BI4*X4)</f>
        <v>4457091.6000000006</v>
      </c>
      <c r="BK4" s="9">
        <v>0</v>
      </c>
      <c r="BL4" s="9">
        <v>0</v>
      </c>
      <c r="BM4" s="324">
        <v>0</v>
      </c>
      <c r="BN4" s="6">
        <f t="shared" ref="BN4:BN67" si="6">(Q4*R4)</f>
        <v>204176</v>
      </c>
      <c r="BO4" s="330">
        <v>0</v>
      </c>
      <c r="BP4" s="318">
        <v>0</v>
      </c>
      <c r="BQ4" s="330">
        <v>0</v>
      </c>
      <c r="BR4" s="313">
        <v>0</v>
      </c>
      <c r="BS4" s="140">
        <f t="shared" ref="BS4:BS67" si="7">(W4*X4)</f>
        <v>4494386.6999999993</v>
      </c>
      <c r="BT4" s="338">
        <v>0</v>
      </c>
      <c r="BU4" s="328">
        <v>0</v>
      </c>
      <c r="BV4" s="338">
        <v>0</v>
      </c>
      <c r="BW4" s="324">
        <v>0</v>
      </c>
      <c r="BX4" s="7">
        <v>0</v>
      </c>
      <c r="BY4" s="7">
        <v>0</v>
      </c>
      <c r="BZ4" s="7">
        <v>0</v>
      </c>
      <c r="CA4" s="7">
        <v>0</v>
      </c>
      <c r="CB4" s="7">
        <v>0</v>
      </c>
      <c r="CC4" s="7">
        <v>0</v>
      </c>
      <c r="CD4" s="340">
        <v>0</v>
      </c>
      <c r="CE4" s="340">
        <v>0</v>
      </c>
      <c r="CF4" s="341">
        <v>0</v>
      </c>
      <c r="CG4" s="140">
        <v>0</v>
      </c>
      <c r="CH4" s="9">
        <v>0</v>
      </c>
      <c r="CI4" s="9">
        <v>0</v>
      </c>
      <c r="CJ4" s="9"/>
      <c r="CK4" s="9"/>
      <c r="CL4" s="9">
        <v>0</v>
      </c>
      <c r="CM4" s="348">
        <v>0</v>
      </c>
      <c r="CN4" s="348">
        <v>0</v>
      </c>
      <c r="CO4" s="349">
        <v>0</v>
      </c>
      <c r="CP4" s="8">
        <v>0</v>
      </c>
      <c r="CQ4" s="7">
        <v>0</v>
      </c>
      <c r="CR4" s="7">
        <v>0</v>
      </c>
      <c r="CS4" s="7">
        <v>0</v>
      </c>
      <c r="CT4" s="7">
        <v>0</v>
      </c>
      <c r="CU4" s="7">
        <v>0</v>
      </c>
      <c r="CV4" s="340">
        <v>0</v>
      </c>
      <c r="CW4" s="340">
        <v>0</v>
      </c>
      <c r="CX4" s="354">
        <v>0</v>
      </c>
      <c r="CY4" s="140">
        <v>0</v>
      </c>
      <c r="CZ4" s="9">
        <v>0</v>
      </c>
      <c r="DA4" s="9">
        <v>0</v>
      </c>
      <c r="DB4" s="9">
        <v>0</v>
      </c>
      <c r="DC4" s="9">
        <v>0</v>
      </c>
      <c r="DD4" s="9">
        <v>0</v>
      </c>
      <c r="DE4" s="348">
        <v>0</v>
      </c>
      <c r="DF4" s="348">
        <v>0</v>
      </c>
      <c r="DG4" s="349">
        <v>0</v>
      </c>
      <c r="DH4" s="6">
        <v>0</v>
      </c>
      <c r="DI4" s="8"/>
      <c r="DJ4" s="7">
        <v>0</v>
      </c>
      <c r="DK4" s="7">
        <v>0</v>
      </c>
      <c r="DL4" s="318">
        <v>0</v>
      </c>
      <c r="DM4" s="7">
        <v>0</v>
      </c>
      <c r="DN4" s="7">
        <v>0</v>
      </c>
      <c r="DO4" s="360">
        <v>0</v>
      </c>
      <c r="DP4" s="361">
        <v>0</v>
      </c>
      <c r="DQ4" s="140">
        <v>0</v>
      </c>
      <c r="DR4" s="142"/>
      <c r="DS4" s="9">
        <v>0</v>
      </c>
      <c r="DT4" s="9">
        <v>0</v>
      </c>
      <c r="DU4" s="328">
        <v>0</v>
      </c>
      <c r="DV4" s="9">
        <v>0</v>
      </c>
      <c r="DW4" s="9">
        <v>0</v>
      </c>
      <c r="DX4" s="370">
        <v>0</v>
      </c>
      <c r="DY4" s="371">
        <v>0</v>
      </c>
      <c r="DZ4" s="6">
        <v>0</v>
      </c>
      <c r="EA4" s="7"/>
      <c r="EB4" s="7">
        <v>0</v>
      </c>
      <c r="EC4" s="7">
        <v>0</v>
      </c>
      <c r="ED4" s="318">
        <v>0</v>
      </c>
      <c r="EE4" s="7">
        <v>0</v>
      </c>
      <c r="EF4" s="7">
        <v>0</v>
      </c>
      <c r="EG4" s="369" t="s">
        <v>20</v>
      </c>
      <c r="EH4" s="380"/>
      <c r="EI4" s="142">
        <v>0</v>
      </c>
      <c r="EJ4" s="9"/>
      <c r="EK4" s="9">
        <v>0</v>
      </c>
      <c r="EL4" s="9">
        <v>0</v>
      </c>
      <c r="EM4" s="328">
        <v>0</v>
      </c>
      <c r="EN4" s="9">
        <v>0</v>
      </c>
      <c r="EO4" s="9">
        <v>0</v>
      </c>
      <c r="EP4" s="379" t="s">
        <v>20</v>
      </c>
      <c r="EQ4" s="383"/>
      <c r="ER4" s="395">
        <v>0</v>
      </c>
      <c r="ES4" s="401">
        <v>0</v>
      </c>
      <c r="ET4" s="402">
        <v>0</v>
      </c>
      <c r="EU4" s="409">
        <v>0</v>
      </c>
      <c r="EV4" s="8">
        <f t="shared" ref="EV4:EV67" si="8">(O4-P4)</f>
        <v>2</v>
      </c>
      <c r="EW4" s="51">
        <f t="shared" ref="EW4:EW67" si="9">EV4/N4</f>
        <v>2.2358859698155393E-2</v>
      </c>
      <c r="EX4" s="387" t="s">
        <v>20</v>
      </c>
      <c r="EY4" s="387" t="s">
        <v>20</v>
      </c>
      <c r="EZ4" s="317" t="s">
        <v>20</v>
      </c>
      <c r="FA4" s="441">
        <f t="shared" ref="FA4:FA67" si="10">(U4-V4)</f>
        <v>29.850000000000023</v>
      </c>
      <c r="FB4" s="52">
        <f t="shared" ref="FB4:FB67" si="11">FA4/T4</f>
        <v>2.9621911283119997E-2</v>
      </c>
      <c r="FC4" s="393" t="s">
        <v>20</v>
      </c>
      <c r="FD4" s="393" t="s">
        <v>20</v>
      </c>
      <c r="FE4" s="386" t="s">
        <v>20</v>
      </c>
      <c r="FF4" s="361" t="s">
        <v>20</v>
      </c>
      <c r="FG4" s="411" t="s">
        <v>20</v>
      </c>
      <c r="FH4" s="412">
        <v>0</v>
      </c>
      <c r="FI4" s="413" t="s">
        <v>20</v>
      </c>
      <c r="FJ4" s="402">
        <v>0</v>
      </c>
      <c r="FK4" s="414" t="s">
        <v>20</v>
      </c>
      <c r="FL4" s="412">
        <v>0</v>
      </c>
      <c r="FM4" s="413" t="s">
        <v>20</v>
      </c>
      <c r="FN4" s="402">
        <v>0</v>
      </c>
      <c r="FO4" s="414" t="s">
        <v>20</v>
      </c>
      <c r="FQ4" s="231">
        <f>N4</f>
        <v>89.45</v>
      </c>
      <c r="FR4" s="232">
        <f t="shared" ref="FR4:FR67" si="12">MAX(O4,FQ4,FT4)</f>
        <v>91.4</v>
      </c>
      <c r="FS4" s="232">
        <f t="shared" ref="FS4:FS67" si="13">MIN(P4,FQ4,FT4)</f>
        <v>89.4</v>
      </c>
      <c r="FT4" s="233">
        <f t="shared" ref="FT4:FT67" si="14">(N4+O4+P4+Q4)/4</f>
        <v>90.35</v>
      </c>
      <c r="FU4" s="234">
        <f>T4</f>
        <v>1007.7</v>
      </c>
      <c r="FV4" s="235">
        <f t="shared" ref="FV4:FV67" si="15">MAX(U4,FU4,FX4)</f>
        <v>1032.45</v>
      </c>
      <c r="FW4" s="235">
        <f t="shared" ref="FW4:FW67" si="16">MIN(V4,FU4,FX4)</f>
        <v>1002.6</v>
      </c>
      <c r="FX4" s="236">
        <f t="shared" ref="FX4:FX67" si="17">(T4+U4+V4+W4)/4</f>
        <v>1018.275</v>
      </c>
    </row>
    <row r="5" spans="1:180" ht="11.15" thickBot="1" x14ac:dyDescent="0.35">
      <c r="A5" s="706" t="s">
        <v>108</v>
      </c>
      <c r="B5" s="707"/>
      <c r="C5" s="707"/>
      <c r="D5" s="174" t="str">
        <f>CONCATENATE($D$1,$F$5)</f>
        <v>AshokLey18NovFut</v>
      </c>
      <c r="E5" s="139" t="str">
        <f>CONCATENATE($E$1,$F$5)</f>
        <v>AsianPaint18NovFut</v>
      </c>
      <c r="F5" s="179" t="str">
        <f>'Base Data'!$D$1</f>
        <v>18NovFut</v>
      </c>
      <c r="G5" s="139"/>
      <c r="J5" s="476"/>
      <c r="L5" s="283">
        <f>L4+1</f>
        <v>2</v>
      </c>
      <c r="M5" s="290">
        <f>'[6]ASHOKLEY-I'!C21</f>
        <v>42795</v>
      </c>
      <c r="N5" s="7">
        <f>'[6]ASHOKLEY-I'!D21</f>
        <v>91.5</v>
      </c>
      <c r="O5" s="7">
        <f>'[6]ASHOKLEY-I'!E21</f>
        <v>92.25</v>
      </c>
      <c r="P5" s="7">
        <f>'[6]ASHOKLEY-I'!F21</f>
        <v>89.5</v>
      </c>
      <c r="Q5" s="7">
        <f>'[6]ASHOKLEY-I'!G21</f>
        <v>89.8</v>
      </c>
      <c r="R5" s="11">
        <f>'[6]ASHOKLEY-I'!H21</f>
        <v>3990</v>
      </c>
      <c r="S5" s="291">
        <f>'[7]ASIANPAINT-I'!C21</f>
        <v>42795</v>
      </c>
      <c r="T5" s="9">
        <f>'[7]ASIANPAINT-I'!D21</f>
        <v>1033.55</v>
      </c>
      <c r="U5" s="9">
        <f>'[7]ASIANPAINT-I'!E21</f>
        <v>1044.8</v>
      </c>
      <c r="V5" s="9">
        <f>'[7]ASIANPAINT-I'!F21</f>
        <v>1029.1500000000001</v>
      </c>
      <c r="W5" s="9">
        <f>'[7]ASIANPAINT-I'!G21</f>
        <v>1037</v>
      </c>
      <c r="X5" s="12">
        <f>'[7]ASIANPAINT-I'!H21</f>
        <v>3903</v>
      </c>
      <c r="Y5" s="115"/>
      <c r="Z5" s="122">
        <f t="shared" ref="Z5:Z67" si="18">IF(Q4=0,0,(Q5-Q4)/Q4)</f>
        <v>-1.4810751508502562E-2</v>
      </c>
      <c r="AA5" s="19">
        <f t="shared" ref="AA5:AA67" si="19">IF(W4=0,0,(W5-W4)/W4)</f>
        <v>6.4541175328772663E-3</v>
      </c>
      <c r="AB5" s="305">
        <v>0</v>
      </c>
      <c r="AC5" s="306">
        <v>0</v>
      </c>
      <c r="AD5" s="466">
        <f t="shared" ref="AD5:AD66" si="20">IF(OR(Q4=0,Q5=0),0,LN(Q5/Q4))</f>
        <v>-1.4921525816518186E-2</v>
      </c>
      <c r="AE5" s="17">
        <f>AF4</f>
        <v>0</v>
      </c>
      <c r="AF5" s="17">
        <f>SQRT((0.94*(AE5^2))+(0.06*(AD5^2)))</f>
        <v>3.6550124434235683E-3</v>
      </c>
      <c r="AG5" s="314">
        <f>AF5*SQRT(365)</f>
        <v>6.9828914684227403E-2</v>
      </c>
      <c r="AH5" s="467">
        <f t="shared" ref="AH5:AH67" si="21">IF(OR(W4=0,W5=0),0,LN(W5/W4))</f>
        <v>6.4333789015270136E-3</v>
      </c>
      <c r="AI5" s="18">
        <f>AJ4</f>
        <v>0</v>
      </c>
      <c r="AJ5" s="18">
        <f t="shared" ref="AJ5:AJ36" si="22">SQRT((0.94*(AI5^2))+(0.06*(AH5^2)))</f>
        <v>1.5758495630728128E-3</v>
      </c>
      <c r="AK5" s="385">
        <f>AJ5*SQRT(365)</f>
        <v>3.010656362962108E-2</v>
      </c>
      <c r="AL5" s="10">
        <f t="shared" ref="AL5:AL67" si="23">IF(P5=0,0,LN(O5/P5))</f>
        <v>3.026365763982693E-2</v>
      </c>
      <c r="AM5" s="17">
        <f>AN4</f>
        <v>0</v>
      </c>
      <c r="AN5" s="17">
        <f>SQRT((0.94*(AM5^2))+(0.06*(AL5^2)))</f>
        <v>7.4130518967857831E-3</v>
      </c>
      <c r="AO5" s="314">
        <f>AN5*SQRT(365)</f>
        <v>0.141626157629586</v>
      </c>
      <c r="AP5" s="448">
        <f t="shared" ref="AP5:AP67" si="24">IF(V5=0,0,LN(U5/V5))</f>
        <v>1.5092260717157042E-2</v>
      </c>
      <c r="AQ5" s="18">
        <f>AR4</f>
        <v>0</v>
      </c>
      <c r="AR5" s="18">
        <f t="shared" ref="AR5:AR36" si="25">SQRT((0.94*(AQ5^2))+(0.06*(AP5^2)))</f>
        <v>3.6968337822085666E-3</v>
      </c>
      <c r="AS5" s="385">
        <f>AR5*SQRT(365)</f>
        <v>7.0627910239838262E-2</v>
      </c>
      <c r="AT5" s="6">
        <f t="shared" si="0"/>
        <v>365085</v>
      </c>
      <c r="AU5" s="319">
        <v>0</v>
      </c>
      <c r="AV5" s="140">
        <f t="shared" si="1"/>
        <v>4033945.65</v>
      </c>
      <c r="AW5" s="481">
        <v>0</v>
      </c>
      <c r="AX5" s="135">
        <v>0</v>
      </c>
      <c r="AY5" s="21">
        <v>0</v>
      </c>
      <c r="AZ5" s="319">
        <v>0</v>
      </c>
      <c r="BA5" s="21">
        <f t="shared" si="2"/>
        <v>90.516666666666666</v>
      </c>
      <c r="BB5" s="21">
        <f t="shared" si="3"/>
        <v>361161.5</v>
      </c>
      <c r="BC5" s="21">
        <v>0</v>
      </c>
      <c r="BD5" s="21">
        <v>0</v>
      </c>
      <c r="BE5" s="332">
        <v>0</v>
      </c>
      <c r="BF5" s="141">
        <v>0</v>
      </c>
      <c r="BG5" s="118">
        <v>0</v>
      </c>
      <c r="BH5" s="329">
        <v>0</v>
      </c>
      <c r="BI5" s="118">
        <f t="shared" si="4"/>
        <v>1036.9833333333333</v>
      </c>
      <c r="BJ5" s="118">
        <f t="shared" si="5"/>
        <v>4047345.95</v>
      </c>
      <c r="BK5" s="118">
        <v>0</v>
      </c>
      <c r="BL5" s="118">
        <v>0</v>
      </c>
      <c r="BM5" s="325">
        <v>0</v>
      </c>
      <c r="BN5" s="6">
        <f t="shared" si="6"/>
        <v>358302</v>
      </c>
      <c r="BO5" s="331">
        <v>0</v>
      </c>
      <c r="BP5" s="319">
        <v>0</v>
      </c>
      <c r="BQ5" s="331">
        <v>0</v>
      </c>
      <c r="BR5" s="332">
        <v>0</v>
      </c>
      <c r="BS5" s="140">
        <f t="shared" si="7"/>
        <v>4047411</v>
      </c>
      <c r="BT5" s="339">
        <v>0</v>
      </c>
      <c r="BU5" s="329">
        <v>0</v>
      </c>
      <c r="BV5" s="339">
        <v>0</v>
      </c>
      <c r="BW5" s="325">
        <v>0</v>
      </c>
      <c r="BX5" s="21">
        <v>0</v>
      </c>
      <c r="BY5" s="21">
        <v>0</v>
      </c>
      <c r="BZ5" s="21">
        <v>0</v>
      </c>
      <c r="CA5" s="21">
        <v>0</v>
      </c>
      <c r="CB5" s="21">
        <v>0</v>
      </c>
      <c r="CC5" s="21">
        <v>0</v>
      </c>
      <c r="CD5" s="342">
        <v>0</v>
      </c>
      <c r="CE5" s="342">
        <v>0</v>
      </c>
      <c r="CF5" s="343">
        <v>0</v>
      </c>
      <c r="CG5" s="141">
        <v>0</v>
      </c>
      <c r="CH5" s="118">
        <v>0</v>
      </c>
      <c r="CI5" s="118">
        <v>0</v>
      </c>
      <c r="CJ5" s="118"/>
      <c r="CK5" s="118"/>
      <c r="CL5" s="118">
        <v>0</v>
      </c>
      <c r="CM5" s="350">
        <v>0</v>
      </c>
      <c r="CN5" s="350">
        <v>0</v>
      </c>
      <c r="CO5" s="351">
        <v>0</v>
      </c>
      <c r="CP5" s="20">
        <f t="shared" ref="CP5:CP67" si="26">(BA5-BA4)</f>
        <v>-0.13333333333335418</v>
      </c>
      <c r="CQ5" s="21">
        <f t="shared" ref="CQ5:CQ67" si="27">IF(CP5&gt;=0,BB5,0)</f>
        <v>0</v>
      </c>
      <c r="CR5" s="21">
        <f t="shared" ref="CR5:CR67" si="28">IF(CP5&lt;0,BB5,0)</f>
        <v>361161.5</v>
      </c>
      <c r="CS5" s="21">
        <v>0</v>
      </c>
      <c r="CT5" s="21">
        <v>0</v>
      </c>
      <c r="CU5" s="21">
        <v>0</v>
      </c>
      <c r="CV5" s="342">
        <v>0</v>
      </c>
      <c r="CW5" s="342">
        <v>0</v>
      </c>
      <c r="CX5" s="355">
        <v>0</v>
      </c>
      <c r="CY5" s="141">
        <f t="shared" ref="CY5:CY67" si="29">(BI5-BI4)</f>
        <v>15.18333333333328</v>
      </c>
      <c r="CZ5" s="118">
        <f t="shared" ref="CZ5:CZ67" si="30">IF(CY5&gt;=0,BJ5,0)</f>
        <v>4047345.95</v>
      </c>
      <c r="DA5" s="118">
        <f t="shared" ref="DA5:DA67" si="31">IF(CY5&lt;0,BJ5,0)</f>
        <v>0</v>
      </c>
      <c r="DB5" s="118">
        <v>0</v>
      </c>
      <c r="DC5" s="118">
        <v>0</v>
      </c>
      <c r="DD5" s="118">
        <v>0</v>
      </c>
      <c r="DE5" s="350">
        <v>0</v>
      </c>
      <c r="DF5" s="350">
        <v>0</v>
      </c>
      <c r="DG5" s="351">
        <v>0</v>
      </c>
      <c r="DH5" s="135">
        <f t="shared" ref="DH5:DH67" si="32">MAX(O5-P5,ABS(O5-Q4),ABS(Q4-P5))</f>
        <v>2.75</v>
      </c>
      <c r="DI5" s="20">
        <f t="shared" ref="DI5:DI67" si="33">(DH5*R5)</f>
        <v>10972.5</v>
      </c>
      <c r="DJ5" s="21">
        <v>0</v>
      </c>
      <c r="DK5" s="21">
        <v>0</v>
      </c>
      <c r="DL5" s="319">
        <v>0</v>
      </c>
      <c r="DM5" s="21">
        <v>0</v>
      </c>
      <c r="DN5" s="21">
        <v>0</v>
      </c>
      <c r="DO5" s="319">
        <v>0</v>
      </c>
      <c r="DP5" s="362">
        <v>0</v>
      </c>
      <c r="DQ5" s="141">
        <f t="shared" ref="DQ5:DQ67" si="34">MAX(U5-V5,ABS(U5-W4),ABS(W4-V5))</f>
        <v>15.649999999999864</v>
      </c>
      <c r="DR5" s="143">
        <f t="shared" ref="DR5:DR67" si="35">(DQ5*X5)</f>
        <v>61081.949999999466</v>
      </c>
      <c r="DS5" s="118">
        <v>0</v>
      </c>
      <c r="DT5" s="118">
        <v>0</v>
      </c>
      <c r="DU5" s="329">
        <v>0</v>
      </c>
      <c r="DV5" s="118">
        <v>0</v>
      </c>
      <c r="DW5" s="118">
        <v>0</v>
      </c>
      <c r="DX5" s="372">
        <v>0</v>
      </c>
      <c r="DY5" s="373">
        <v>0</v>
      </c>
      <c r="DZ5" s="135">
        <f t="shared" ref="DZ5:DZ67" si="36">MAX(O5-P5,ABS(O5-Q4),ABS(Q4-P5))</f>
        <v>2.75</v>
      </c>
      <c r="EA5" s="21">
        <f t="shared" ref="EA5:EA67" si="37">(DZ5*R5)</f>
        <v>10972.5</v>
      </c>
      <c r="EB5" s="21">
        <v>0</v>
      </c>
      <c r="EC5" s="21">
        <v>0</v>
      </c>
      <c r="ED5" s="319">
        <v>0</v>
      </c>
      <c r="EE5" s="21">
        <v>0</v>
      </c>
      <c r="EF5" s="21">
        <v>0</v>
      </c>
      <c r="EG5" s="363" t="s">
        <v>20</v>
      </c>
      <c r="EH5" s="381"/>
      <c r="EI5" s="143">
        <f t="shared" ref="EI5:EI67" si="38">MAX(U5-V5,ABS(U5-W4),ABS(W4-V5))</f>
        <v>15.649999999999864</v>
      </c>
      <c r="EJ5" s="118">
        <f t="shared" ref="EJ5:EJ67" si="39">(EI5*X5)</f>
        <v>61081.949999999466</v>
      </c>
      <c r="EK5" s="118">
        <v>0</v>
      </c>
      <c r="EL5" s="118">
        <v>0</v>
      </c>
      <c r="EM5" s="329">
        <v>0</v>
      </c>
      <c r="EN5" s="118">
        <v>0</v>
      </c>
      <c r="EO5" s="118">
        <v>0</v>
      </c>
      <c r="EP5" s="375" t="s">
        <v>20</v>
      </c>
      <c r="EQ5" s="384"/>
      <c r="ER5" s="396">
        <v>0</v>
      </c>
      <c r="ES5" s="403">
        <v>0</v>
      </c>
      <c r="ET5" s="404">
        <v>0</v>
      </c>
      <c r="EU5" s="410">
        <v>0</v>
      </c>
      <c r="EV5" s="20">
        <f t="shared" si="8"/>
        <v>2.75</v>
      </c>
      <c r="EW5" s="17">
        <f t="shared" si="9"/>
        <v>3.0054644808743168E-2</v>
      </c>
      <c r="EX5" s="388" t="s">
        <v>20</v>
      </c>
      <c r="EY5" s="388" t="s">
        <v>20</v>
      </c>
      <c r="EZ5" s="314" t="s">
        <v>20</v>
      </c>
      <c r="FA5" s="442">
        <f t="shared" si="10"/>
        <v>15.649999999999864</v>
      </c>
      <c r="FB5" s="18">
        <f t="shared" si="11"/>
        <v>1.5141986357699061E-2</v>
      </c>
      <c r="FC5" s="394" t="s">
        <v>20</v>
      </c>
      <c r="FD5" s="394" t="s">
        <v>20</v>
      </c>
      <c r="FE5" s="385" t="s">
        <v>20</v>
      </c>
      <c r="FF5" s="361" t="s">
        <v>20</v>
      </c>
      <c r="FG5" s="411" t="s">
        <v>20</v>
      </c>
      <c r="FH5" s="415">
        <v>0</v>
      </c>
      <c r="FI5" s="413" t="s">
        <v>20</v>
      </c>
      <c r="FJ5" s="404">
        <v>0</v>
      </c>
      <c r="FK5" s="414" t="s">
        <v>20</v>
      </c>
      <c r="FL5" s="415">
        <v>0</v>
      </c>
      <c r="FM5" s="413" t="s">
        <v>20</v>
      </c>
      <c r="FN5" s="404">
        <v>0</v>
      </c>
      <c r="FO5" s="414" t="s">
        <v>20</v>
      </c>
      <c r="FQ5" s="135">
        <f>(FQ4+FT4)/2</f>
        <v>89.9</v>
      </c>
      <c r="FR5" s="21">
        <f t="shared" si="12"/>
        <v>92.25</v>
      </c>
      <c r="FS5" s="21">
        <f t="shared" si="13"/>
        <v>89.5</v>
      </c>
      <c r="FT5" s="182">
        <f t="shared" si="14"/>
        <v>90.762500000000003</v>
      </c>
      <c r="FU5" s="141">
        <f>(FU4+FX4)/2</f>
        <v>1012.9875</v>
      </c>
      <c r="FV5" s="118">
        <f t="shared" si="15"/>
        <v>1044.8</v>
      </c>
      <c r="FW5" s="118">
        <f t="shared" si="16"/>
        <v>1012.9875</v>
      </c>
      <c r="FX5" s="181">
        <f t="shared" si="17"/>
        <v>1036.125</v>
      </c>
    </row>
    <row r="6" spans="1:180" x14ac:dyDescent="0.3">
      <c r="J6" s="223" t="s">
        <v>301</v>
      </c>
      <c r="L6" s="283">
        <f t="shared" ref="L6:L67" si="40">L5+1</f>
        <v>3</v>
      </c>
      <c r="M6" s="290">
        <f>'[6]ASHOKLEY-I'!C22</f>
        <v>42796</v>
      </c>
      <c r="N6" s="7">
        <f>'[6]ASHOKLEY-I'!D22</f>
        <v>90</v>
      </c>
      <c r="O6" s="7">
        <f>'[6]ASHOKLEY-I'!E22</f>
        <v>90.6</v>
      </c>
      <c r="P6" s="7">
        <f>'[6]ASHOKLEY-I'!F22</f>
        <v>87.2</v>
      </c>
      <c r="Q6" s="7">
        <f>'[6]ASHOKLEY-I'!G22</f>
        <v>87.65</v>
      </c>
      <c r="R6" s="11">
        <f>'[6]ASHOKLEY-I'!H22</f>
        <v>3028</v>
      </c>
      <c r="S6" s="291">
        <f>'[7]ASIANPAINT-I'!C22</f>
        <v>42796</v>
      </c>
      <c r="T6" s="9">
        <f>'[7]ASIANPAINT-I'!D22</f>
        <v>1038.3</v>
      </c>
      <c r="U6" s="9">
        <f>'[7]ASIANPAINT-I'!E22</f>
        <v>1046.8</v>
      </c>
      <c r="V6" s="9">
        <f>'[7]ASIANPAINT-I'!F22</f>
        <v>1028.6500000000001</v>
      </c>
      <c r="W6" s="9">
        <f>'[7]ASIANPAINT-I'!G22</f>
        <v>1031.2</v>
      </c>
      <c r="X6" s="12">
        <f>'[7]ASIANPAINT-I'!H22</f>
        <v>3359</v>
      </c>
      <c r="Y6" s="115"/>
      <c r="Z6" s="122">
        <f t="shared" si="18"/>
        <v>-2.3942093541202577E-2</v>
      </c>
      <c r="AA6" s="19">
        <f t="shared" si="19"/>
        <v>-5.5930568948890595E-3</v>
      </c>
      <c r="AB6" s="305">
        <v>0</v>
      </c>
      <c r="AC6" s="306">
        <v>0</v>
      </c>
      <c r="AD6" s="466">
        <f t="shared" si="20"/>
        <v>-2.4233363940910319E-2</v>
      </c>
      <c r="AE6" s="17">
        <f t="shared" ref="AE6:AE67" si="41">AF5</f>
        <v>3.6550124434235683E-3</v>
      </c>
      <c r="AF6" s="17">
        <f t="shared" ref="AF6:AF67" si="42">SQRT((0.94*(AE6^2))+(0.06*(AD6^2)))</f>
        <v>6.9132427034961676E-3</v>
      </c>
      <c r="AG6" s="314">
        <f t="shared" ref="AG6:AG67" si="43">AF6*SQRT(365)</f>
        <v>0.13207731639939801</v>
      </c>
      <c r="AH6" s="467">
        <f t="shared" si="21"/>
        <v>-5.6087566045496867E-3</v>
      </c>
      <c r="AI6" s="18">
        <f>AJ5</f>
        <v>1.5758495630728128E-3</v>
      </c>
      <c r="AJ6" s="18">
        <f t="shared" si="22"/>
        <v>2.0547001663637817E-3</v>
      </c>
      <c r="AK6" s="385">
        <f t="shared" ref="AK6:AK38" si="44">AJ6*SQRT(365)</f>
        <v>3.9254991560108678E-2</v>
      </c>
      <c r="AL6" s="10">
        <f t="shared" si="23"/>
        <v>3.8249882133999637E-2</v>
      </c>
      <c r="AM6" s="17">
        <f t="shared" ref="AM6:AM67" si="45">AN5</f>
        <v>7.4130518967857831E-3</v>
      </c>
      <c r="AN6" s="17">
        <f t="shared" ref="AN6:AN67" si="46">SQRT((0.94*(AM6^2))+(0.06*(AL6^2)))</f>
        <v>1.1808443890490601E-2</v>
      </c>
      <c r="AO6" s="314">
        <f t="shared" ref="AO6:AO67" si="47">AN6*SQRT(365)</f>
        <v>0.22560000376091674</v>
      </c>
      <c r="AP6" s="448">
        <f t="shared" si="24"/>
        <v>1.7490628735751086E-2</v>
      </c>
      <c r="AQ6" s="18">
        <f>AR5</f>
        <v>3.6968337822085666E-3</v>
      </c>
      <c r="AR6" s="18">
        <f t="shared" si="25"/>
        <v>5.5858670613249187E-3</v>
      </c>
      <c r="AS6" s="385">
        <f t="shared" ref="AS6:AS38" si="48">AR6*SQRT(365)</f>
        <v>0.10671784036317479</v>
      </c>
      <c r="AT6" s="6">
        <f t="shared" si="0"/>
        <v>272520</v>
      </c>
      <c r="AU6" s="319">
        <v>0</v>
      </c>
      <c r="AV6" s="140">
        <f t="shared" si="1"/>
        <v>3487649.6999999997</v>
      </c>
      <c r="AW6" s="481">
        <v>0</v>
      </c>
      <c r="AX6" s="135">
        <v>0</v>
      </c>
      <c r="AY6" s="21">
        <v>0</v>
      </c>
      <c r="AZ6" s="319">
        <v>0</v>
      </c>
      <c r="BA6" s="21">
        <f t="shared" si="2"/>
        <v>88.483333333333348</v>
      </c>
      <c r="BB6" s="21">
        <f t="shared" si="3"/>
        <v>267927.53333333338</v>
      </c>
      <c r="BC6" s="21">
        <v>0</v>
      </c>
      <c r="BD6" s="21">
        <v>0</v>
      </c>
      <c r="BE6" s="332">
        <v>0</v>
      </c>
      <c r="BF6" s="141">
        <v>0</v>
      </c>
      <c r="BG6" s="118">
        <v>0</v>
      </c>
      <c r="BH6" s="329">
        <v>0</v>
      </c>
      <c r="BI6" s="118">
        <f t="shared" si="4"/>
        <v>1035.55</v>
      </c>
      <c r="BJ6" s="118">
        <f t="shared" si="5"/>
        <v>3478412.4499999997</v>
      </c>
      <c r="BK6" s="118">
        <v>0</v>
      </c>
      <c r="BL6" s="118">
        <v>0</v>
      </c>
      <c r="BM6" s="325">
        <v>0</v>
      </c>
      <c r="BN6" s="6">
        <f t="shared" si="6"/>
        <v>265404.2</v>
      </c>
      <c r="BO6" s="331">
        <v>0</v>
      </c>
      <c r="BP6" s="319">
        <v>0</v>
      </c>
      <c r="BQ6" s="331">
        <v>0</v>
      </c>
      <c r="BR6" s="332">
        <v>0</v>
      </c>
      <c r="BS6" s="140">
        <f t="shared" si="7"/>
        <v>3463800.8000000003</v>
      </c>
      <c r="BT6" s="339">
        <v>0</v>
      </c>
      <c r="BU6" s="329">
        <v>0</v>
      </c>
      <c r="BV6" s="339">
        <v>0</v>
      </c>
      <c r="BW6" s="325">
        <v>0</v>
      </c>
      <c r="BX6" s="21">
        <v>0</v>
      </c>
      <c r="BY6" s="21">
        <v>0</v>
      </c>
      <c r="BZ6" s="21">
        <v>0</v>
      </c>
      <c r="CA6" s="21">
        <v>0</v>
      </c>
      <c r="CB6" s="21">
        <v>0</v>
      </c>
      <c r="CC6" s="21">
        <v>0</v>
      </c>
      <c r="CD6" s="342">
        <v>0</v>
      </c>
      <c r="CE6" s="342">
        <v>0</v>
      </c>
      <c r="CF6" s="343">
        <v>0</v>
      </c>
      <c r="CG6" s="141">
        <v>0</v>
      </c>
      <c r="CH6" s="118">
        <v>0</v>
      </c>
      <c r="CI6" s="118">
        <v>0</v>
      </c>
      <c r="CJ6" s="118"/>
      <c r="CK6" s="118"/>
      <c r="CL6" s="118">
        <v>0</v>
      </c>
      <c r="CM6" s="350">
        <v>0</v>
      </c>
      <c r="CN6" s="350">
        <v>0</v>
      </c>
      <c r="CO6" s="351">
        <v>0</v>
      </c>
      <c r="CP6" s="20">
        <f t="shared" si="26"/>
        <v>-2.0333333333333172</v>
      </c>
      <c r="CQ6" s="21">
        <f t="shared" si="27"/>
        <v>0</v>
      </c>
      <c r="CR6" s="21">
        <f t="shared" si="28"/>
        <v>267927.53333333338</v>
      </c>
      <c r="CS6" s="21">
        <v>0</v>
      </c>
      <c r="CT6" s="21">
        <v>0</v>
      </c>
      <c r="CU6" s="21">
        <v>0</v>
      </c>
      <c r="CV6" s="342">
        <v>0</v>
      </c>
      <c r="CW6" s="342">
        <v>0</v>
      </c>
      <c r="CX6" s="355">
        <v>0</v>
      </c>
      <c r="CY6" s="141">
        <f t="shared" si="29"/>
        <v>-1.433333333333394</v>
      </c>
      <c r="CZ6" s="118">
        <f t="shared" si="30"/>
        <v>0</v>
      </c>
      <c r="DA6" s="118">
        <f t="shared" si="31"/>
        <v>3478412.4499999997</v>
      </c>
      <c r="DB6" s="118">
        <v>0</v>
      </c>
      <c r="DC6" s="118">
        <v>0</v>
      </c>
      <c r="DD6" s="118">
        <v>0</v>
      </c>
      <c r="DE6" s="350">
        <v>0</v>
      </c>
      <c r="DF6" s="350">
        <v>0</v>
      </c>
      <c r="DG6" s="351">
        <v>0</v>
      </c>
      <c r="DH6" s="135">
        <f t="shared" si="32"/>
        <v>3.3999999999999915</v>
      </c>
      <c r="DI6" s="20">
        <f t="shared" si="33"/>
        <v>10295.199999999973</v>
      </c>
      <c r="DJ6" s="21">
        <v>0</v>
      </c>
      <c r="DK6" s="21">
        <v>0</v>
      </c>
      <c r="DL6" s="319">
        <v>0</v>
      </c>
      <c r="DM6" s="21">
        <v>0</v>
      </c>
      <c r="DN6" s="21">
        <v>0</v>
      </c>
      <c r="DO6" s="319">
        <v>0</v>
      </c>
      <c r="DP6" s="362">
        <v>0</v>
      </c>
      <c r="DQ6" s="141">
        <f t="shared" si="34"/>
        <v>18.149999999999864</v>
      </c>
      <c r="DR6" s="143">
        <f t="shared" si="35"/>
        <v>60965.84999999954</v>
      </c>
      <c r="DS6" s="118">
        <v>0</v>
      </c>
      <c r="DT6" s="118">
        <v>0</v>
      </c>
      <c r="DU6" s="329">
        <v>0</v>
      </c>
      <c r="DV6" s="118">
        <v>0</v>
      </c>
      <c r="DW6" s="118">
        <v>0</v>
      </c>
      <c r="DX6" s="372">
        <v>0</v>
      </c>
      <c r="DY6" s="373">
        <v>0</v>
      </c>
      <c r="DZ6" s="135">
        <f t="shared" si="36"/>
        <v>3.3999999999999915</v>
      </c>
      <c r="EA6" s="21">
        <f t="shared" si="37"/>
        <v>10295.199999999973</v>
      </c>
      <c r="EB6" s="21">
        <v>0</v>
      </c>
      <c r="EC6" s="21">
        <v>0</v>
      </c>
      <c r="ED6" s="319">
        <v>0</v>
      </c>
      <c r="EE6" s="21">
        <v>0</v>
      </c>
      <c r="EF6" s="21">
        <v>0</v>
      </c>
      <c r="EG6" s="363" t="s">
        <v>20</v>
      </c>
      <c r="EH6" s="381"/>
      <c r="EI6" s="143">
        <f t="shared" si="38"/>
        <v>18.149999999999864</v>
      </c>
      <c r="EJ6" s="118">
        <f t="shared" si="39"/>
        <v>60965.84999999954</v>
      </c>
      <c r="EK6" s="118">
        <v>0</v>
      </c>
      <c r="EL6" s="118">
        <v>0</v>
      </c>
      <c r="EM6" s="329">
        <v>0</v>
      </c>
      <c r="EN6" s="118">
        <v>0</v>
      </c>
      <c r="EO6" s="118">
        <v>0</v>
      </c>
      <c r="EP6" s="375" t="s">
        <v>20</v>
      </c>
      <c r="EQ6" s="384"/>
      <c r="ER6" s="396">
        <v>0</v>
      </c>
      <c r="ES6" s="403">
        <v>0</v>
      </c>
      <c r="ET6" s="404">
        <v>0</v>
      </c>
      <c r="EU6" s="410">
        <v>0</v>
      </c>
      <c r="EV6" s="20">
        <f t="shared" si="8"/>
        <v>3.3999999999999915</v>
      </c>
      <c r="EW6" s="17">
        <f t="shared" si="9"/>
        <v>3.7777777777777681E-2</v>
      </c>
      <c r="EX6" s="388" t="s">
        <v>20</v>
      </c>
      <c r="EY6" s="388" t="s">
        <v>20</v>
      </c>
      <c r="EZ6" s="314" t="s">
        <v>20</v>
      </c>
      <c r="FA6" s="442">
        <f t="shared" si="10"/>
        <v>18.149999999999864</v>
      </c>
      <c r="FB6" s="18">
        <f t="shared" si="11"/>
        <v>1.7480496966194612E-2</v>
      </c>
      <c r="FC6" s="394" t="s">
        <v>20</v>
      </c>
      <c r="FD6" s="394" t="s">
        <v>20</v>
      </c>
      <c r="FE6" s="385" t="s">
        <v>20</v>
      </c>
      <c r="FF6" s="416">
        <f t="shared" ref="FF6:FF66" si="49">IF(Q5&lt;((O4+P4+Q4)/3),1,IF(Q5&gt;((O4+P4+Q4)/3),2,0))</f>
        <v>1</v>
      </c>
      <c r="FG6" s="417">
        <f t="shared" ref="FG6:FG66" si="50">IF(W5&lt;((U4+V4+W4)/3),1,IF(W5&gt;((U4+V4+W4)/3),2,0))</f>
        <v>2</v>
      </c>
      <c r="FH6" s="415">
        <v>0</v>
      </c>
      <c r="FI6" s="413" t="s">
        <v>20</v>
      </c>
      <c r="FJ6" s="404">
        <v>0</v>
      </c>
      <c r="FK6" s="414" t="s">
        <v>20</v>
      </c>
      <c r="FL6" s="415">
        <v>0</v>
      </c>
      <c r="FM6" s="413" t="s">
        <v>20</v>
      </c>
      <c r="FN6" s="404">
        <v>0</v>
      </c>
      <c r="FO6" s="414" t="s">
        <v>20</v>
      </c>
      <c r="FQ6" s="135">
        <f t="shared" ref="FQ6:FQ67" si="51">(FQ5+FT5)/2</f>
        <v>90.331250000000011</v>
      </c>
      <c r="FR6" s="21">
        <f t="shared" si="12"/>
        <v>90.6</v>
      </c>
      <c r="FS6" s="21">
        <f t="shared" si="13"/>
        <v>87.2</v>
      </c>
      <c r="FT6" s="182">
        <f t="shared" si="14"/>
        <v>88.862500000000011</v>
      </c>
      <c r="FU6" s="141">
        <f t="shared" ref="FU6:FU67" si="52">(FU5+FX5)/2</f>
        <v>1024.5562500000001</v>
      </c>
      <c r="FV6" s="118">
        <f t="shared" si="15"/>
        <v>1046.8</v>
      </c>
      <c r="FW6" s="118">
        <f t="shared" si="16"/>
        <v>1024.5562500000001</v>
      </c>
      <c r="FX6" s="181">
        <f t="shared" si="17"/>
        <v>1036.2375</v>
      </c>
    </row>
    <row r="7" spans="1:180" ht="11.15" thickBot="1" x14ac:dyDescent="0.35">
      <c r="L7" s="283">
        <f t="shared" si="40"/>
        <v>4</v>
      </c>
      <c r="M7" s="290">
        <f>'[6]ASHOKLEY-I'!C23</f>
        <v>42797</v>
      </c>
      <c r="N7" s="7">
        <f>'[6]ASHOKLEY-I'!D23</f>
        <v>87.85</v>
      </c>
      <c r="O7" s="7">
        <f>'[6]ASHOKLEY-I'!E23</f>
        <v>88.65</v>
      </c>
      <c r="P7" s="7">
        <f>'[6]ASHOKLEY-I'!F23</f>
        <v>86.5</v>
      </c>
      <c r="Q7" s="7">
        <f>'[6]ASHOKLEY-I'!G23</f>
        <v>87.8</v>
      </c>
      <c r="R7" s="11">
        <f>'[6]ASHOKLEY-I'!H23</f>
        <v>2649</v>
      </c>
      <c r="S7" s="291">
        <f>'[7]ASIANPAINT-I'!C23</f>
        <v>42797</v>
      </c>
      <c r="T7" s="9">
        <f>'[7]ASIANPAINT-I'!D23</f>
        <v>1029.2</v>
      </c>
      <c r="U7" s="9">
        <f>'[7]ASIANPAINT-I'!E23</f>
        <v>1029.2</v>
      </c>
      <c r="V7" s="9">
        <f>'[7]ASIANPAINT-I'!F23</f>
        <v>1009.75</v>
      </c>
      <c r="W7" s="9">
        <f>'[7]ASIANPAINT-I'!G23</f>
        <v>1019.2</v>
      </c>
      <c r="X7" s="12">
        <f>'[7]ASIANPAINT-I'!H23</f>
        <v>2820</v>
      </c>
      <c r="Y7" s="115"/>
      <c r="Z7" s="122">
        <f t="shared" si="18"/>
        <v>1.7113519680546658E-3</v>
      </c>
      <c r="AA7" s="19">
        <f t="shared" si="19"/>
        <v>-1.1636927851047323E-2</v>
      </c>
      <c r="AB7" s="305">
        <v>0</v>
      </c>
      <c r="AC7" s="306">
        <v>0</v>
      </c>
      <c r="AD7" s="466">
        <f t="shared" si="20"/>
        <v>1.7098892738274267E-3</v>
      </c>
      <c r="AE7" s="17">
        <f t="shared" si="41"/>
        <v>6.9132427034961676E-3</v>
      </c>
      <c r="AF7" s="17">
        <f t="shared" si="42"/>
        <v>6.7157108690384685E-3</v>
      </c>
      <c r="AG7" s="314">
        <f t="shared" si="43"/>
        <v>0.12830347600096545</v>
      </c>
      <c r="AH7" s="467">
        <f t="shared" si="21"/>
        <v>-1.1705166807078716E-2</v>
      </c>
      <c r="AI7" s="18">
        <f t="shared" ref="AI7:AI37" si="53">AJ6</f>
        <v>2.0547001663637817E-3</v>
      </c>
      <c r="AJ7" s="18">
        <f t="shared" si="22"/>
        <v>3.4912950328106433E-3</v>
      </c>
      <c r="AK7" s="385">
        <f t="shared" si="44"/>
        <v>6.6701097946261861E-2</v>
      </c>
      <c r="AL7" s="10">
        <f t="shared" si="23"/>
        <v>2.4551618582383326E-2</v>
      </c>
      <c r="AM7" s="17">
        <f t="shared" si="45"/>
        <v>1.1808443890490601E-2</v>
      </c>
      <c r="AN7" s="17">
        <f t="shared" si="46"/>
        <v>1.2932126847075957E-2</v>
      </c>
      <c r="AO7" s="314">
        <f t="shared" si="47"/>
        <v>0.24706793650317091</v>
      </c>
      <c r="AP7" s="448">
        <f t="shared" si="24"/>
        <v>1.9079025964066909E-2</v>
      </c>
      <c r="AQ7" s="18">
        <f t="shared" ref="AQ7:AQ37" si="54">AR6</f>
        <v>5.5858670613249187E-3</v>
      </c>
      <c r="AR7" s="18">
        <f t="shared" si="25"/>
        <v>7.1533453769155701E-3</v>
      </c>
      <c r="AS7" s="385">
        <f t="shared" si="48"/>
        <v>0.13666447153421171</v>
      </c>
      <c r="AT7" s="6">
        <f t="shared" si="0"/>
        <v>232714.65</v>
      </c>
      <c r="AU7" s="319">
        <v>0</v>
      </c>
      <c r="AV7" s="140">
        <f t="shared" si="1"/>
        <v>2902344</v>
      </c>
      <c r="AW7" s="481">
        <v>0</v>
      </c>
      <c r="AX7" s="135">
        <v>0</v>
      </c>
      <c r="AY7" s="21">
        <v>0</v>
      </c>
      <c r="AZ7" s="319">
        <v>0</v>
      </c>
      <c r="BA7" s="21">
        <f t="shared" si="2"/>
        <v>87.649999999999991</v>
      </c>
      <c r="BB7" s="21">
        <f t="shared" si="3"/>
        <v>232184.84999999998</v>
      </c>
      <c r="BC7" s="21">
        <v>0</v>
      </c>
      <c r="BD7" s="21">
        <v>0</v>
      </c>
      <c r="BE7" s="332">
        <v>0</v>
      </c>
      <c r="BF7" s="141">
        <v>0</v>
      </c>
      <c r="BG7" s="118">
        <v>0</v>
      </c>
      <c r="BH7" s="329">
        <v>0</v>
      </c>
      <c r="BI7" s="118">
        <f t="shared" si="4"/>
        <v>1019.3833333333333</v>
      </c>
      <c r="BJ7" s="118">
        <f t="shared" si="5"/>
        <v>2874661</v>
      </c>
      <c r="BK7" s="118">
        <v>0</v>
      </c>
      <c r="BL7" s="118">
        <v>0</v>
      </c>
      <c r="BM7" s="325">
        <v>0</v>
      </c>
      <c r="BN7" s="6">
        <f t="shared" si="6"/>
        <v>232582.19999999998</v>
      </c>
      <c r="BO7" s="331">
        <v>0</v>
      </c>
      <c r="BP7" s="319">
        <v>0</v>
      </c>
      <c r="BQ7" s="331">
        <v>0</v>
      </c>
      <c r="BR7" s="332">
        <v>0</v>
      </c>
      <c r="BS7" s="140">
        <f t="shared" si="7"/>
        <v>2874144</v>
      </c>
      <c r="BT7" s="339">
        <v>0</v>
      </c>
      <c r="BU7" s="329">
        <v>0</v>
      </c>
      <c r="BV7" s="339">
        <v>0</v>
      </c>
      <c r="BW7" s="325">
        <v>0</v>
      </c>
      <c r="BX7" s="21">
        <v>0</v>
      </c>
      <c r="BY7" s="21">
        <v>0</v>
      </c>
      <c r="BZ7" s="21">
        <v>0</v>
      </c>
      <c r="CA7" s="21">
        <v>0</v>
      </c>
      <c r="CB7" s="21">
        <v>0</v>
      </c>
      <c r="CC7" s="21">
        <v>0</v>
      </c>
      <c r="CD7" s="342">
        <v>0</v>
      </c>
      <c r="CE7" s="342">
        <v>0</v>
      </c>
      <c r="CF7" s="343">
        <v>0</v>
      </c>
      <c r="CG7" s="141">
        <v>0</v>
      </c>
      <c r="CH7" s="118">
        <v>0</v>
      </c>
      <c r="CI7" s="118">
        <v>0</v>
      </c>
      <c r="CJ7" s="118"/>
      <c r="CK7" s="118"/>
      <c r="CL7" s="118">
        <v>0</v>
      </c>
      <c r="CM7" s="350">
        <v>0</v>
      </c>
      <c r="CN7" s="350">
        <v>0</v>
      </c>
      <c r="CO7" s="351">
        <v>0</v>
      </c>
      <c r="CP7" s="20">
        <f t="shared" si="26"/>
        <v>-0.83333333333335702</v>
      </c>
      <c r="CQ7" s="21">
        <f t="shared" si="27"/>
        <v>0</v>
      </c>
      <c r="CR7" s="21">
        <f t="shared" si="28"/>
        <v>232184.84999999998</v>
      </c>
      <c r="CS7" s="21">
        <v>0</v>
      </c>
      <c r="CT7" s="21">
        <v>0</v>
      </c>
      <c r="CU7" s="21">
        <v>0</v>
      </c>
      <c r="CV7" s="342">
        <v>0</v>
      </c>
      <c r="CW7" s="342">
        <v>0</v>
      </c>
      <c r="CX7" s="355">
        <v>0</v>
      </c>
      <c r="CY7" s="141">
        <f t="shared" si="29"/>
        <v>-16.166666666666629</v>
      </c>
      <c r="CZ7" s="118">
        <f t="shared" si="30"/>
        <v>0</v>
      </c>
      <c r="DA7" s="118">
        <f t="shared" si="31"/>
        <v>2874661</v>
      </c>
      <c r="DB7" s="118">
        <v>0</v>
      </c>
      <c r="DC7" s="118">
        <v>0</v>
      </c>
      <c r="DD7" s="118">
        <v>0</v>
      </c>
      <c r="DE7" s="350">
        <v>0</v>
      </c>
      <c r="DF7" s="350">
        <v>0</v>
      </c>
      <c r="DG7" s="351">
        <v>0</v>
      </c>
      <c r="DH7" s="135">
        <f t="shared" si="32"/>
        <v>2.1500000000000057</v>
      </c>
      <c r="DI7" s="20">
        <f t="shared" si="33"/>
        <v>5695.3500000000149</v>
      </c>
      <c r="DJ7" s="21">
        <v>0</v>
      </c>
      <c r="DK7" s="21">
        <v>0</v>
      </c>
      <c r="DL7" s="319">
        <v>0</v>
      </c>
      <c r="DM7" s="21">
        <v>0</v>
      </c>
      <c r="DN7" s="21">
        <v>0</v>
      </c>
      <c r="DO7" s="319">
        <v>0</v>
      </c>
      <c r="DP7" s="362">
        <v>0</v>
      </c>
      <c r="DQ7" s="141">
        <f t="shared" si="34"/>
        <v>21.450000000000045</v>
      </c>
      <c r="DR7" s="143">
        <f t="shared" si="35"/>
        <v>60489.000000000131</v>
      </c>
      <c r="DS7" s="118">
        <v>0</v>
      </c>
      <c r="DT7" s="118">
        <v>0</v>
      </c>
      <c r="DU7" s="329">
        <v>0</v>
      </c>
      <c r="DV7" s="118">
        <v>0</v>
      </c>
      <c r="DW7" s="118">
        <v>0</v>
      </c>
      <c r="DX7" s="372">
        <v>0</v>
      </c>
      <c r="DY7" s="373">
        <v>0</v>
      </c>
      <c r="DZ7" s="135">
        <f t="shared" si="36"/>
        <v>2.1500000000000057</v>
      </c>
      <c r="EA7" s="21">
        <f t="shared" si="37"/>
        <v>5695.3500000000149</v>
      </c>
      <c r="EB7" s="21">
        <v>0</v>
      </c>
      <c r="EC7" s="21">
        <v>0</v>
      </c>
      <c r="ED7" s="319">
        <v>0</v>
      </c>
      <c r="EE7" s="21">
        <v>0</v>
      </c>
      <c r="EF7" s="21">
        <v>0</v>
      </c>
      <c r="EG7" s="363" t="s">
        <v>20</v>
      </c>
      <c r="EH7" s="381"/>
      <c r="EI7" s="143">
        <f t="shared" si="38"/>
        <v>21.450000000000045</v>
      </c>
      <c r="EJ7" s="118">
        <f t="shared" si="39"/>
        <v>60489.000000000131</v>
      </c>
      <c r="EK7" s="118">
        <v>0</v>
      </c>
      <c r="EL7" s="118">
        <v>0</v>
      </c>
      <c r="EM7" s="329">
        <v>0</v>
      </c>
      <c r="EN7" s="118">
        <v>0</v>
      </c>
      <c r="EO7" s="118">
        <v>0</v>
      </c>
      <c r="EP7" s="375" t="s">
        <v>20</v>
      </c>
      <c r="EQ7" s="384"/>
      <c r="ER7" s="396">
        <v>0</v>
      </c>
      <c r="ES7" s="403">
        <v>0</v>
      </c>
      <c r="ET7" s="404">
        <v>0</v>
      </c>
      <c r="EU7" s="410">
        <v>0</v>
      </c>
      <c r="EV7" s="20">
        <f t="shared" si="8"/>
        <v>2.1500000000000057</v>
      </c>
      <c r="EW7" s="17">
        <f t="shared" si="9"/>
        <v>2.4473534433693864E-2</v>
      </c>
      <c r="EX7" s="388" t="s">
        <v>20</v>
      </c>
      <c r="EY7" s="388" t="s">
        <v>20</v>
      </c>
      <c r="EZ7" s="314" t="s">
        <v>20</v>
      </c>
      <c r="FA7" s="442">
        <f t="shared" si="10"/>
        <v>19.450000000000045</v>
      </c>
      <c r="FB7" s="18">
        <f t="shared" si="11"/>
        <v>1.8898173338515394E-2</v>
      </c>
      <c r="FC7" s="394" t="s">
        <v>20</v>
      </c>
      <c r="FD7" s="394" t="s">
        <v>20</v>
      </c>
      <c r="FE7" s="385" t="s">
        <v>20</v>
      </c>
      <c r="FF7" s="416">
        <f t="shared" si="49"/>
        <v>1</v>
      </c>
      <c r="FG7" s="417">
        <f t="shared" si="50"/>
        <v>1</v>
      </c>
      <c r="FH7" s="415">
        <v>0</v>
      </c>
      <c r="FI7" s="413" t="s">
        <v>20</v>
      </c>
      <c r="FJ7" s="404">
        <v>0</v>
      </c>
      <c r="FK7" s="414" t="s">
        <v>20</v>
      </c>
      <c r="FL7" s="415">
        <v>0</v>
      </c>
      <c r="FM7" s="413" t="s">
        <v>20</v>
      </c>
      <c r="FN7" s="404">
        <v>0</v>
      </c>
      <c r="FO7" s="414" t="s">
        <v>20</v>
      </c>
      <c r="FQ7" s="135">
        <f t="shared" si="51"/>
        <v>89.596875000000011</v>
      </c>
      <c r="FR7" s="21">
        <f t="shared" si="12"/>
        <v>89.596875000000011</v>
      </c>
      <c r="FS7" s="21">
        <f t="shared" si="13"/>
        <v>86.5</v>
      </c>
      <c r="FT7" s="182">
        <f t="shared" si="14"/>
        <v>87.7</v>
      </c>
      <c r="FU7" s="141">
        <f t="shared" si="52"/>
        <v>1030.3968749999999</v>
      </c>
      <c r="FV7" s="118">
        <f t="shared" si="15"/>
        <v>1030.3968749999999</v>
      </c>
      <c r="FW7" s="118">
        <f t="shared" si="16"/>
        <v>1009.75</v>
      </c>
      <c r="FX7" s="181">
        <f t="shared" si="17"/>
        <v>1021.8375000000001</v>
      </c>
    </row>
    <row r="8" spans="1:180" ht="11.15" thickBot="1" x14ac:dyDescent="0.35">
      <c r="A8" s="691" t="str">
        <f>CONCATENATE("Gann Angle - ",$F$1)</f>
        <v>Gann Angle - Ashok</v>
      </c>
      <c r="B8" s="687" t="s">
        <v>21</v>
      </c>
      <c r="C8" s="688"/>
      <c r="D8" s="154" t="s">
        <v>22</v>
      </c>
      <c r="E8" s="154" t="s">
        <v>23</v>
      </c>
      <c r="F8" s="241" t="s">
        <v>24</v>
      </c>
      <c r="G8" s="243" t="s">
        <v>300</v>
      </c>
      <c r="L8" s="283">
        <f t="shared" si="40"/>
        <v>5</v>
      </c>
      <c r="M8" s="290">
        <f>'[6]ASHOKLEY-I'!C24</f>
        <v>42800</v>
      </c>
      <c r="N8" s="7">
        <f>'[6]ASHOKLEY-I'!D24</f>
        <v>88.2</v>
      </c>
      <c r="O8" s="7">
        <f>'[6]ASHOKLEY-I'!E24</f>
        <v>91.35</v>
      </c>
      <c r="P8" s="7">
        <f>'[6]ASHOKLEY-I'!F24</f>
        <v>87.95</v>
      </c>
      <c r="Q8" s="7">
        <f>'[6]ASHOKLEY-I'!G24</f>
        <v>91.05</v>
      </c>
      <c r="R8" s="11">
        <f>'[6]ASHOKLEY-I'!H24</f>
        <v>4504</v>
      </c>
      <c r="S8" s="291">
        <f>'[7]ASIANPAINT-I'!C24</f>
        <v>42800</v>
      </c>
      <c r="T8" s="9">
        <f>'[7]ASIANPAINT-I'!D24</f>
        <v>1022.05</v>
      </c>
      <c r="U8" s="9">
        <f>'[7]ASIANPAINT-I'!E24</f>
        <v>1035.9000000000001</v>
      </c>
      <c r="V8" s="9">
        <f>'[7]ASIANPAINT-I'!F24</f>
        <v>1019.35</v>
      </c>
      <c r="W8" s="9">
        <f>'[7]ASIANPAINT-I'!G24</f>
        <v>1032.4000000000001</v>
      </c>
      <c r="X8" s="12">
        <f>'[7]ASIANPAINT-I'!H24</f>
        <v>2228</v>
      </c>
      <c r="Y8" s="115"/>
      <c r="Z8" s="122">
        <f t="shared" si="18"/>
        <v>3.7015945330296132E-2</v>
      </c>
      <c r="AA8" s="19">
        <f t="shared" si="19"/>
        <v>1.2951334379905852E-2</v>
      </c>
      <c r="AB8" s="305">
        <v>0</v>
      </c>
      <c r="AC8" s="306">
        <v>0</v>
      </c>
      <c r="AD8" s="466">
        <f t="shared" si="20"/>
        <v>3.634730553254592E-2</v>
      </c>
      <c r="AE8" s="17">
        <f t="shared" si="41"/>
        <v>6.7157108690384685E-3</v>
      </c>
      <c r="AF8" s="17">
        <f t="shared" si="42"/>
        <v>1.103006451914515E-2</v>
      </c>
      <c r="AG8" s="314">
        <f t="shared" si="43"/>
        <v>0.2107290867517444</v>
      </c>
      <c r="AH8" s="467">
        <f t="shared" si="21"/>
        <v>1.2868183026560011E-2</v>
      </c>
      <c r="AI8" s="18">
        <f t="shared" si="53"/>
        <v>3.4912950328106433E-3</v>
      </c>
      <c r="AJ8" s="18">
        <f t="shared" si="22"/>
        <v>4.6252784359499272E-3</v>
      </c>
      <c r="AK8" s="385">
        <f t="shared" si="44"/>
        <v>8.8365820443614629E-2</v>
      </c>
      <c r="AL8" s="10">
        <f t="shared" si="23"/>
        <v>3.7929811640448369E-2</v>
      </c>
      <c r="AM8" s="17">
        <f t="shared" si="45"/>
        <v>1.2932126847075957E-2</v>
      </c>
      <c r="AN8" s="17">
        <f t="shared" si="46"/>
        <v>1.560531150494358E-2</v>
      </c>
      <c r="AO8" s="314">
        <f t="shared" si="47"/>
        <v>0.29813905768233123</v>
      </c>
      <c r="AP8" s="448">
        <f t="shared" si="24"/>
        <v>1.6105444820908556E-2</v>
      </c>
      <c r="AQ8" s="18">
        <f t="shared" si="54"/>
        <v>7.1533453769155701E-3</v>
      </c>
      <c r="AR8" s="18">
        <f t="shared" si="25"/>
        <v>7.9789253818614448E-3</v>
      </c>
      <c r="AS8" s="385">
        <f t="shared" si="48"/>
        <v>0.15243715538214156</v>
      </c>
      <c r="AT8" s="6">
        <f t="shared" si="0"/>
        <v>397252.8</v>
      </c>
      <c r="AU8" s="319">
        <v>0</v>
      </c>
      <c r="AV8" s="140">
        <f t="shared" si="1"/>
        <v>2277127.4</v>
      </c>
      <c r="AW8" s="481">
        <v>0</v>
      </c>
      <c r="AX8" s="135">
        <v>0</v>
      </c>
      <c r="AY8" s="21">
        <v>0</v>
      </c>
      <c r="AZ8" s="319">
        <v>0</v>
      </c>
      <c r="BA8" s="21">
        <f t="shared" si="2"/>
        <v>90.116666666666674</v>
      </c>
      <c r="BB8" s="21">
        <f t="shared" si="3"/>
        <v>405885.46666666667</v>
      </c>
      <c r="BC8" s="21">
        <f>AVERAGE(BB4:BB8)</f>
        <v>294043.07</v>
      </c>
      <c r="BD8" s="21">
        <f>AVERAGE(R4:R8)</f>
        <v>3282.2</v>
      </c>
      <c r="BE8" s="332">
        <f>BC8/BD8</f>
        <v>89.587188471147414</v>
      </c>
      <c r="BF8" s="141">
        <v>0</v>
      </c>
      <c r="BG8" s="118">
        <v>0</v>
      </c>
      <c r="BH8" s="329">
        <v>0</v>
      </c>
      <c r="BI8" s="118">
        <f t="shared" si="4"/>
        <v>1029.2166666666667</v>
      </c>
      <c r="BJ8" s="118">
        <f t="shared" si="5"/>
        <v>2293094.7333333334</v>
      </c>
      <c r="BK8" s="118">
        <f>AVERAGE(BJ4:BJ8)</f>
        <v>3430121.146666667</v>
      </c>
      <c r="BL8" s="118">
        <f>AVERAGE(X4:X8)</f>
        <v>3334.4</v>
      </c>
      <c r="BM8" s="325">
        <f>BK8/BL8</f>
        <v>1028.707157709533</v>
      </c>
      <c r="BN8" s="6">
        <f t="shared" si="6"/>
        <v>410089.2</v>
      </c>
      <c r="BO8" s="331">
        <v>0</v>
      </c>
      <c r="BP8" s="319">
        <f t="shared" ref="BP8:BP67" si="55">AVERAGE(BN4:BN8)/AVERAGE(R4:R8)</f>
        <v>89.607799646578513</v>
      </c>
      <c r="BQ8" s="331">
        <v>0</v>
      </c>
      <c r="BR8" s="332">
        <v>0</v>
      </c>
      <c r="BS8" s="140">
        <f t="shared" si="7"/>
        <v>2300187.2000000002</v>
      </c>
      <c r="BT8" s="339">
        <v>0</v>
      </c>
      <c r="BU8" s="329">
        <f t="shared" ref="BU8:BU67" si="56">AVERAGE(BS4:BS8)/AVERAGE(X4:X8)</f>
        <v>1030.4660328694818</v>
      </c>
      <c r="BV8" s="339">
        <v>0</v>
      </c>
      <c r="BW8" s="325">
        <v>0</v>
      </c>
      <c r="BX8" s="21">
        <v>0</v>
      </c>
      <c r="BY8" s="21">
        <v>0</v>
      </c>
      <c r="BZ8" s="21">
        <v>0</v>
      </c>
      <c r="CA8" s="21">
        <v>0</v>
      </c>
      <c r="CB8" s="21">
        <v>0</v>
      </c>
      <c r="CC8" s="21">
        <v>0</v>
      </c>
      <c r="CD8" s="342">
        <v>0</v>
      </c>
      <c r="CE8" s="342">
        <v>0</v>
      </c>
      <c r="CF8" s="343">
        <v>0</v>
      </c>
      <c r="CG8" s="141">
        <v>0</v>
      </c>
      <c r="CH8" s="118">
        <v>0</v>
      </c>
      <c r="CI8" s="118">
        <v>0</v>
      </c>
      <c r="CJ8" s="118"/>
      <c r="CK8" s="118"/>
      <c r="CL8" s="118">
        <v>0</v>
      </c>
      <c r="CM8" s="350">
        <v>0</v>
      </c>
      <c r="CN8" s="350">
        <v>0</v>
      </c>
      <c r="CO8" s="351">
        <v>0</v>
      </c>
      <c r="CP8" s="20">
        <f t="shared" si="26"/>
        <v>2.4666666666666828</v>
      </c>
      <c r="CQ8" s="21">
        <f t="shared" si="27"/>
        <v>405885.46666666667</v>
      </c>
      <c r="CR8" s="21">
        <f t="shared" si="28"/>
        <v>0</v>
      </c>
      <c r="CS8" s="21">
        <v>0</v>
      </c>
      <c r="CT8" s="21">
        <v>0</v>
      </c>
      <c r="CU8" s="21">
        <v>0</v>
      </c>
      <c r="CV8" s="342">
        <v>0</v>
      </c>
      <c r="CW8" s="342">
        <v>0</v>
      </c>
      <c r="CX8" s="355">
        <v>0</v>
      </c>
      <c r="CY8" s="141">
        <f t="shared" si="29"/>
        <v>9.8333333333333712</v>
      </c>
      <c r="CZ8" s="118">
        <f t="shared" si="30"/>
        <v>2293094.7333333334</v>
      </c>
      <c r="DA8" s="118">
        <f t="shared" si="31"/>
        <v>0</v>
      </c>
      <c r="DB8" s="118">
        <v>0</v>
      </c>
      <c r="DC8" s="118">
        <v>0</v>
      </c>
      <c r="DD8" s="118">
        <v>0</v>
      </c>
      <c r="DE8" s="350">
        <v>0</v>
      </c>
      <c r="DF8" s="350">
        <v>0</v>
      </c>
      <c r="DG8" s="351">
        <v>0</v>
      </c>
      <c r="DH8" s="135">
        <f t="shared" si="32"/>
        <v>3.5499999999999972</v>
      </c>
      <c r="DI8" s="20">
        <f t="shared" si="33"/>
        <v>15989.199999999988</v>
      </c>
      <c r="DJ8" s="21">
        <v>0</v>
      </c>
      <c r="DK8" s="21">
        <v>0</v>
      </c>
      <c r="DL8" s="319">
        <v>0</v>
      </c>
      <c r="DM8" s="21">
        <v>0</v>
      </c>
      <c r="DN8" s="21">
        <v>0</v>
      </c>
      <c r="DO8" s="319">
        <v>0</v>
      </c>
      <c r="DP8" s="362">
        <v>0</v>
      </c>
      <c r="DQ8" s="141">
        <f t="shared" si="34"/>
        <v>16.700000000000045</v>
      </c>
      <c r="DR8" s="143">
        <f t="shared" si="35"/>
        <v>37207.6000000001</v>
      </c>
      <c r="DS8" s="118">
        <v>0</v>
      </c>
      <c r="DT8" s="118">
        <v>0</v>
      </c>
      <c r="DU8" s="329">
        <v>0</v>
      </c>
      <c r="DV8" s="118">
        <v>0</v>
      </c>
      <c r="DW8" s="118">
        <v>0</v>
      </c>
      <c r="DX8" s="372">
        <v>0</v>
      </c>
      <c r="DY8" s="373">
        <v>0</v>
      </c>
      <c r="DZ8" s="135">
        <f t="shared" si="36"/>
        <v>3.5499999999999972</v>
      </c>
      <c r="EA8" s="21">
        <f t="shared" si="37"/>
        <v>15989.199999999988</v>
      </c>
      <c r="EB8" s="21">
        <v>0</v>
      </c>
      <c r="EC8" s="21">
        <v>0</v>
      </c>
      <c r="ED8" s="319">
        <v>0</v>
      </c>
      <c r="EE8" s="21">
        <v>0</v>
      </c>
      <c r="EF8" s="21">
        <v>0</v>
      </c>
      <c r="EG8" s="363" t="s">
        <v>20</v>
      </c>
      <c r="EH8" s="381"/>
      <c r="EI8" s="143">
        <f t="shared" si="38"/>
        <v>16.700000000000045</v>
      </c>
      <c r="EJ8" s="118">
        <f t="shared" si="39"/>
        <v>37207.6000000001</v>
      </c>
      <c r="EK8" s="118">
        <v>0</v>
      </c>
      <c r="EL8" s="118">
        <v>0</v>
      </c>
      <c r="EM8" s="329">
        <v>0</v>
      </c>
      <c r="EN8" s="118">
        <v>0</v>
      </c>
      <c r="EO8" s="118">
        <v>0</v>
      </c>
      <c r="EP8" s="375" t="s">
        <v>20</v>
      </c>
      <c r="EQ8" s="384"/>
      <c r="ER8" s="396">
        <v>0</v>
      </c>
      <c r="ES8" s="403">
        <v>0</v>
      </c>
      <c r="ET8" s="404">
        <v>0</v>
      </c>
      <c r="EU8" s="410">
        <v>0</v>
      </c>
      <c r="EV8" s="20">
        <f t="shared" si="8"/>
        <v>3.3999999999999915</v>
      </c>
      <c r="EW8" s="17">
        <f t="shared" si="9"/>
        <v>3.8548752834467022E-2</v>
      </c>
      <c r="EX8" s="388" t="s">
        <v>20</v>
      </c>
      <c r="EY8" s="388" t="s">
        <v>20</v>
      </c>
      <c r="EZ8" s="314" t="s">
        <v>20</v>
      </c>
      <c r="FA8" s="442">
        <f t="shared" si="10"/>
        <v>16.550000000000068</v>
      </c>
      <c r="FB8" s="18">
        <f t="shared" si="11"/>
        <v>1.6192945550609138E-2</v>
      </c>
      <c r="FC8" s="394" t="s">
        <v>20</v>
      </c>
      <c r="FD8" s="394" t="s">
        <v>20</v>
      </c>
      <c r="FE8" s="385" t="s">
        <v>20</v>
      </c>
      <c r="FF8" s="416">
        <f t="shared" si="49"/>
        <v>1</v>
      </c>
      <c r="FG8" s="417">
        <f t="shared" si="50"/>
        <v>1</v>
      </c>
      <c r="FH8" s="415">
        <v>0</v>
      </c>
      <c r="FI8" s="413" t="s">
        <v>20</v>
      </c>
      <c r="FJ8" s="404">
        <v>0</v>
      </c>
      <c r="FK8" s="414" t="s">
        <v>20</v>
      </c>
      <c r="FL8" s="415">
        <v>0</v>
      </c>
      <c r="FM8" s="413" t="s">
        <v>20</v>
      </c>
      <c r="FN8" s="404">
        <v>0</v>
      </c>
      <c r="FO8" s="414" t="s">
        <v>20</v>
      </c>
      <c r="FQ8" s="135">
        <f t="shared" si="51"/>
        <v>88.6484375</v>
      </c>
      <c r="FR8" s="21">
        <f t="shared" si="12"/>
        <v>91.35</v>
      </c>
      <c r="FS8" s="21">
        <f t="shared" si="13"/>
        <v>87.95</v>
      </c>
      <c r="FT8" s="182">
        <f t="shared" si="14"/>
        <v>89.637500000000003</v>
      </c>
      <c r="FU8" s="141">
        <f t="shared" si="52"/>
        <v>1026.1171875</v>
      </c>
      <c r="FV8" s="118">
        <f t="shared" si="15"/>
        <v>1035.9000000000001</v>
      </c>
      <c r="FW8" s="118">
        <f t="shared" si="16"/>
        <v>1019.35</v>
      </c>
      <c r="FX8" s="181">
        <f t="shared" si="17"/>
        <v>1027.425</v>
      </c>
    </row>
    <row r="9" spans="1:180" ht="11.15" thickBot="1" x14ac:dyDescent="0.35">
      <c r="A9" s="692"/>
      <c r="B9" s="708">
        <f>$N$69</f>
        <v>93</v>
      </c>
      <c r="C9" s="709"/>
      <c r="D9" s="91">
        <f>$O$69</f>
        <v>94.8</v>
      </c>
      <c r="E9" s="91">
        <f>$P$69</f>
        <v>92.65</v>
      </c>
      <c r="F9" s="242">
        <f>$Q$69</f>
        <v>94.4</v>
      </c>
      <c r="G9" s="474">
        <f>'Base Data'!$D$17</f>
        <v>0</v>
      </c>
      <c r="I9" s="461"/>
      <c r="L9" s="283">
        <f t="shared" si="40"/>
        <v>6</v>
      </c>
      <c r="M9" s="290">
        <f>'[6]ASHOKLEY-I'!C25</f>
        <v>42801</v>
      </c>
      <c r="N9" s="7">
        <f>'[6]ASHOKLEY-I'!D25</f>
        <v>92.25</v>
      </c>
      <c r="O9" s="7">
        <f>'[6]ASHOKLEY-I'!E25</f>
        <v>93.5</v>
      </c>
      <c r="P9" s="7">
        <f>'[6]ASHOKLEY-I'!F25</f>
        <v>91.45</v>
      </c>
      <c r="Q9" s="7">
        <f>'[6]ASHOKLEY-I'!G25</f>
        <v>91.7</v>
      </c>
      <c r="R9" s="11">
        <f>'[6]ASHOKLEY-I'!H25</f>
        <v>6423</v>
      </c>
      <c r="S9" s="291">
        <f>'[7]ASIANPAINT-I'!C25</f>
        <v>42801</v>
      </c>
      <c r="T9" s="9">
        <f>'[7]ASIANPAINT-I'!D25</f>
        <v>1033.8499999999999</v>
      </c>
      <c r="U9" s="9">
        <f>'[7]ASIANPAINT-I'!E25</f>
        <v>1033.8499999999999</v>
      </c>
      <c r="V9" s="9">
        <f>'[7]ASIANPAINT-I'!F25</f>
        <v>1024.8</v>
      </c>
      <c r="W9" s="9">
        <f>'[7]ASIANPAINT-I'!G25</f>
        <v>1028.4000000000001</v>
      </c>
      <c r="X9" s="12">
        <f>'[7]ASIANPAINT-I'!H25</f>
        <v>1175</v>
      </c>
      <c r="Y9" s="115"/>
      <c r="Z9" s="122">
        <f t="shared" si="18"/>
        <v>7.1389346512905627E-3</v>
      </c>
      <c r="AA9" s="19">
        <f t="shared" si="19"/>
        <v>-3.8744672607516463E-3</v>
      </c>
      <c r="AB9" s="305">
        <v>0</v>
      </c>
      <c r="AC9" s="306">
        <v>0</v>
      </c>
      <c r="AD9" s="466">
        <f t="shared" si="20"/>
        <v>7.1135730888021572E-3</v>
      </c>
      <c r="AE9" s="17">
        <f t="shared" si="41"/>
        <v>1.103006451914515E-2</v>
      </c>
      <c r="AF9" s="17">
        <f t="shared" si="42"/>
        <v>1.083507079921946E-2</v>
      </c>
      <c r="AG9" s="314">
        <f t="shared" si="43"/>
        <v>0.2070037369633598</v>
      </c>
      <c r="AH9" s="467">
        <f t="shared" si="21"/>
        <v>-3.8819924527244286E-3</v>
      </c>
      <c r="AI9" s="18">
        <f t="shared" si="53"/>
        <v>4.6252784359499272E-3</v>
      </c>
      <c r="AJ9" s="18">
        <f t="shared" si="22"/>
        <v>4.5840812053933085E-3</v>
      </c>
      <c r="AK9" s="385">
        <f t="shared" si="44"/>
        <v>8.7578748458964975E-2</v>
      </c>
      <c r="AL9" s="10">
        <f t="shared" si="23"/>
        <v>2.2169061457766513E-2</v>
      </c>
      <c r="AM9" s="17">
        <f t="shared" si="45"/>
        <v>1.560531150494358E-2</v>
      </c>
      <c r="AN9" s="17">
        <f t="shared" si="46"/>
        <v>1.6074894696122857E-2</v>
      </c>
      <c r="AO9" s="314">
        <f t="shared" si="47"/>
        <v>0.30711043195302751</v>
      </c>
      <c r="AP9" s="448">
        <f t="shared" si="24"/>
        <v>8.7922262642543669E-3</v>
      </c>
      <c r="AQ9" s="18">
        <f t="shared" si="54"/>
        <v>7.9789253818614448E-3</v>
      </c>
      <c r="AR9" s="18">
        <f t="shared" si="25"/>
        <v>8.0300466869915946E-3</v>
      </c>
      <c r="AS9" s="385">
        <f t="shared" si="48"/>
        <v>0.1534138265453007</v>
      </c>
      <c r="AT9" s="6">
        <f t="shared" si="0"/>
        <v>592521.75</v>
      </c>
      <c r="AU9" s="319">
        <v>0</v>
      </c>
      <c r="AV9" s="140">
        <f t="shared" si="1"/>
        <v>1214773.75</v>
      </c>
      <c r="AW9" s="481">
        <v>0</v>
      </c>
      <c r="AX9" s="135">
        <v>0</v>
      </c>
      <c r="AY9" s="21">
        <v>0</v>
      </c>
      <c r="AZ9" s="319">
        <v>0</v>
      </c>
      <c r="BA9" s="21">
        <f t="shared" si="2"/>
        <v>92.216666666666654</v>
      </c>
      <c r="BB9" s="21">
        <f t="shared" si="3"/>
        <v>592307.64999999991</v>
      </c>
      <c r="BC9" s="21">
        <f>((BB9-BC8)*(2/(1+5)))+BC8</f>
        <v>393464.59666666662</v>
      </c>
      <c r="BD9" s="21">
        <f t="shared" ref="BD9:BD67" si="57">((R9-BD8)*(2/(1+5)))+BD8</f>
        <v>4329.1333333333332</v>
      </c>
      <c r="BE9" s="332">
        <f t="shared" ref="BE9:BE67" si="58">BC9/BD9</f>
        <v>90.887613379121291</v>
      </c>
      <c r="BF9" s="141">
        <v>0</v>
      </c>
      <c r="BG9" s="118">
        <v>0</v>
      </c>
      <c r="BH9" s="329">
        <v>0</v>
      </c>
      <c r="BI9" s="118">
        <f t="shared" si="4"/>
        <v>1029.0166666666667</v>
      </c>
      <c r="BJ9" s="118">
        <f t="shared" si="5"/>
        <v>1209094.5833333333</v>
      </c>
      <c r="BK9" s="118">
        <f>((BJ9-BK8)*(2/(1+5)))+BK8</f>
        <v>2689778.9588888893</v>
      </c>
      <c r="BL9" s="118">
        <f t="shared" ref="BL9:BL67" si="59">((X9-BL8)*(2/(1+5)))+BL8</f>
        <v>2614.6000000000004</v>
      </c>
      <c r="BM9" s="325">
        <f t="shared" ref="BM9:BM67" si="60">BK9/BL9</f>
        <v>1028.7535221023822</v>
      </c>
      <c r="BN9" s="6">
        <f t="shared" si="6"/>
        <v>588989.1</v>
      </c>
      <c r="BO9" s="331">
        <v>0</v>
      </c>
      <c r="BP9" s="319">
        <f t="shared" si="55"/>
        <v>90.092585218995808</v>
      </c>
      <c r="BQ9" s="331">
        <v>0</v>
      </c>
      <c r="BR9" s="332">
        <v>0</v>
      </c>
      <c r="BS9" s="140">
        <f t="shared" si="7"/>
        <v>1208370</v>
      </c>
      <c r="BT9" s="339">
        <v>0</v>
      </c>
      <c r="BU9" s="329">
        <f t="shared" si="56"/>
        <v>1030.3235446792733</v>
      </c>
      <c r="BV9" s="339">
        <v>0</v>
      </c>
      <c r="BW9" s="325">
        <v>0</v>
      </c>
      <c r="BX9" s="21">
        <v>0</v>
      </c>
      <c r="BY9" s="21">
        <v>0</v>
      </c>
      <c r="BZ9" s="21">
        <v>0</v>
      </c>
      <c r="CA9" s="21">
        <v>0</v>
      </c>
      <c r="CB9" s="21">
        <v>0</v>
      </c>
      <c r="CC9" s="21">
        <v>0</v>
      </c>
      <c r="CD9" s="342">
        <v>0</v>
      </c>
      <c r="CE9" s="342">
        <v>0</v>
      </c>
      <c r="CF9" s="343">
        <v>0</v>
      </c>
      <c r="CG9" s="141">
        <v>0</v>
      </c>
      <c r="CH9" s="118">
        <v>0</v>
      </c>
      <c r="CI9" s="118">
        <v>0</v>
      </c>
      <c r="CJ9" s="118"/>
      <c r="CK9" s="118"/>
      <c r="CL9" s="118">
        <v>0</v>
      </c>
      <c r="CM9" s="350">
        <v>0</v>
      </c>
      <c r="CN9" s="350">
        <v>0</v>
      </c>
      <c r="CO9" s="351">
        <v>0</v>
      </c>
      <c r="CP9" s="20">
        <f t="shared" si="26"/>
        <v>2.0999999999999801</v>
      </c>
      <c r="CQ9" s="21">
        <f t="shared" si="27"/>
        <v>592307.64999999991</v>
      </c>
      <c r="CR9" s="21">
        <f t="shared" si="28"/>
        <v>0</v>
      </c>
      <c r="CS9" s="21">
        <v>0</v>
      </c>
      <c r="CT9" s="21">
        <v>0</v>
      </c>
      <c r="CU9" s="21">
        <v>0</v>
      </c>
      <c r="CV9" s="342">
        <v>0</v>
      </c>
      <c r="CW9" s="342">
        <v>0</v>
      </c>
      <c r="CX9" s="355">
        <v>0</v>
      </c>
      <c r="CY9" s="141">
        <f t="shared" si="29"/>
        <v>-0.20000000000004547</v>
      </c>
      <c r="CZ9" s="118">
        <f t="shared" si="30"/>
        <v>0</v>
      </c>
      <c r="DA9" s="118">
        <f t="shared" si="31"/>
        <v>1209094.5833333333</v>
      </c>
      <c r="DB9" s="118">
        <v>0</v>
      </c>
      <c r="DC9" s="118">
        <v>0</v>
      </c>
      <c r="DD9" s="118">
        <v>0</v>
      </c>
      <c r="DE9" s="350">
        <v>0</v>
      </c>
      <c r="DF9" s="350">
        <v>0</v>
      </c>
      <c r="DG9" s="351">
        <v>0</v>
      </c>
      <c r="DH9" s="135">
        <f t="shared" si="32"/>
        <v>2.4500000000000028</v>
      </c>
      <c r="DI9" s="20">
        <f t="shared" si="33"/>
        <v>15736.350000000019</v>
      </c>
      <c r="DJ9" s="21">
        <v>0</v>
      </c>
      <c r="DK9" s="21">
        <v>0</v>
      </c>
      <c r="DL9" s="319">
        <v>0</v>
      </c>
      <c r="DM9" s="21">
        <v>0</v>
      </c>
      <c r="DN9" s="21">
        <v>0</v>
      </c>
      <c r="DO9" s="319">
        <v>0</v>
      </c>
      <c r="DP9" s="362">
        <v>0</v>
      </c>
      <c r="DQ9" s="141">
        <f t="shared" si="34"/>
        <v>9.0499999999999545</v>
      </c>
      <c r="DR9" s="143">
        <f t="shared" si="35"/>
        <v>10633.749999999947</v>
      </c>
      <c r="DS9" s="118">
        <v>0</v>
      </c>
      <c r="DT9" s="118">
        <v>0</v>
      </c>
      <c r="DU9" s="329">
        <v>0</v>
      </c>
      <c r="DV9" s="118">
        <v>0</v>
      </c>
      <c r="DW9" s="118">
        <v>0</v>
      </c>
      <c r="DX9" s="372">
        <v>0</v>
      </c>
      <c r="DY9" s="373">
        <v>0</v>
      </c>
      <c r="DZ9" s="135">
        <f t="shared" si="36"/>
        <v>2.4500000000000028</v>
      </c>
      <c r="EA9" s="21">
        <f t="shared" si="37"/>
        <v>15736.350000000019</v>
      </c>
      <c r="EB9" s="21">
        <v>0</v>
      </c>
      <c r="EC9" s="21">
        <v>0</v>
      </c>
      <c r="ED9" s="319">
        <v>0</v>
      </c>
      <c r="EE9" s="21">
        <v>0</v>
      </c>
      <c r="EF9" s="21">
        <v>0</v>
      </c>
      <c r="EG9" s="363" t="s">
        <v>20</v>
      </c>
      <c r="EH9" s="381"/>
      <c r="EI9" s="143">
        <f t="shared" si="38"/>
        <v>9.0499999999999545</v>
      </c>
      <c r="EJ9" s="118">
        <f t="shared" si="39"/>
        <v>10633.749999999947</v>
      </c>
      <c r="EK9" s="118">
        <v>0</v>
      </c>
      <c r="EL9" s="118">
        <v>0</v>
      </c>
      <c r="EM9" s="329">
        <v>0</v>
      </c>
      <c r="EN9" s="118">
        <v>0</v>
      </c>
      <c r="EO9" s="118">
        <v>0</v>
      </c>
      <c r="EP9" s="375" t="s">
        <v>20</v>
      </c>
      <c r="EQ9" s="384"/>
      <c r="ER9" s="396">
        <v>0</v>
      </c>
      <c r="ES9" s="403">
        <v>0</v>
      </c>
      <c r="ET9" s="404">
        <v>0</v>
      </c>
      <c r="EU9" s="410">
        <v>0</v>
      </c>
      <c r="EV9" s="20">
        <f t="shared" si="8"/>
        <v>2.0499999999999972</v>
      </c>
      <c r="EW9" s="17">
        <f t="shared" si="9"/>
        <v>2.2222222222222192E-2</v>
      </c>
      <c r="EX9" s="388" t="s">
        <v>20</v>
      </c>
      <c r="EY9" s="388" t="s">
        <v>20</v>
      </c>
      <c r="EZ9" s="314" t="s">
        <v>20</v>
      </c>
      <c r="FA9" s="442">
        <f t="shared" si="10"/>
        <v>9.0499999999999545</v>
      </c>
      <c r="FB9" s="18">
        <f t="shared" si="11"/>
        <v>8.7536876722928425E-3</v>
      </c>
      <c r="FC9" s="394" t="s">
        <v>20</v>
      </c>
      <c r="FD9" s="394" t="s">
        <v>20</v>
      </c>
      <c r="FE9" s="385" t="s">
        <v>20</v>
      </c>
      <c r="FF9" s="416">
        <f t="shared" si="49"/>
        <v>2</v>
      </c>
      <c r="FG9" s="417">
        <f t="shared" si="50"/>
        <v>2</v>
      </c>
      <c r="FH9" s="415">
        <v>0</v>
      </c>
      <c r="FI9" s="413" t="s">
        <v>20</v>
      </c>
      <c r="FJ9" s="404">
        <v>0</v>
      </c>
      <c r="FK9" s="414" t="s">
        <v>20</v>
      </c>
      <c r="FL9" s="415">
        <v>0</v>
      </c>
      <c r="FM9" s="413" t="s">
        <v>20</v>
      </c>
      <c r="FN9" s="404">
        <v>0</v>
      </c>
      <c r="FO9" s="414" t="s">
        <v>20</v>
      </c>
      <c r="FQ9" s="135">
        <f t="shared" si="51"/>
        <v>89.142968749999994</v>
      </c>
      <c r="FR9" s="21">
        <f t="shared" si="12"/>
        <v>93.5</v>
      </c>
      <c r="FS9" s="21">
        <f t="shared" si="13"/>
        <v>89.142968749999994</v>
      </c>
      <c r="FT9" s="182">
        <f t="shared" si="14"/>
        <v>92.224999999999994</v>
      </c>
      <c r="FU9" s="141">
        <f t="shared" si="52"/>
        <v>1026.7710937500001</v>
      </c>
      <c r="FV9" s="118">
        <f t="shared" si="15"/>
        <v>1033.8499999999999</v>
      </c>
      <c r="FW9" s="118">
        <f t="shared" si="16"/>
        <v>1024.8</v>
      </c>
      <c r="FX9" s="181">
        <f t="shared" si="17"/>
        <v>1030.2249999999999</v>
      </c>
    </row>
    <row r="10" spans="1:180" ht="11.15" thickBot="1" x14ac:dyDescent="0.35">
      <c r="A10" s="5"/>
      <c r="L10" s="283">
        <f t="shared" si="40"/>
        <v>7</v>
      </c>
      <c r="M10" s="290">
        <f>'[6]ASHOKLEY-I'!C26</f>
        <v>42802</v>
      </c>
      <c r="N10" s="7">
        <f>'[6]ASHOKLEY-I'!D26</f>
        <v>91.8</v>
      </c>
      <c r="O10" s="7">
        <f>'[6]ASHOKLEY-I'!E26</f>
        <v>91.9</v>
      </c>
      <c r="P10" s="7">
        <f>'[6]ASHOKLEY-I'!F26</f>
        <v>89.55</v>
      </c>
      <c r="Q10" s="7">
        <f>'[6]ASHOKLEY-I'!G26</f>
        <v>91.4</v>
      </c>
      <c r="R10" s="11">
        <f>'[6]ASHOKLEY-I'!H26</f>
        <v>2846</v>
      </c>
      <c r="S10" s="291">
        <f>'[7]ASIANPAINT-I'!C26</f>
        <v>42802</v>
      </c>
      <c r="T10" s="9">
        <f>'[7]ASIANPAINT-I'!D26</f>
        <v>1025.5999999999999</v>
      </c>
      <c r="U10" s="9">
        <f>'[7]ASIANPAINT-I'!E26</f>
        <v>1038.05</v>
      </c>
      <c r="V10" s="9">
        <f>'[7]ASIANPAINT-I'!F26</f>
        <v>1018.8</v>
      </c>
      <c r="W10" s="9">
        <f>'[7]ASIANPAINT-I'!G26</f>
        <v>1028.25</v>
      </c>
      <c r="X10" s="12">
        <f>'[7]ASIANPAINT-I'!H26</f>
        <v>2108</v>
      </c>
      <c r="Y10" s="115"/>
      <c r="Z10" s="122">
        <f t="shared" si="18"/>
        <v>-3.2715376226826296E-3</v>
      </c>
      <c r="AA10" s="19">
        <f t="shared" si="19"/>
        <v>-1.4585764294057851E-4</v>
      </c>
      <c r="AB10" s="305">
        <v>0</v>
      </c>
      <c r="AC10" s="306">
        <v>0</v>
      </c>
      <c r="AD10" s="466">
        <f t="shared" si="20"/>
        <v>-3.2769008023147985E-3</v>
      </c>
      <c r="AE10" s="17">
        <f t="shared" si="41"/>
        <v>1.083507079921946E-2</v>
      </c>
      <c r="AF10" s="17">
        <f t="shared" si="42"/>
        <v>1.0535611914015483E-2</v>
      </c>
      <c r="AG10" s="314">
        <f t="shared" si="43"/>
        <v>0.20128258299465931</v>
      </c>
      <c r="AH10" s="467">
        <f t="shared" si="21"/>
        <v>-1.4586828120107906E-4</v>
      </c>
      <c r="AI10" s="18">
        <f t="shared" si="53"/>
        <v>4.5840812053933085E-3</v>
      </c>
      <c r="AJ10" s="18">
        <f t="shared" si="22"/>
        <v>4.4445752464222481E-3</v>
      </c>
      <c r="AK10" s="385">
        <f t="shared" si="44"/>
        <v>8.4913490855134E-2</v>
      </c>
      <c r="AL10" s="10">
        <f t="shared" si="23"/>
        <v>2.5903900854920607E-2</v>
      </c>
      <c r="AM10" s="17">
        <f t="shared" si="45"/>
        <v>1.6074894696122857E-2</v>
      </c>
      <c r="AN10" s="17">
        <f t="shared" si="46"/>
        <v>1.6827323907622562E-2</v>
      </c>
      <c r="AO10" s="314">
        <f t="shared" si="47"/>
        <v>0.32148557185447174</v>
      </c>
      <c r="AP10" s="448">
        <f t="shared" si="24"/>
        <v>1.8718489017256222E-2</v>
      </c>
      <c r="AQ10" s="18">
        <f t="shared" si="54"/>
        <v>8.0300466869915946E-3</v>
      </c>
      <c r="AR10" s="18">
        <f t="shared" si="25"/>
        <v>9.0352454683255458E-3</v>
      </c>
      <c r="AS10" s="385">
        <f t="shared" si="48"/>
        <v>0.17261812229776893</v>
      </c>
      <c r="AT10" s="6">
        <f t="shared" si="0"/>
        <v>261262.8</v>
      </c>
      <c r="AU10" s="319">
        <v>0</v>
      </c>
      <c r="AV10" s="140">
        <f t="shared" si="1"/>
        <v>2161964.7999999998</v>
      </c>
      <c r="AW10" s="481">
        <v>0</v>
      </c>
      <c r="AX10" s="135">
        <v>0</v>
      </c>
      <c r="AY10" s="21">
        <v>0</v>
      </c>
      <c r="AZ10" s="319">
        <v>0</v>
      </c>
      <c r="BA10" s="21">
        <f t="shared" si="2"/>
        <v>90.95</v>
      </c>
      <c r="BB10" s="21">
        <f t="shared" si="3"/>
        <v>258843.7</v>
      </c>
      <c r="BC10" s="21">
        <f t="shared" ref="BC10:BC67" si="61">((BB10-BC9)*(2/(1+5)))+BC9</f>
        <v>348590.9644444444</v>
      </c>
      <c r="BD10" s="21">
        <f t="shared" si="57"/>
        <v>3834.7555555555555</v>
      </c>
      <c r="BE10" s="332">
        <f t="shared" si="58"/>
        <v>90.903046985466247</v>
      </c>
      <c r="BF10" s="141">
        <v>0</v>
      </c>
      <c r="BG10" s="118">
        <v>0</v>
      </c>
      <c r="BH10" s="329">
        <v>0</v>
      </c>
      <c r="BI10" s="118">
        <f t="shared" si="4"/>
        <v>1028.3666666666666</v>
      </c>
      <c r="BJ10" s="118">
        <f t="shared" si="5"/>
        <v>2167796.9333333331</v>
      </c>
      <c r="BK10" s="118">
        <f t="shared" ref="BK10:BK67" si="62">((BJ10-BK9)*(2/(1+5)))+BK9</f>
        <v>2515784.9503703704</v>
      </c>
      <c r="BL10" s="118">
        <f t="shared" si="59"/>
        <v>2445.7333333333336</v>
      </c>
      <c r="BM10" s="325">
        <f t="shared" si="60"/>
        <v>1028.6423773525473</v>
      </c>
      <c r="BN10" s="6">
        <f t="shared" si="6"/>
        <v>260124.40000000002</v>
      </c>
      <c r="BO10" s="331">
        <v>0</v>
      </c>
      <c r="BP10" s="319">
        <f t="shared" si="55"/>
        <v>90.343912596401026</v>
      </c>
      <c r="BQ10" s="331">
        <v>0</v>
      </c>
      <c r="BR10" s="332">
        <v>0</v>
      </c>
      <c r="BS10" s="140">
        <f t="shared" si="7"/>
        <v>2167551</v>
      </c>
      <c r="BT10" s="339">
        <v>0</v>
      </c>
      <c r="BU10" s="329">
        <f t="shared" si="56"/>
        <v>1027.7205303678359</v>
      </c>
      <c r="BV10" s="339">
        <v>0</v>
      </c>
      <c r="BW10" s="325">
        <v>0</v>
      </c>
      <c r="BX10" s="21">
        <v>0</v>
      </c>
      <c r="BY10" s="21">
        <v>0</v>
      </c>
      <c r="BZ10" s="21">
        <v>0</v>
      </c>
      <c r="CA10" s="21">
        <v>0</v>
      </c>
      <c r="CB10" s="21">
        <v>0</v>
      </c>
      <c r="CC10" s="21">
        <v>0</v>
      </c>
      <c r="CD10" s="342">
        <v>0</v>
      </c>
      <c r="CE10" s="342">
        <v>0</v>
      </c>
      <c r="CF10" s="343">
        <v>0</v>
      </c>
      <c r="CG10" s="141">
        <v>0</v>
      </c>
      <c r="CH10" s="118">
        <v>0</v>
      </c>
      <c r="CI10" s="118">
        <v>0</v>
      </c>
      <c r="CJ10" s="118"/>
      <c r="CK10" s="118"/>
      <c r="CL10" s="118">
        <v>0</v>
      </c>
      <c r="CM10" s="350">
        <v>0</v>
      </c>
      <c r="CN10" s="350">
        <v>0</v>
      </c>
      <c r="CO10" s="351">
        <v>0</v>
      </c>
      <c r="CP10" s="20">
        <f t="shared" si="26"/>
        <v>-1.2666666666666515</v>
      </c>
      <c r="CQ10" s="21">
        <f t="shared" si="27"/>
        <v>0</v>
      </c>
      <c r="CR10" s="21">
        <f t="shared" si="28"/>
        <v>258843.7</v>
      </c>
      <c r="CS10" s="21">
        <v>0</v>
      </c>
      <c r="CT10" s="21">
        <v>0</v>
      </c>
      <c r="CU10" s="21">
        <v>0</v>
      </c>
      <c r="CV10" s="342">
        <v>0</v>
      </c>
      <c r="CW10" s="342">
        <v>0</v>
      </c>
      <c r="CX10" s="355">
        <v>0</v>
      </c>
      <c r="CY10" s="141">
        <f t="shared" si="29"/>
        <v>-0.65000000000009095</v>
      </c>
      <c r="CZ10" s="118">
        <f t="shared" si="30"/>
        <v>0</v>
      </c>
      <c r="DA10" s="118">
        <f t="shared" si="31"/>
        <v>2167796.9333333331</v>
      </c>
      <c r="DB10" s="118">
        <v>0</v>
      </c>
      <c r="DC10" s="118">
        <v>0</v>
      </c>
      <c r="DD10" s="118">
        <v>0</v>
      </c>
      <c r="DE10" s="350">
        <v>0</v>
      </c>
      <c r="DF10" s="350">
        <v>0</v>
      </c>
      <c r="DG10" s="351">
        <v>0</v>
      </c>
      <c r="DH10" s="135">
        <f t="shared" si="32"/>
        <v>2.3500000000000085</v>
      </c>
      <c r="DI10" s="20">
        <f t="shared" si="33"/>
        <v>6688.100000000024</v>
      </c>
      <c r="DJ10" s="21">
        <v>0</v>
      </c>
      <c r="DK10" s="21">
        <v>0</v>
      </c>
      <c r="DL10" s="319">
        <v>0</v>
      </c>
      <c r="DM10" s="21">
        <v>0</v>
      </c>
      <c r="DN10" s="21">
        <v>0</v>
      </c>
      <c r="DO10" s="319">
        <v>0</v>
      </c>
      <c r="DP10" s="362">
        <v>0</v>
      </c>
      <c r="DQ10" s="141">
        <f t="shared" si="34"/>
        <v>19.25</v>
      </c>
      <c r="DR10" s="143">
        <f t="shared" si="35"/>
        <v>40579</v>
      </c>
      <c r="DS10" s="118">
        <v>0</v>
      </c>
      <c r="DT10" s="118">
        <v>0</v>
      </c>
      <c r="DU10" s="329">
        <v>0</v>
      </c>
      <c r="DV10" s="118">
        <v>0</v>
      </c>
      <c r="DW10" s="118">
        <v>0</v>
      </c>
      <c r="DX10" s="372">
        <v>0</v>
      </c>
      <c r="DY10" s="373">
        <v>0</v>
      </c>
      <c r="DZ10" s="135">
        <f t="shared" si="36"/>
        <v>2.3500000000000085</v>
      </c>
      <c r="EA10" s="21">
        <f t="shared" si="37"/>
        <v>6688.100000000024</v>
      </c>
      <c r="EB10" s="21">
        <v>0</v>
      </c>
      <c r="EC10" s="21">
        <v>0</v>
      </c>
      <c r="ED10" s="319">
        <v>0</v>
      </c>
      <c r="EE10" s="21">
        <v>0</v>
      </c>
      <c r="EF10" s="21">
        <v>0</v>
      </c>
      <c r="EG10" s="363" t="s">
        <v>20</v>
      </c>
      <c r="EH10" s="381"/>
      <c r="EI10" s="143">
        <f t="shared" si="38"/>
        <v>19.25</v>
      </c>
      <c r="EJ10" s="118">
        <f t="shared" si="39"/>
        <v>40579</v>
      </c>
      <c r="EK10" s="118">
        <v>0</v>
      </c>
      <c r="EL10" s="118">
        <v>0</v>
      </c>
      <c r="EM10" s="329">
        <v>0</v>
      </c>
      <c r="EN10" s="118">
        <v>0</v>
      </c>
      <c r="EO10" s="118">
        <v>0</v>
      </c>
      <c r="EP10" s="375" t="s">
        <v>20</v>
      </c>
      <c r="EQ10" s="384"/>
      <c r="ER10" s="396">
        <v>0</v>
      </c>
      <c r="ES10" s="403">
        <v>0</v>
      </c>
      <c r="ET10" s="404">
        <v>0</v>
      </c>
      <c r="EU10" s="410">
        <v>0</v>
      </c>
      <c r="EV10" s="20">
        <f t="shared" si="8"/>
        <v>2.3500000000000085</v>
      </c>
      <c r="EW10" s="17">
        <f t="shared" si="9"/>
        <v>2.5599128540305105E-2</v>
      </c>
      <c r="EX10" s="388" t="s">
        <v>20</v>
      </c>
      <c r="EY10" s="388" t="s">
        <v>20</v>
      </c>
      <c r="EZ10" s="314" t="s">
        <v>20</v>
      </c>
      <c r="FA10" s="442">
        <f t="shared" si="10"/>
        <v>19.25</v>
      </c>
      <c r="FB10" s="18">
        <f t="shared" si="11"/>
        <v>1.8769500780031204E-2</v>
      </c>
      <c r="FC10" s="394" t="s">
        <v>20</v>
      </c>
      <c r="FD10" s="394" t="s">
        <v>20</v>
      </c>
      <c r="FE10" s="385" t="s">
        <v>20</v>
      </c>
      <c r="FF10" s="416">
        <f t="shared" si="49"/>
        <v>2</v>
      </c>
      <c r="FG10" s="417">
        <f t="shared" si="50"/>
        <v>1</v>
      </c>
      <c r="FH10" s="415">
        <v>0</v>
      </c>
      <c r="FI10" s="413" t="s">
        <v>20</v>
      </c>
      <c r="FJ10" s="404">
        <v>0</v>
      </c>
      <c r="FK10" s="414" t="s">
        <v>20</v>
      </c>
      <c r="FL10" s="415">
        <v>0</v>
      </c>
      <c r="FM10" s="413" t="s">
        <v>20</v>
      </c>
      <c r="FN10" s="404">
        <v>0</v>
      </c>
      <c r="FO10" s="414" t="s">
        <v>20</v>
      </c>
      <c r="FQ10" s="135">
        <f t="shared" si="51"/>
        <v>90.683984374999994</v>
      </c>
      <c r="FR10" s="21">
        <f t="shared" si="12"/>
        <v>91.9</v>
      </c>
      <c r="FS10" s="21">
        <f t="shared" si="13"/>
        <v>89.55</v>
      </c>
      <c r="FT10" s="182">
        <f t="shared" si="14"/>
        <v>91.162499999999994</v>
      </c>
      <c r="FU10" s="141">
        <f t="shared" si="52"/>
        <v>1028.498046875</v>
      </c>
      <c r="FV10" s="118">
        <f t="shared" si="15"/>
        <v>1038.05</v>
      </c>
      <c r="FW10" s="118">
        <f t="shared" si="16"/>
        <v>1018.8</v>
      </c>
      <c r="FX10" s="181">
        <f t="shared" si="17"/>
        <v>1027.675</v>
      </c>
    </row>
    <row r="11" spans="1:180" ht="11.15" thickBot="1" x14ac:dyDescent="0.35">
      <c r="A11" s="702" t="s">
        <v>25</v>
      </c>
      <c r="B11" s="703"/>
      <c r="C11" s="703"/>
      <c r="D11" s="93">
        <f ca="1">IF($H$11=0,IF(AND('Base Data'!$D$20&gt;='Base Data'!$D$19,'Base Data'!$D$20&lt;='Base Data'!$E$19),$B$9,($D$9+$E$9)/2),IF(AND('Base Data'!$D$20&gt;='Base Data'!$D$19,'Base Data'!$D$20&lt;='Base Data'!$E$19),($B$9*1000),((($D$9*1000)+($E$9*1000))/2)))</f>
        <v>93725</v>
      </c>
      <c r="E11" s="154" t="s">
        <v>26</v>
      </c>
      <c r="F11" s="475">
        <f ca="1">IF($G$9=0,($D$11*$AN$69),IF($G$9=1,($D$11*$AF$69*SQRT('Base Data'!$D$18)),"Check 'Base Data D17'"))</f>
        <v>2960.6897575005842</v>
      </c>
      <c r="G11" s="460" t="s">
        <v>271</v>
      </c>
      <c r="H11" s="463">
        <f>IF(F9/100&gt;=1,0,1)</f>
        <v>1</v>
      </c>
      <c r="L11" s="283">
        <f t="shared" si="40"/>
        <v>8</v>
      </c>
      <c r="M11" s="290">
        <f>'[6]ASHOKLEY-I'!C27</f>
        <v>42803</v>
      </c>
      <c r="N11" s="7">
        <f>'[6]ASHOKLEY-I'!D27</f>
        <v>90.6</v>
      </c>
      <c r="O11" s="7">
        <f>'[6]ASHOKLEY-I'!E27</f>
        <v>91.65</v>
      </c>
      <c r="P11" s="7">
        <f>'[6]ASHOKLEY-I'!F27</f>
        <v>90.35</v>
      </c>
      <c r="Q11" s="7">
        <f>'[6]ASHOKLEY-I'!G27</f>
        <v>90.8</v>
      </c>
      <c r="R11" s="11">
        <f>'[6]ASHOKLEY-I'!H27</f>
        <v>1445</v>
      </c>
      <c r="S11" s="291">
        <f>'[7]ASIANPAINT-I'!C27</f>
        <v>42803</v>
      </c>
      <c r="T11" s="9">
        <f>'[7]ASIANPAINT-I'!D27</f>
        <v>1033.0999999999999</v>
      </c>
      <c r="U11" s="9">
        <f>'[7]ASIANPAINT-I'!E27</f>
        <v>1044</v>
      </c>
      <c r="V11" s="9">
        <f>'[7]ASIANPAINT-I'!F27</f>
        <v>1031.05</v>
      </c>
      <c r="W11" s="9">
        <f>'[7]ASIANPAINT-I'!G27</f>
        <v>1036.95</v>
      </c>
      <c r="X11" s="12">
        <f>'[7]ASIANPAINT-I'!H27</f>
        <v>2945</v>
      </c>
      <c r="Y11" s="115"/>
      <c r="Z11" s="122">
        <f t="shared" si="18"/>
        <v>-6.5645514223195674E-3</v>
      </c>
      <c r="AA11" s="19">
        <f t="shared" si="19"/>
        <v>8.460977388767367E-3</v>
      </c>
      <c r="AB11" s="305">
        <v>0</v>
      </c>
      <c r="AC11" s="306">
        <v>0</v>
      </c>
      <c r="AD11" s="466">
        <f t="shared" si="20"/>
        <v>-6.5861928528568384E-3</v>
      </c>
      <c r="AE11" s="17">
        <f t="shared" si="41"/>
        <v>1.0535611914015483E-2</v>
      </c>
      <c r="AF11" s="17">
        <f t="shared" si="42"/>
        <v>1.0341269142435161E-2</v>
      </c>
      <c r="AG11" s="314">
        <f t="shared" si="43"/>
        <v>0.19756966955695096</v>
      </c>
      <c r="AH11" s="467">
        <f t="shared" si="21"/>
        <v>8.4253839488503037E-3</v>
      </c>
      <c r="AI11" s="18">
        <f t="shared" si="53"/>
        <v>4.4445752464222481E-3</v>
      </c>
      <c r="AJ11" s="18">
        <f t="shared" si="22"/>
        <v>4.7778886398675601E-3</v>
      </c>
      <c r="AK11" s="385">
        <f t="shared" si="44"/>
        <v>9.1281434295622521E-2</v>
      </c>
      <c r="AL11" s="10">
        <f t="shared" si="23"/>
        <v>1.4285957247476652E-2</v>
      </c>
      <c r="AM11" s="17">
        <f t="shared" si="45"/>
        <v>1.6827323907622562E-2</v>
      </c>
      <c r="AN11" s="17">
        <f t="shared" si="46"/>
        <v>1.6685760832731811E-2</v>
      </c>
      <c r="AO11" s="314">
        <f t="shared" si="47"/>
        <v>0.31878101310617818</v>
      </c>
      <c r="AP11" s="448">
        <f t="shared" si="24"/>
        <v>1.2481788996308849E-2</v>
      </c>
      <c r="AQ11" s="18">
        <f t="shared" si="54"/>
        <v>9.0352454683255458E-3</v>
      </c>
      <c r="AR11" s="18">
        <f t="shared" si="25"/>
        <v>9.2782123507400976E-3</v>
      </c>
      <c r="AS11" s="385">
        <f t="shared" si="48"/>
        <v>0.17725999806860124</v>
      </c>
      <c r="AT11" s="6">
        <f t="shared" si="0"/>
        <v>130916.99999999999</v>
      </c>
      <c r="AU11" s="319">
        <v>0</v>
      </c>
      <c r="AV11" s="140">
        <f t="shared" si="1"/>
        <v>3042479.4999999995</v>
      </c>
      <c r="AW11" s="481">
        <v>0</v>
      </c>
      <c r="AX11" s="135">
        <v>0</v>
      </c>
      <c r="AY11" s="21">
        <v>0</v>
      </c>
      <c r="AZ11" s="319">
        <v>0</v>
      </c>
      <c r="BA11" s="21">
        <f t="shared" si="2"/>
        <v>90.933333333333337</v>
      </c>
      <c r="BB11" s="21">
        <f t="shared" si="3"/>
        <v>131398.66666666669</v>
      </c>
      <c r="BC11" s="21">
        <f t="shared" si="61"/>
        <v>276193.53185185185</v>
      </c>
      <c r="BD11" s="21">
        <f t="shared" si="57"/>
        <v>3038.1703703703706</v>
      </c>
      <c r="BE11" s="332">
        <f t="shared" si="58"/>
        <v>90.907848534571229</v>
      </c>
      <c r="BF11" s="141">
        <v>0</v>
      </c>
      <c r="BG11" s="118">
        <v>0</v>
      </c>
      <c r="BH11" s="329">
        <v>0</v>
      </c>
      <c r="BI11" s="118">
        <f t="shared" si="4"/>
        <v>1037.3333333333333</v>
      </c>
      <c r="BJ11" s="118">
        <f t="shared" si="5"/>
        <v>3054946.6666666665</v>
      </c>
      <c r="BK11" s="118">
        <f t="shared" si="62"/>
        <v>2695505.5224691359</v>
      </c>
      <c r="BL11" s="118">
        <f t="shared" si="59"/>
        <v>2612.1555555555556</v>
      </c>
      <c r="BM11" s="325">
        <f t="shared" si="60"/>
        <v>1031.9085005241402</v>
      </c>
      <c r="BN11" s="6">
        <f t="shared" si="6"/>
        <v>131206</v>
      </c>
      <c r="BO11" s="331">
        <v>0</v>
      </c>
      <c r="BP11" s="319">
        <f t="shared" si="55"/>
        <v>90.837348183802533</v>
      </c>
      <c r="BQ11" s="331">
        <v>0</v>
      </c>
      <c r="BR11" s="332">
        <v>0</v>
      </c>
      <c r="BS11" s="140">
        <f t="shared" si="7"/>
        <v>3053817.75</v>
      </c>
      <c r="BT11" s="339">
        <v>0</v>
      </c>
      <c r="BU11" s="329">
        <f t="shared" si="56"/>
        <v>1029.0945326356864</v>
      </c>
      <c r="BV11" s="339">
        <v>0</v>
      </c>
      <c r="BW11" s="325">
        <v>0</v>
      </c>
      <c r="BX11" s="21">
        <v>0</v>
      </c>
      <c r="BY11" s="21">
        <v>0</v>
      </c>
      <c r="BZ11" s="21">
        <v>0</v>
      </c>
      <c r="CA11" s="21">
        <v>0</v>
      </c>
      <c r="CB11" s="21">
        <v>0</v>
      </c>
      <c r="CC11" s="21">
        <v>0</v>
      </c>
      <c r="CD11" s="342">
        <v>0</v>
      </c>
      <c r="CE11" s="342">
        <v>0</v>
      </c>
      <c r="CF11" s="343">
        <v>0</v>
      </c>
      <c r="CG11" s="141">
        <v>0</v>
      </c>
      <c r="CH11" s="118">
        <v>0</v>
      </c>
      <c r="CI11" s="118">
        <v>0</v>
      </c>
      <c r="CJ11" s="118"/>
      <c r="CK11" s="118"/>
      <c r="CL11" s="118">
        <v>0</v>
      </c>
      <c r="CM11" s="350">
        <v>0</v>
      </c>
      <c r="CN11" s="350">
        <v>0</v>
      </c>
      <c r="CO11" s="351">
        <v>0</v>
      </c>
      <c r="CP11" s="20">
        <f t="shared" si="26"/>
        <v>-1.6666666666665719E-2</v>
      </c>
      <c r="CQ11" s="21">
        <f t="shared" si="27"/>
        <v>0</v>
      </c>
      <c r="CR11" s="21">
        <f t="shared" si="28"/>
        <v>131398.66666666669</v>
      </c>
      <c r="CS11" s="21">
        <v>0</v>
      </c>
      <c r="CT11" s="21">
        <v>0</v>
      </c>
      <c r="CU11" s="21">
        <v>0</v>
      </c>
      <c r="CV11" s="342">
        <v>0</v>
      </c>
      <c r="CW11" s="342">
        <v>0</v>
      </c>
      <c r="CX11" s="355">
        <v>0</v>
      </c>
      <c r="CY11" s="141">
        <f t="shared" si="29"/>
        <v>8.966666666666697</v>
      </c>
      <c r="CZ11" s="118">
        <f t="shared" si="30"/>
        <v>3054946.6666666665</v>
      </c>
      <c r="DA11" s="118">
        <f t="shared" si="31"/>
        <v>0</v>
      </c>
      <c r="DB11" s="118">
        <v>0</v>
      </c>
      <c r="DC11" s="118">
        <v>0</v>
      </c>
      <c r="DD11" s="118">
        <v>0</v>
      </c>
      <c r="DE11" s="350">
        <v>0</v>
      </c>
      <c r="DF11" s="350">
        <v>0</v>
      </c>
      <c r="DG11" s="351">
        <v>0</v>
      </c>
      <c r="DH11" s="135">
        <f t="shared" si="32"/>
        <v>1.3000000000000114</v>
      </c>
      <c r="DI11" s="20">
        <f t="shared" si="33"/>
        <v>1878.5000000000164</v>
      </c>
      <c r="DJ11" s="21">
        <v>0</v>
      </c>
      <c r="DK11" s="21">
        <v>0</v>
      </c>
      <c r="DL11" s="319">
        <v>0</v>
      </c>
      <c r="DM11" s="21">
        <v>0</v>
      </c>
      <c r="DN11" s="21">
        <v>0</v>
      </c>
      <c r="DO11" s="319">
        <v>0</v>
      </c>
      <c r="DP11" s="362">
        <v>0</v>
      </c>
      <c r="DQ11" s="141">
        <f t="shared" si="34"/>
        <v>15.75</v>
      </c>
      <c r="DR11" s="143">
        <f t="shared" si="35"/>
        <v>46383.75</v>
      </c>
      <c r="DS11" s="118">
        <v>0</v>
      </c>
      <c r="DT11" s="118">
        <v>0</v>
      </c>
      <c r="DU11" s="329">
        <v>0</v>
      </c>
      <c r="DV11" s="118">
        <v>0</v>
      </c>
      <c r="DW11" s="118">
        <v>0</v>
      </c>
      <c r="DX11" s="372">
        <v>0</v>
      </c>
      <c r="DY11" s="373">
        <v>0</v>
      </c>
      <c r="DZ11" s="135">
        <f t="shared" si="36"/>
        <v>1.3000000000000114</v>
      </c>
      <c r="EA11" s="21">
        <f t="shared" si="37"/>
        <v>1878.5000000000164</v>
      </c>
      <c r="EB11" s="21">
        <v>0</v>
      </c>
      <c r="EC11" s="21">
        <v>0</v>
      </c>
      <c r="ED11" s="319">
        <v>0</v>
      </c>
      <c r="EE11" s="21">
        <v>0</v>
      </c>
      <c r="EF11" s="21">
        <v>0</v>
      </c>
      <c r="EG11" s="363" t="s">
        <v>20</v>
      </c>
      <c r="EH11" s="381"/>
      <c r="EI11" s="143">
        <f t="shared" si="38"/>
        <v>15.75</v>
      </c>
      <c r="EJ11" s="118">
        <f t="shared" si="39"/>
        <v>46383.75</v>
      </c>
      <c r="EK11" s="118">
        <v>0</v>
      </c>
      <c r="EL11" s="118">
        <v>0</v>
      </c>
      <c r="EM11" s="329">
        <v>0</v>
      </c>
      <c r="EN11" s="118">
        <v>0</v>
      </c>
      <c r="EO11" s="118">
        <v>0</v>
      </c>
      <c r="EP11" s="375" t="s">
        <v>20</v>
      </c>
      <c r="EQ11" s="384"/>
      <c r="ER11" s="396">
        <v>0</v>
      </c>
      <c r="ES11" s="403">
        <v>0</v>
      </c>
      <c r="ET11" s="404">
        <v>0</v>
      </c>
      <c r="EU11" s="410">
        <v>0</v>
      </c>
      <c r="EV11" s="20">
        <f t="shared" si="8"/>
        <v>1.3000000000000114</v>
      </c>
      <c r="EW11" s="17">
        <f t="shared" si="9"/>
        <v>1.4348785871964807E-2</v>
      </c>
      <c r="EX11" s="388">
        <f>AVERAGE(EW4:EW11)</f>
        <v>2.6922963273416155E-2</v>
      </c>
      <c r="EY11" s="388" t="s">
        <v>20</v>
      </c>
      <c r="EZ11" s="314" t="s">
        <v>20</v>
      </c>
      <c r="FA11" s="442">
        <f t="shared" si="10"/>
        <v>12.950000000000045</v>
      </c>
      <c r="FB11" s="18">
        <f t="shared" si="11"/>
        <v>1.2535088568386456E-2</v>
      </c>
      <c r="FC11" s="394">
        <f>AVERAGE(FB4:FB11)</f>
        <v>1.717422381460609E-2</v>
      </c>
      <c r="FD11" s="394" t="s">
        <v>20</v>
      </c>
      <c r="FE11" s="385" t="s">
        <v>20</v>
      </c>
      <c r="FF11" s="416">
        <f t="shared" si="49"/>
        <v>1</v>
      </c>
      <c r="FG11" s="417">
        <f t="shared" si="50"/>
        <v>1</v>
      </c>
      <c r="FH11" s="415">
        <v>0</v>
      </c>
      <c r="FI11" s="413" t="s">
        <v>20</v>
      </c>
      <c r="FJ11" s="404">
        <v>0</v>
      </c>
      <c r="FK11" s="414" t="s">
        <v>20</v>
      </c>
      <c r="FL11" s="415">
        <f>ABS(Q11-Q4)/(MAX(O4:O11)-MIN(P4:P11))*100</f>
        <v>5.0000000000001217</v>
      </c>
      <c r="FM11" s="413" t="str">
        <f>IF(AND(FL11&lt;30,FL11&gt;FL10),"C-R",IF(AND(FL11&lt;30,FL11=FL10),"C-F",IF(AND(FL11&lt;30,FL11&lt;FL10),"C-D",IF(AND(FL11&gt;=30,FL11&gt;FL10),"T-R",IF(AND(FL11&gt;=30,FL11=FL10),"T-F",IF(AND(FL11&gt;=30,FL11&lt;FL10),"T-D","Check"))))))</f>
        <v>C-R</v>
      </c>
      <c r="FN11" s="404">
        <f>ABS(W11-W4)/(MAX(U4:U11)-MIN(V4:V11))*100</f>
        <v>14.932126696832912</v>
      </c>
      <c r="FO11" s="414" t="str">
        <f>IF(AND(FN11&lt;30,FN11&gt;FN10),"C-R",IF(AND(FN11&lt;30,FN11=FN10),"C-F",IF(AND(FN11&lt;30,FN11&lt;FN10),"C-D",IF(AND(FN11&gt;=30,FN11&gt;FN10),"T-R",IF(AND(FN11&gt;=30,FN11=FN10),"T-F",IF(AND(FN11&gt;=30,FN11&lt;FN10),"T-D","Check"))))))</f>
        <v>C-R</v>
      </c>
      <c r="FQ11" s="135">
        <f t="shared" si="51"/>
        <v>90.923242187499994</v>
      </c>
      <c r="FR11" s="21">
        <f t="shared" si="12"/>
        <v>91.65</v>
      </c>
      <c r="FS11" s="21">
        <f t="shared" si="13"/>
        <v>90.35</v>
      </c>
      <c r="FT11" s="182">
        <f t="shared" si="14"/>
        <v>90.850000000000009</v>
      </c>
      <c r="FU11" s="141">
        <f t="shared" si="52"/>
        <v>1028.0865234375001</v>
      </c>
      <c r="FV11" s="118">
        <f t="shared" si="15"/>
        <v>1044</v>
      </c>
      <c r="FW11" s="118">
        <f t="shared" si="16"/>
        <v>1028.0865234375001</v>
      </c>
      <c r="FX11" s="181">
        <f t="shared" si="17"/>
        <v>1036.2749999999999</v>
      </c>
    </row>
    <row r="12" spans="1:180" ht="11.15" thickBot="1" x14ac:dyDescent="0.35">
      <c r="E12" s="22"/>
      <c r="F12" s="22"/>
      <c r="G12" s="23"/>
      <c r="H12" s="23"/>
      <c r="I12" s="23"/>
      <c r="J12" s="23"/>
      <c r="L12" s="283">
        <f t="shared" si="40"/>
        <v>9</v>
      </c>
      <c r="M12" s="290">
        <f>'[6]ASHOKLEY-I'!C28</f>
        <v>42804</v>
      </c>
      <c r="N12" s="7">
        <f>'[6]ASHOKLEY-I'!D28</f>
        <v>91</v>
      </c>
      <c r="O12" s="7">
        <f>'[6]ASHOKLEY-I'!E28</f>
        <v>91.4</v>
      </c>
      <c r="P12" s="7">
        <f>'[6]ASHOKLEY-I'!F28</f>
        <v>90.25</v>
      </c>
      <c r="Q12" s="7">
        <f>'[6]ASHOKLEY-I'!G28</f>
        <v>90.75</v>
      </c>
      <c r="R12" s="11">
        <f>'[6]ASHOKLEY-I'!H28</f>
        <v>1484</v>
      </c>
      <c r="S12" s="291">
        <f>'[7]ASIANPAINT-I'!C28</f>
        <v>42804</v>
      </c>
      <c r="T12" s="9">
        <f>'[7]ASIANPAINT-I'!D28</f>
        <v>1039</v>
      </c>
      <c r="U12" s="9">
        <f>'[7]ASIANPAINT-I'!E28</f>
        <v>1042.2</v>
      </c>
      <c r="V12" s="9">
        <f>'[7]ASIANPAINT-I'!F28</f>
        <v>1032.5999999999999</v>
      </c>
      <c r="W12" s="9">
        <f>'[7]ASIANPAINT-I'!G28</f>
        <v>1035.8</v>
      </c>
      <c r="X12" s="12">
        <f>'[7]ASIANPAINT-I'!H28</f>
        <v>2176</v>
      </c>
      <c r="Y12" s="115"/>
      <c r="Z12" s="122">
        <f t="shared" si="18"/>
        <v>-5.5066079295151057E-4</v>
      </c>
      <c r="AA12" s="19">
        <f t="shared" si="19"/>
        <v>-1.1090216500314295E-3</v>
      </c>
      <c r="AB12" s="305">
        <v>0</v>
      </c>
      <c r="AC12" s="306">
        <v>0</v>
      </c>
      <c r="AD12" s="466">
        <f t="shared" si="20"/>
        <v>-5.508124622874257E-4</v>
      </c>
      <c r="AE12" s="17">
        <f t="shared" si="41"/>
        <v>1.0341269142435161E-2</v>
      </c>
      <c r="AF12" s="17">
        <f t="shared" si="42"/>
        <v>1.0027140185008955E-2</v>
      </c>
      <c r="AG12" s="314">
        <f t="shared" si="43"/>
        <v>0.19156824425197619</v>
      </c>
      <c r="AH12" s="467">
        <f t="shared" si="21"/>
        <v>-1.1096370695927345E-3</v>
      </c>
      <c r="AI12" s="18">
        <f t="shared" si="53"/>
        <v>4.7778886398675601E-3</v>
      </c>
      <c r="AJ12" s="18">
        <f t="shared" si="22"/>
        <v>4.6403021808121307E-3</v>
      </c>
      <c r="AK12" s="385">
        <f t="shared" si="44"/>
        <v>8.865284868618821E-2</v>
      </c>
      <c r="AL12" s="10">
        <f t="shared" si="23"/>
        <v>1.2661881247114166E-2</v>
      </c>
      <c r="AM12" s="17">
        <f t="shared" si="45"/>
        <v>1.6685760832731811E-2</v>
      </c>
      <c r="AN12" s="17">
        <f t="shared" si="46"/>
        <v>1.6472071269153149E-2</v>
      </c>
      <c r="AO12" s="314">
        <f t="shared" si="47"/>
        <v>0.31469847972632808</v>
      </c>
      <c r="AP12" s="448">
        <f t="shared" si="24"/>
        <v>9.2539700295656002E-3</v>
      </c>
      <c r="AQ12" s="18">
        <f t="shared" si="54"/>
        <v>9.2782123507400976E-3</v>
      </c>
      <c r="AR12" s="18">
        <f t="shared" si="25"/>
        <v>9.2767595979623418E-3</v>
      </c>
      <c r="AS12" s="385">
        <f t="shared" si="48"/>
        <v>0.17723224326575299</v>
      </c>
      <c r="AT12" s="6">
        <f t="shared" si="0"/>
        <v>135044</v>
      </c>
      <c r="AU12" s="319">
        <v>0</v>
      </c>
      <c r="AV12" s="140">
        <f t="shared" si="1"/>
        <v>2260864</v>
      </c>
      <c r="AW12" s="481">
        <v>0</v>
      </c>
      <c r="AX12" s="135">
        <v>0</v>
      </c>
      <c r="AY12" s="21">
        <v>0</v>
      </c>
      <c r="AZ12" s="319">
        <v>0</v>
      </c>
      <c r="BA12" s="21">
        <f t="shared" si="2"/>
        <v>90.8</v>
      </c>
      <c r="BB12" s="21">
        <f t="shared" si="3"/>
        <v>134747.19999999998</v>
      </c>
      <c r="BC12" s="21">
        <f t="shared" si="61"/>
        <v>229044.75456790123</v>
      </c>
      <c r="BD12" s="21">
        <f t="shared" si="57"/>
        <v>2520.1135802469139</v>
      </c>
      <c r="BE12" s="332">
        <f t="shared" si="58"/>
        <v>90.886679220807196</v>
      </c>
      <c r="BF12" s="141">
        <v>0</v>
      </c>
      <c r="BG12" s="118">
        <v>0</v>
      </c>
      <c r="BH12" s="329">
        <v>0</v>
      </c>
      <c r="BI12" s="118">
        <f t="shared" si="4"/>
        <v>1036.8666666666668</v>
      </c>
      <c r="BJ12" s="118">
        <f t="shared" si="5"/>
        <v>2256221.8666666672</v>
      </c>
      <c r="BK12" s="118">
        <f t="shared" si="62"/>
        <v>2549077.6372016463</v>
      </c>
      <c r="BL12" s="118">
        <f t="shared" si="59"/>
        <v>2466.7703703703705</v>
      </c>
      <c r="BM12" s="325">
        <f t="shared" si="60"/>
        <v>1033.3664080856126</v>
      </c>
      <c r="BN12" s="6">
        <f t="shared" si="6"/>
        <v>134673</v>
      </c>
      <c r="BO12" s="331">
        <v>0</v>
      </c>
      <c r="BP12" s="319">
        <f t="shared" si="55"/>
        <v>91.311321997365596</v>
      </c>
      <c r="BQ12" s="331">
        <v>0</v>
      </c>
      <c r="BR12" s="332">
        <v>0</v>
      </c>
      <c r="BS12" s="140">
        <f t="shared" si="7"/>
        <v>2253900.7999999998</v>
      </c>
      <c r="BT12" s="339">
        <v>0</v>
      </c>
      <c r="BU12" s="329">
        <f t="shared" si="56"/>
        <v>1033.091304552295</v>
      </c>
      <c r="BV12" s="339">
        <v>0</v>
      </c>
      <c r="BW12" s="325">
        <v>0</v>
      </c>
      <c r="BX12" s="21">
        <v>0</v>
      </c>
      <c r="BY12" s="21">
        <v>0</v>
      </c>
      <c r="BZ12" s="21">
        <v>0</v>
      </c>
      <c r="CA12" s="21">
        <v>0</v>
      </c>
      <c r="CB12" s="21">
        <v>0</v>
      </c>
      <c r="CC12" s="21">
        <v>0</v>
      </c>
      <c r="CD12" s="342">
        <v>0</v>
      </c>
      <c r="CE12" s="342">
        <v>0</v>
      </c>
      <c r="CF12" s="343">
        <v>0</v>
      </c>
      <c r="CG12" s="141">
        <v>0</v>
      </c>
      <c r="CH12" s="118">
        <v>0</v>
      </c>
      <c r="CI12" s="118">
        <v>0</v>
      </c>
      <c r="CJ12" s="118"/>
      <c r="CK12" s="118"/>
      <c r="CL12" s="118">
        <v>0</v>
      </c>
      <c r="CM12" s="350">
        <v>0</v>
      </c>
      <c r="CN12" s="350">
        <v>0</v>
      </c>
      <c r="CO12" s="351">
        <v>0</v>
      </c>
      <c r="CP12" s="20">
        <f t="shared" si="26"/>
        <v>-0.13333333333333997</v>
      </c>
      <c r="CQ12" s="21">
        <f t="shared" si="27"/>
        <v>0</v>
      </c>
      <c r="CR12" s="21">
        <f t="shared" si="28"/>
        <v>134747.19999999998</v>
      </c>
      <c r="CS12" s="21">
        <v>0</v>
      </c>
      <c r="CT12" s="21">
        <v>0</v>
      </c>
      <c r="CU12" s="21">
        <v>0</v>
      </c>
      <c r="CV12" s="342">
        <v>0</v>
      </c>
      <c r="CW12" s="342">
        <v>0</v>
      </c>
      <c r="CX12" s="355">
        <v>0</v>
      </c>
      <c r="CY12" s="141">
        <f t="shared" si="29"/>
        <v>-0.46666666666646961</v>
      </c>
      <c r="CZ12" s="118">
        <f t="shared" si="30"/>
        <v>0</v>
      </c>
      <c r="DA12" s="118">
        <f t="shared" si="31"/>
        <v>2256221.8666666672</v>
      </c>
      <c r="DB12" s="118">
        <v>0</v>
      </c>
      <c r="DC12" s="118">
        <v>0</v>
      </c>
      <c r="DD12" s="118">
        <v>0</v>
      </c>
      <c r="DE12" s="350">
        <v>0</v>
      </c>
      <c r="DF12" s="350">
        <v>0</v>
      </c>
      <c r="DG12" s="351">
        <v>0</v>
      </c>
      <c r="DH12" s="135">
        <f t="shared" si="32"/>
        <v>1.1500000000000057</v>
      </c>
      <c r="DI12" s="20">
        <f t="shared" si="33"/>
        <v>1706.6000000000085</v>
      </c>
      <c r="DJ12" s="21">
        <v>0</v>
      </c>
      <c r="DK12" s="21">
        <v>0</v>
      </c>
      <c r="DL12" s="319">
        <v>0</v>
      </c>
      <c r="DM12" s="21">
        <v>0</v>
      </c>
      <c r="DN12" s="21">
        <v>0</v>
      </c>
      <c r="DO12" s="319">
        <v>0</v>
      </c>
      <c r="DP12" s="362">
        <v>0</v>
      </c>
      <c r="DQ12" s="141">
        <f t="shared" si="34"/>
        <v>9.6000000000001364</v>
      </c>
      <c r="DR12" s="143">
        <f t="shared" si="35"/>
        <v>20889.600000000297</v>
      </c>
      <c r="DS12" s="118">
        <v>0</v>
      </c>
      <c r="DT12" s="118">
        <v>0</v>
      </c>
      <c r="DU12" s="329">
        <v>0</v>
      </c>
      <c r="DV12" s="118">
        <v>0</v>
      </c>
      <c r="DW12" s="118">
        <v>0</v>
      </c>
      <c r="DX12" s="329">
        <v>0</v>
      </c>
      <c r="DY12" s="374">
        <v>0</v>
      </c>
      <c r="DZ12" s="135">
        <f t="shared" si="36"/>
        <v>1.1500000000000057</v>
      </c>
      <c r="EA12" s="21">
        <f t="shared" si="37"/>
        <v>1706.6000000000085</v>
      </c>
      <c r="EB12" s="21">
        <f>AVERAGE(EA5:EA12)</f>
        <v>8620.2250000000058</v>
      </c>
      <c r="EC12" s="21">
        <f>AVERAGE(R5:R12)</f>
        <v>3296.125</v>
      </c>
      <c r="ED12" s="319">
        <f>EB12/EC12</f>
        <v>2.6152603435852724</v>
      </c>
      <c r="EE12" s="21">
        <f t="shared" ref="EE12:EE67" si="63">ED12*$F$4</f>
        <v>10461.04137434109</v>
      </c>
      <c r="EF12" s="21">
        <f>EE12*'Base Data'!$D$13</f>
        <v>7845.7810307558175</v>
      </c>
      <c r="EG12" s="363">
        <f>IF(INT(('Base Data'!$D$7)/EF12)=0,0,INT(('Base Data'!$D$7)/EF12))</f>
        <v>1</v>
      </c>
      <c r="EH12" s="314">
        <f t="shared" ref="EH12:EH67" si="64">(ED12/Q12)</f>
        <v>2.881829579708289E-2</v>
      </c>
      <c r="EI12" s="143">
        <f t="shared" si="38"/>
        <v>9.6000000000001364</v>
      </c>
      <c r="EJ12" s="118">
        <f t="shared" si="39"/>
        <v>20889.600000000297</v>
      </c>
      <c r="EK12" s="118">
        <f>AVERAGE(EJ5:EJ12)</f>
        <v>42278.812499999927</v>
      </c>
      <c r="EL12" s="118">
        <f>AVERAGE(X5:X12)</f>
        <v>2589.25</v>
      </c>
      <c r="EM12" s="329">
        <f>EK12/EL12</f>
        <v>16.328594187506006</v>
      </c>
      <c r="EN12" s="118">
        <f t="shared" ref="EN12:EN67" si="65">EM12*$G$4</f>
        <v>9797.1565125036032</v>
      </c>
      <c r="EO12" s="118">
        <f>EN12*'Base Data'!$D$13</f>
        <v>7347.8673843777024</v>
      </c>
      <c r="EP12" s="375">
        <f>IF(INT(('Base Data'!$D$7)/EO12)=0,0,INT(('Base Data'!$D$7)/EO12))</f>
        <v>1</v>
      </c>
      <c r="EQ12" s="385">
        <f t="shared" ref="EQ12:EQ67" si="66">(EM12/W12)</f>
        <v>1.5764234589212209E-2</v>
      </c>
      <c r="ER12" s="396">
        <v>0</v>
      </c>
      <c r="ES12" s="403">
        <f t="shared" ref="ES12:ES67" si="67">(Q12-AVERAGE(BA4:BA11))/ED12</f>
        <v>0.21428714278533004</v>
      </c>
      <c r="ET12" s="404">
        <v>0</v>
      </c>
      <c r="EU12" s="410">
        <f t="shared" ref="EU12:EU67" si="68">(W12-AVERAGE(BI4:BI11))/EM12</f>
        <v>0.37319501789460213</v>
      </c>
      <c r="EV12" s="20">
        <f t="shared" si="8"/>
        <v>1.1500000000000057</v>
      </c>
      <c r="EW12" s="17">
        <f t="shared" si="9"/>
        <v>1.26373626373627E-2</v>
      </c>
      <c r="EX12" s="388">
        <f t="shared" ref="EX12:EX67" si="69">AVERAGE(EW5:EW12)</f>
        <v>2.5707776140817068E-2</v>
      </c>
      <c r="EY12" s="388" t="s">
        <v>20</v>
      </c>
      <c r="EZ12" s="314" t="s">
        <v>20</v>
      </c>
      <c r="FA12" s="442">
        <f t="shared" si="10"/>
        <v>9.6000000000001364</v>
      </c>
      <c r="FB12" s="18">
        <f t="shared" si="11"/>
        <v>9.2396535129933947E-3</v>
      </c>
      <c r="FC12" s="394">
        <f t="shared" ref="FC12:FC67" si="70">AVERAGE(FB5:FB12)</f>
        <v>1.4626441593340261E-2</v>
      </c>
      <c r="FD12" s="394" t="s">
        <v>20</v>
      </c>
      <c r="FE12" s="385" t="s">
        <v>20</v>
      </c>
      <c r="FF12" s="416">
        <f t="shared" si="49"/>
        <v>1</v>
      </c>
      <c r="FG12" s="417">
        <f t="shared" si="50"/>
        <v>2</v>
      </c>
      <c r="FH12" s="415">
        <v>0</v>
      </c>
      <c r="FI12" s="413" t="s">
        <v>20</v>
      </c>
      <c r="FJ12" s="404">
        <v>0</v>
      </c>
      <c r="FK12" s="414" t="s">
        <v>20</v>
      </c>
      <c r="FL12" s="415">
        <f t="shared" ref="FL12:FL67" si="71">ABS(Q12-Q5)/(MAX(O5:O12)-MIN(P5:P12))*100</f>
        <v>13.571428571428612</v>
      </c>
      <c r="FM12" s="413" t="str">
        <f t="shared" ref="FM12:FM67" si="72">IF(AND(FL12&lt;30,FL12&gt;FL11),"C-R",IF(AND(FL12&lt;30,FL12=FL11),"C-F",IF(AND(FL12&lt;30,FL12&lt;FL11),"C-D",IF(AND(FL12&gt;=30,FL12&gt;FL11),"T-R",IF(AND(FL12&gt;=30,FL12=FL11),"T-F",IF(AND(FL12&gt;=30,FL12&lt;FL11),"T-D","Check"))))))</f>
        <v>C-R</v>
      </c>
      <c r="FN12" s="404">
        <f t="shared" ref="FN12:FN67" si="73">ABS(W12-W5)/(MAX(U5:U12)-MIN(V5:V12))*100</f>
        <v>3.2388663967612605</v>
      </c>
      <c r="FO12" s="414" t="str">
        <f t="shared" ref="FO12:FO67" si="74">IF(AND(FN12&lt;30,FN12&gt;FN11),"C-R",IF(AND(FN12&lt;30,FN12=FN11),"C-F",IF(AND(FN12&lt;30,FN12&lt;FN11),"C-D",IF(AND(FN12&gt;=30,FN12&gt;FN11),"T-R",IF(AND(FN12&gt;=30,FN12=FN11),"T-F",IF(AND(FN12&gt;=30,FN12&lt;FN11),"T-D","Check"))))))</f>
        <v>C-D</v>
      </c>
      <c r="FQ12" s="135">
        <f t="shared" si="51"/>
        <v>90.886621093749994</v>
      </c>
      <c r="FR12" s="21">
        <f t="shared" si="12"/>
        <v>91.4</v>
      </c>
      <c r="FS12" s="21">
        <f t="shared" si="13"/>
        <v>90.25</v>
      </c>
      <c r="FT12" s="182">
        <f t="shared" si="14"/>
        <v>90.85</v>
      </c>
      <c r="FU12" s="141">
        <f t="shared" si="52"/>
        <v>1032.1807617187501</v>
      </c>
      <c r="FV12" s="118">
        <f t="shared" si="15"/>
        <v>1042.2</v>
      </c>
      <c r="FW12" s="118">
        <f t="shared" si="16"/>
        <v>1032.1807617187501</v>
      </c>
      <c r="FX12" s="181">
        <f t="shared" si="17"/>
        <v>1037.3999999999999</v>
      </c>
    </row>
    <row r="13" spans="1:180" x14ac:dyDescent="0.3">
      <c r="A13" s="691" t="s">
        <v>27</v>
      </c>
      <c r="B13" s="660" t="s">
        <v>28</v>
      </c>
      <c r="C13" s="660" t="s">
        <v>29</v>
      </c>
      <c r="D13" s="660" t="s">
        <v>30</v>
      </c>
      <c r="E13" s="685" t="s">
        <v>31</v>
      </c>
      <c r="F13" s="660" t="s">
        <v>32</v>
      </c>
      <c r="G13" s="660" t="s">
        <v>30</v>
      </c>
      <c r="H13" s="660" t="s">
        <v>33</v>
      </c>
      <c r="I13" s="660" t="s">
        <v>28</v>
      </c>
      <c r="J13" s="685" t="s">
        <v>27</v>
      </c>
      <c r="L13" s="283">
        <f t="shared" si="40"/>
        <v>10</v>
      </c>
      <c r="M13" s="290">
        <f>'[6]ASHOKLEY-I'!C29</f>
        <v>42808</v>
      </c>
      <c r="N13" s="7">
        <f>'[6]ASHOKLEY-I'!D29</f>
        <v>92</v>
      </c>
      <c r="O13" s="7">
        <f>'[6]ASHOKLEY-I'!E29</f>
        <v>92.9</v>
      </c>
      <c r="P13" s="7">
        <f>'[6]ASHOKLEY-I'!F29</f>
        <v>90.95</v>
      </c>
      <c r="Q13" s="7">
        <f>'[6]ASHOKLEY-I'!G29</f>
        <v>91.2</v>
      </c>
      <c r="R13" s="11">
        <f>'[6]ASHOKLEY-I'!H29</f>
        <v>2022</v>
      </c>
      <c r="S13" s="291">
        <f>'[7]ASIANPAINT-I'!C29</f>
        <v>42808</v>
      </c>
      <c r="T13" s="9">
        <f>'[7]ASIANPAINT-I'!D29</f>
        <v>1056.6500000000001</v>
      </c>
      <c r="U13" s="9">
        <f>'[7]ASIANPAINT-I'!E29</f>
        <v>1080.9000000000001</v>
      </c>
      <c r="V13" s="9">
        <f>'[7]ASIANPAINT-I'!F29</f>
        <v>1045.5</v>
      </c>
      <c r="W13" s="9">
        <f>'[7]ASIANPAINT-I'!G29</f>
        <v>1073.05</v>
      </c>
      <c r="X13" s="12">
        <f>'[7]ASIANPAINT-I'!H29</f>
        <v>5090</v>
      </c>
      <c r="Y13" s="115"/>
      <c r="Z13" s="122">
        <f t="shared" si="18"/>
        <v>4.9586776859504448E-3</v>
      </c>
      <c r="AA13" s="19">
        <f t="shared" si="19"/>
        <v>3.5962541031087085E-2</v>
      </c>
      <c r="AB13" s="305">
        <v>0</v>
      </c>
      <c r="AC13" s="306">
        <v>0</v>
      </c>
      <c r="AD13" s="466">
        <f t="shared" si="20"/>
        <v>4.9464239353256166E-3</v>
      </c>
      <c r="AE13" s="17">
        <f t="shared" si="41"/>
        <v>1.0027140185008955E-2</v>
      </c>
      <c r="AF13" s="17">
        <f t="shared" si="42"/>
        <v>9.7968849364126892E-3</v>
      </c>
      <c r="AG13" s="314">
        <f t="shared" si="43"/>
        <v>0.18716922390424687</v>
      </c>
      <c r="AH13" s="467">
        <f t="shared" si="21"/>
        <v>3.5330985877699686E-2</v>
      </c>
      <c r="AI13" s="18">
        <f t="shared" si="53"/>
        <v>4.6403021808121307E-3</v>
      </c>
      <c r="AJ13" s="18">
        <f t="shared" si="22"/>
        <v>9.7538286767252427E-3</v>
      </c>
      <c r="AK13" s="385">
        <f t="shared" si="44"/>
        <v>0.18634663521792205</v>
      </c>
      <c r="AL13" s="10">
        <f t="shared" si="23"/>
        <v>2.1213740855661582E-2</v>
      </c>
      <c r="AM13" s="17">
        <f t="shared" si="45"/>
        <v>1.6472071269153149E-2</v>
      </c>
      <c r="AN13" s="17">
        <f t="shared" si="46"/>
        <v>1.6794366675994869E-2</v>
      </c>
      <c r="AO13" s="314">
        <f t="shared" si="47"/>
        <v>0.32085592482831748</v>
      </c>
      <c r="AP13" s="448">
        <f t="shared" si="24"/>
        <v>3.3298787553469038E-2</v>
      </c>
      <c r="AQ13" s="18">
        <f t="shared" si="54"/>
        <v>9.2767595979623418E-3</v>
      </c>
      <c r="AR13" s="18">
        <f t="shared" si="25"/>
        <v>1.2141800841388689E-2</v>
      </c>
      <c r="AS13" s="385">
        <f t="shared" si="48"/>
        <v>0.23196877936537208</v>
      </c>
      <c r="AT13" s="6">
        <f t="shared" si="0"/>
        <v>186024</v>
      </c>
      <c r="AU13" s="319">
        <v>0</v>
      </c>
      <c r="AV13" s="140">
        <f t="shared" si="1"/>
        <v>5378348.5</v>
      </c>
      <c r="AW13" s="481">
        <v>0</v>
      </c>
      <c r="AX13" s="135">
        <v>0</v>
      </c>
      <c r="AY13" s="21">
        <v>0</v>
      </c>
      <c r="AZ13" s="319">
        <v>0</v>
      </c>
      <c r="BA13" s="21">
        <f t="shared" si="2"/>
        <v>91.683333333333337</v>
      </c>
      <c r="BB13" s="21">
        <f t="shared" si="3"/>
        <v>185383.7</v>
      </c>
      <c r="BC13" s="21">
        <f t="shared" si="61"/>
        <v>214491.06971193416</v>
      </c>
      <c r="BD13" s="21">
        <f t="shared" si="57"/>
        <v>2354.0757201646093</v>
      </c>
      <c r="BE13" s="332">
        <f t="shared" si="58"/>
        <v>91.114770809893841</v>
      </c>
      <c r="BF13" s="141">
        <v>0</v>
      </c>
      <c r="BG13" s="118">
        <v>0</v>
      </c>
      <c r="BH13" s="329">
        <v>0</v>
      </c>
      <c r="BI13" s="118">
        <f t="shared" si="4"/>
        <v>1066.4833333333333</v>
      </c>
      <c r="BJ13" s="118">
        <f t="shared" si="5"/>
        <v>5428400.166666667</v>
      </c>
      <c r="BK13" s="118">
        <f t="shared" si="62"/>
        <v>3508851.8136899862</v>
      </c>
      <c r="BL13" s="118">
        <f t="shared" si="59"/>
        <v>3341.18024691358</v>
      </c>
      <c r="BM13" s="325">
        <f t="shared" si="60"/>
        <v>1050.1833347456466</v>
      </c>
      <c r="BN13" s="6">
        <f t="shared" si="6"/>
        <v>184406.39999999999</v>
      </c>
      <c r="BO13" s="331">
        <v>0</v>
      </c>
      <c r="BP13" s="319">
        <f t="shared" si="55"/>
        <v>91.378263009845284</v>
      </c>
      <c r="BQ13" s="331">
        <v>0</v>
      </c>
      <c r="BR13" s="332">
        <v>0</v>
      </c>
      <c r="BS13" s="140">
        <f t="shared" si="7"/>
        <v>5461824.5</v>
      </c>
      <c r="BT13" s="339">
        <v>0</v>
      </c>
      <c r="BU13" s="329">
        <f t="shared" si="56"/>
        <v>1048.2780532088334</v>
      </c>
      <c r="BV13" s="339">
        <v>0</v>
      </c>
      <c r="BW13" s="325">
        <v>0</v>
      </c>
      <c r="BX13" s="21">
        <v>0</v>
      </c>
      <c r="BY13" s="21">
        <v>0</v>
      </c>
      <c r="BZ13" s="21">
        <v>0</v>
      </c>
      <c r="CA13" s="21">
        <v>0</v>
      </c>
      <c r="CB13" s="21">
        <v>0</v>
      </c>
      <c r="CC13" s="21">
        <v>0</v>
      </c>
      <c r="CD13" s="342">
        <v>0</v>
      </c>
      <c r="CE13" s="342">
        <v>0</v>
      </c>
      <c r="CF13" s="343">
        <v>0</v>
      </c>
      <c r="CG13" s="141">
        <v>0</v>
      </c>
      <c r="CH13" s="118">
        <v>0</v>
      </c>
      <c r="CI13" s="118">
        <v>0</v>
      </c>
      <c r="CJ13" s="118"/>
      <c r="CK13" s="118"/>
      <c r="CL13" s="118">
        <v>0</v>
      </c>
      <c r="CM13" s="350">
        <v>0</v>
      </c>
      <c r="CN13" s="350">
        <v>0</v>
      </c>
      <c r="CO13" s="351">
        <v>0</v>
      </c>
      <c r="CP13" s="20">
        <f t="shared" si="26"/>
        <v>0.88333333333333997</v>
      </c>
      <c r="CQ13" s="21">
        <f t="shared" si="27"/>
        <v>185383.7</v>
      </c>
      <c r="CR13" s="21">
        <f t="shared" si="28"/>
        <v>0</v>
      </c>
      <c r="CS13" s="21">
        <v>0</v>
      </c>
      <c r="CT13" s="21">
        <v>0</v>
      </c>
      <c r="CU13" s="21">
        <v>0</v>
      </c>
      <c r="CV13" s="342">
        <v>0</v>
      </c>
      <c r="CW13" s="342">
        <v>0</v>
      </c>
      <c r="CX13" s="355">
        <v>0</v>
      </c>
      <c r="CY13" s="141">
        <f t="shared" si="29"/>
        <v>29.616666666666561</v>
      </c>
      <c r="CZ13" s="118">
        <f t="shared" si="30"/>
        <v>5428400.166666667</v>
      </c>
      <c r="DA13" s="118">
        <f t="shared" si="31"/>
        <v>0</v>
      </c>
      <c r="DB13" s="118">
        <v>0</v>
      </c>
      <c r="DC13" s="118">
        <v>0</v>
      </c>
      <c r="DD13" s="118">
        <v>0</v>
      </c>
      <c r="DE13" s="350">
        <v>0</v>
      </c>
      <c r="DF13" s="350">
        <v>0</v>
      </c>
      <c r="DG13" s="351">
        <v>0</v>
      </c>
      <c r="DH13" s="135">
        <f t="shared" si="32"/>
        <v>2.1500000000000057</v>
      </c>
      <c r="DI13" s="20">
        <f t="shared" si="33"/>
        <v>4347.3000000000111</v>
      </c>
      <c r="DJ13" s="21">
        <v>0</v>
      </c>
      <c r="DK13" s="21">
        <v>0</v>
      </c>
      <c r="DL13" s="319">
        <v>0</v>
      </c>
      <c r="DM13" s="21">
        <v>0</v>
      </c>
      <c r="DN13" s="21">
        <v>0</v>
      </c>
      <c r="DO13" s="319">
        <v>0</v>
      </c>
      <c r="DP13" s="362">
        <v>0</v>
      </c>
      <c r="DQ13" s="141">
        <f t="shared" si="34"/>
        <v>45.100000000000136</v>
      </c>
      <c r="DR13" s="143">
        <f t="shared" si="35"/>
        <v>229559.0000000007</v>
      </c>
      <c r="DS13" s="118">
        <v>0</v>
      </c>
      <c r="DT13" s="118">
        <v>0</v>
      </c>
      <c r="DU13" s="329">
        <v>0</v>
      </c>
      <c r="DV13" s="118">
        <v>0</v>
      </c>
      <c r="DW13" s="118">
        <v>0</v>
      </c>
      <c r="DX13" s="329">
        <v>0</v>
      </c>
      <c r="DY13" s="374">
        <v>0</v>
      </c>
      <c r="DZ13" s="135">
        <f t="shared" si="36"/>
        <v>2.1500000000000057</v>
      </c>
      <c r="EA13" s="21">
        <f t="shared" si="37"/>
        <v>4347.3000000000111</v>
      </c>
      <c r="EB13" s="21">
        <f>((EA13-EB12)*(2/(1+8)))+EB12</f>
        <v>7670.6861111111184</v>
      </c>
      <c r="EC13" s="21">
        <f t="shared" ref="EC13:EC67" si="75">((R13-EC12)*(2/(1+8)))+EC12</f>
        <v>3012.9861111111113</v>
      </c>
      <c r="ED13" s="319">
        <f t="shared" ref="ED13:ED67" si="76">EB13/EC13</f>
        <v>2.5458750316915228</v>
      </c>
      <c r="EE13" s="21">
        <f t="shared" si="63"/>
        <v>10183.500126766092</v>
      </c>
      <c r="EF13" s="21">
        <f>EE13*'Base Data'!$D$13</f>
        <v>7637.6250950745689</v>
      </c>
      <c r="EG13" s="363">
        <f>IF(INT(('Base Data'!$D$7)/EF13)=0,0,INT(('Base Data'!$D$7)/EF13))</f>
        <v>1</v>
      </c>
      <c r="EH13" s="314">
        <f t="shared" si="64"/>
        <v>2.7915296400126348E-2</v>
      </c>
      <c r="EI13" s="143">
        <f t="shared" si="38"/>
        <v>45.100000000000136</v>
      </c>
      <c r="EJ13" s="118">
        <f t="shared" si="39"/>
        <v>229559.0000000007</v>
      </c>
      <c r="EK13" s="118">
        <f>((EJ13-EK12)*(2/(1+8)))+EK12</f>
        <v>83896.63194444454</v>
      </c>
      <c r="EL13" s="118">
        <f t="shared" ref="EL13:EL67" si="77">((X13-EL12)*(2/(1+8)))+EL12</f>
        <v>3144.9722222222222</v>
      </c>
      <c r="EM13" s="329">
        <f t="shared" ref="EM13:EM67" si="78">EK13/EL13</f>
        <v>26.676430192812191</v>
      </c>
      <c r="EN13" s="118">
        <f t="shared" si="65"/>
        <v>16005.858115687315</v>
      </c>
      <c r="EO13" s="118">
        <f>EN13*'Base Data'!$D$13</f>
        <v>12004.393586765487</v>
      </c>
      <c r="EP13" s="375">
        <f>IF(INT(('Base Data'!$D$7)/EO13)=0,0,INT(('Base Data'!$D$7)/EO13))</f>
        <v>0</v>
      </c>
      <c r="EQ13" s="385">
        <f t="shared" si="66"/>
        <v>2.4860379472356545E-2</v>
      </c>
      <c r="ER13" s="396">
        <v>0</v>
      </c>
      <c r="ES13" s="403">
        <f t="shared" si="67"/>
        <v>0.3895189882937059</v>
      </c>
      <c r="ET13" s="404">
        <v>0</v>
      </c>
      <c r="EU13" s="410">
        <f t="shared" si="68"/>
        <v>1.5541965835382963</v>
      </c>
      <c r="EV13" s="20">
        <f t="shared" si="8"/>
        <v>1.9500000000000028</v>
      </c>
      <c r="EW13" s="17">
        <f t="shared" si="9"/>
        <v>2.1195652173913074E-2</v>
      </c>
      <c r="EX13" s="388">
        <f t="shared" si="69"/>
        <v>2.4600402061463307E-2</v>
      </c>
      <c r="EY13" s="388" t="s">
        <v>20</v>
      </c>
      <c r="EZ13" s="314" t="s">
        <v>20</v>
      </c>
      <c r="FA13" s="442">
        <f t="shared" si="10"/>
        <v>35.400000000000091</v>
      </c>
      <c r="FB13" s="18">
        <f t="shared" si="11"/>
        <v>3.3502105711446635E-2</v>
      </c>
      <c r="FC13" s="394">
        <f t="shared" si="70"/>
        <v>1.6921456512558712E-2</v>
      </c>
      <c r="FD13" s="394" t="s">
        <v>20</v>
      </c>
      <c r="FE13" s="385" t="s">
        <v>20</v>
      </c>
      <c r="FF13" s="416">
        <f t="shared" si="49"/>
        <v>1</v>
      </c>
      <c r="FG13" s="417">
        <f t="shared" si="50"/>
        <v>1</v>
      </c>
      <c r="FH13" s="415">
        <v>0</v>
      </c>
      <c r="FI13" s="413" t="s">
        <v>20</v>
      </c>
      <c r="FJ13" s="404">
        <v>0</v>
      </c>
      <c r="FK13" s="414" t="s">
        <v>20</v>
      </c>
      <c r="FL13" s="415">
        <f t="shared" si="71"/>
        <v>50.71428571428568</v>
      </c>
      <c r="FM13" s="413" t="str">
        <f t="shared" si="72"/>
        <v>T-R</v>
      </c>
      <c r="FN13" s="404">
        <f t="shared" si="73"/>
        <v>58.819395643007532</v>
      </c>
      <c r="FO13" s="414" t="str">
        <f t="shared" si="74"/>
        <v>T-R</v>
      </c>
      <c r="FQ13" s="135">
        <f t="shared" si="51"/>
        <v>90.868310546874994</v>
      </c>
      <c r="FR13" s="21">
        <f t="shared" si="12"/>
        <v>92.9</v>
      </c>
      <c r="FS13" s="21">
        <f t="shared" si="13"/>
        <v>90.868310546874994</v>
      </c>
      <c r="FT13" s="182">
        <f t="shared" si="14"/>
        <v>91.762500000000003</v>
      </c>
      <c r="FU13" s="141">
        <f t="shared" si="52"/>
        <v>1034.7903808593751</v>
      </c>
      <c r="FV13" s="118">
        <f t="shared" si="15"/>
        <v>1080.9000000000001</v>
      </c>
      <c r="FW13" s="118">
        <f t="shared" si="16"/>
        <v>1034.7903808593751</v>
      </c>
      <c r="FX13" s="181">
        <f t="shared" si="17"/>
        <v>1064.0250000000001</v>
      </c>
    </row>
    <row r="14" spans="1:180" ht="11.15" thickBot="1" x14ac:dyDescent="0.35">
      <c r="A14" s="692"/>
      <c r="B14" s="661"/>
      <c r="C14" s="661"/>
      <c r="D14" s="661"/>
      <c r="E14" s="686"/>
      <c r="F14" s="661"/>
      <c r="G14" s="661"/>
      <c r="H14" s="661"/>
      <c r="I14" s="661"/>
      <c r="J14" s="686"/>
      <c r="L14" s="283">
        <f t="shared" si="40"/>
        <v>11</v>
      </c>
      <c r="M14" s="290">
        <f>'[6]ASHOKLEY-I'!C30</f>
        <v>42809</v>
      </c>
      <c r="N14" s="7">
        <f>'[6]ASHOKLEY-I'!D30</f>
        <v>90.9</v>
      </c>
      <c r="O14" s="7">
        <f>'[6]ASHOKLEY-I'!E30</f>
        <v>92.2</v>
      </c>
      <c r="P14" s="7">
        <f>'[6]ASHOKLEY-I'!F30</f>
        <v>90.7</v>
      </c>
      <c r="Q14" s="7">
        <f>'[6]ASHOKLEY-I'!G30</f>
        <v>91.5</v>
      </c>
      <c r="R14" s="11">
        <f>'[6]ASHOKLEY-I'!H30</f>
        <v>2052</v>
      </c>
      <c r="S14" s="291">
        <f>'[7]ASIANPAINT-I'!C30</f>
        <v>42809</v>
      </c>
      <c r="T14" s="9">
        <f>'[7]ASIANPAINT-I'!D30</f>
        <v>1067.8</v>
      </c>
      <c r="U14" s="9">
        <f>'[7]ASIANPAINT-I'!E30</f>
        <v>1080.55</v>
      </c>
      <c r="V14" s="9">
        <f>'[7]ASIANPAINT-I'!F30</f>
        <v>1066</v>
      </c>
      <c r="W14" s="9">
        <f>'[7]ASIANPAINT-I'!G30</f>
        <v>1068.55</v>
      </c>
      <c r="X14" s="12">
        <f>'[7]ASIANPAINT-I'!H30</f>
        <v>2553</v>
      </c>
      <c r="Y14" s="115"/>
      <c r="Z14" s="122">
        <f t="shared" si="18"/>
        <v>3.2894736842104949E-3</v>
      </c>
      <c r="AA14" s="19">
        <f t="shared" si="19"/>
        <v>-4.1936536042122925E-3</v>
      </c>
      <c r="AB14" s="305">
        <v>0</v>
      </c>
      <c r="AC14" s="306">
        <v>0</v>
      </c>
      <c r="AD14" s="466">
        <f t="shared" si="20"/>
        <v>3.2840752011897975E-3</v>
      </c>
      <c r="AE14" s="17">
        <f t="shared" si="41"/>
        <v>9.7968849364126892E-3</v>
      </c>
      <c r="AF14" s="17">
        <f t="shared" si="42"/>
        <v>9.5324354802692191E-3</v>
      </c>
      <c r="AG14" s="314">
        <f t="shared" si="43"/>
        <v>0.18211692413860342</v>
      </c>
      <c r="AH14" s="467">
        <f t="shared" si="21"/>
        <v>-4.2024716312906241E-3</v>
      </c>
      <c r="AI14" s="18">
        <f t="shared" si="53"/>
        <v>9.7538286767252427E-3</v>
      </c>
      <c r="AJ14" s="18">
        <f t="shared" si="22"/>
        <v>9.5125490533463954E-3</v>
      </c>
      <c r="AK14" s="385">
        <f t="shared" si="44"/>
        <v>0.18173699448570538</v>
      </c>
      <c r="AL14" s="10">
        <f t="shared" si="23"/>
        <v>1.6402773441457217E-2</v>
      </c>
      <c r="AM14" s="17">
        <f t="shared" si="45"/>
        <v>1.6794366675994869E-2</v>
      </c>
      <c r="AN14" s="17">
        <f t="shared" si="46"/>
        <v>1.6771128927988342E-2</v>
      </c>
      <c r="AO14" s="314">
        <f t="shared" si="47"/>
        <v>0.32041196827601603</v>
      </c>
      <c r="AP14" s="448">
        <f t="shared" si="24"/>
        <v>1.3556845023245957E-2</v>
      </c>
      <c r="AQ14" s="18">
        <f t="shared" si="54"/>
        <v>1.2141800841388689E-2</v>
      </c>
      <c r="AR14" s="18">
        <f t="shared" si="25"/>
        <v>1.2231320894763932E-2</v>
      </c>
      <c r="AS14" s="385">
        <f t="shared" si="48"/>
        <v>0.23367905758368973</v>
      </c>
      <c r="AT14" s="6">
        <f t="shared" si="0"/>
        <v>186526.80000000002</v>
      </c>
      <c r="AU14" s="319">
        <v>0</v>
      </c>
      <c r="AV14" s="140">
        <f t="shared" si="1"/>
        <v>2726093.4</v>
      </c>
      <c r="AW14" s="481">
        <v>0</v>
      </c>
      <c r="AX14" s="135">
        <v>0</v>
      </c>
      <c r="AY14" s="21">
        <v>0</v>
      </c>
      <c r="AZ14" s="319">
        <v>0</v>
      </c>
      <c r="BA14" s="21">
        <f t="shared" si="2"/>
        <v>91.466666666666654</v>
      </c>
      <c r="BB14" s="21">
        <f t="shared" si="3"/>
        <v>187689.59999999998</v>
      </c>
      <c r="BC14" s="21">
        <f t="shared" si="61"/>
        <v>205557.24647462278</v>
      </c>
      <c r="BD14" s="21">
        <f t="shared" si="57"/>
        <v>2253.383813443073</v>
      </c>
      <c r="BE14" s="332">
        <f t="shared" si="58"/>
        <v>91.221586508398758</v>
      </c>
      <c r="BF14" s="141">
        <v>0</v>
      </c>
      <c r="BG14" s="118">
        <v>0</v>
      </c>
      <c r="BH14" s="329">
        <v>0</v>
      </c>
      <c r="BI14" s="118">
        <f t="shared" si="4"/>
        <v>1071.7</v>
      </c>
      <c r="BJ14" s="118">
        <f t="shared" si="5"/>
        <v>2736050.1</v>
      </c>
      <c r="BK14" s="118">
        <f t="shared" si="62"/>
        <v>3251251.242459991</v>
      </c>
      <c r="BL14" s="118">
        <f t="shared" si="59"/>
        <v>3078.4534979423865</v>
      </c>
      <c r="BM14" s="325">
        <f t="shared" si="60"/>
        <v>1056.1313479749169</v>
      </c>
      <c r="BN14" s="6">
        <f t="shared" si="6"/>
        <v>187758</v>
      </c>
      <c r="BO14" s="331">
        <v>0</v>
      </c>
      <c r="BP14" s="319">
        <f t="shared" si="55"/>
        <v>91.193806477815002</v>
      </c>
      <c r="BQ14" s="331">
        <v>0</v>
      </c>
      <c r="BR14" s="332">
        <v>0</v>
      </c>
      <c r="BS14" s="140">
        <f t="shared" si="7"/>
        <v>2728008.15</v>
      </c>
      <c r="BT14" s="339">
        <v>0</v>
      </c>
      <c r="BU14" s="329">
        <f t="shared" si="56"/>
        <v>1053.3285502958581</v>
      </c>
      <c r="BV14" s="339">
        <v>0</v>
      </c>
      <c r="BW14" s="325">
        <v>0</v>
      </c>
      <c r="BX14" s="21">
        <v>0</v>
      </c>
      <c r="BY14" s="21">
        <v>0</v>
      </c>
      <c r="BZ14" s="21">
        <v>0</v>
      </c>
      <c r="CA14" s="21">
        <v>0</v>
      </c>
      <c r="CB14" s="21">
        <v>0</v>
      </c>
      <c r="CC14" s="21">
        <v>0</v>
      </c>
      <c r="CD14" s="342">
        <v>0</v>
      </c>
      <c r="CE14" s="342">
        <v>0</v>
      </c>
      <c r="CF14" s="343">
        <v>0</v>
      </c>
      <c r="CG14" s="141">
        <v>0</v>
      </c>
      <c r="CH14" s="118">
        <v>0</v>
      </c>
      <c r="CI14" s="118">
        <v>0</v>
      </c>
      <c r="CJ14" s="118"/>
      <c r="CK14" s="118"/>
      <c r="CL14" s="118">
        <v>0</v>
      </c>
      <c r="CM14" s="350">
        <v>0</v>
      </c>
      <c r="CN14" s="350">
        <v>0</v>
      </c>
      <c r="CO14" s="351">
        <v>0</v>
      </c>
      <c r="CP14" s="20">
        <f t="shared" si="26"/>
        <v>-0.21666666666668277</v>
      </c>
      <c r="CQ14" s="21">
        <f t="shared" si="27"/>
        <v>0</v>
      </c>
      <c r="CR14" s="21">
        <f t="shared" si="28"/>
        <v>187689.59999999998</v>
      </c>
      <c r="CS14" s="21">
        <v>0</v>
      </c>
      <c r="CT14" s="21">
        <v>0</v>
      </c>
      <c r="CU14" s="21">
        <v>0</v>
      </c>
      <c r="CV14" s="342">
        <v>0</v>
      </c>
      <c r="CW14" s="342">
        <v>0</v>
      </c>
      <c r="CX14" s="355">
        <v>0</v>
      </c>
      <c r="CY14" s="141">
        <f t="shared" si="29"/>
        <v>5.216666666666697</v>
      </c>
      <c r="CZ14" s="118">
        <f t="shared" si="30"/>
        <v>2736050.1</v>
      </c>
      <c r="DA14" s="118">
        <f t="shared" si="31"/>
        <v>0</v>
      </c>
      <c r="DB14" s="118">
        <v>0</v>
      </c>
      <c r="DC14" s="118">
        <v>0</v>
      </c>
      <c r="DD14" s="118">
        <v>0</v>
      </c>
      <c r="DE14" s="350">
        <v>0</v>
      </c>
      <c r="DF14" s="350">
        <v>0</v>
      </c>
      <c r="DG14" s="351">
        <v>0</v>
      </c>
      <c r="DH14" s="135">
        <f t="shared" si="32"/>
        <v>1.5</v>
      </c>
      <c r="DI14" s="20">
        <f t="shared" si="33"/>
        <v>3078</v>
      </c>
      <c r="DJ14" s="21">
        <v>0</v>
      </c>
      <c r="DK14" s="21">
        <v>0</v>
      </c>
      <c r="DL14" s="319">
        <v>0</v>
      </c>
      <c r="DM14" s="21">
        <v>0</v>
      </c>
      <c r="DN14" s="21">
        <v>0</v>
      </c>
      <c r="DO14" s="319">
        <v>0</v>
      </c>
      <c r="DP14" s="362">
        <v>0</v>
      </c>
      <c r="DQ14" s="141">
        <f t="shared" si="34"/>
        <v>14.549999999999955</v>
      </c>
      <c r="DR14" s="143">
        <f t="shared" si="35"/>
        <v>37146.149999999885</v>
      </c>
      <c r="DS14" s="118">
        <v>0</v>
      </c>
      <c r="DT14" s="118">
        <v>0</v>
      </c>
      <c r="DU14" s="329">
        <v>0</v>
      </c>
      <c r="DV14" s="118">
        <v>0</v>
      </c>
      <c r="DW14" s="118">
        <v>0</v>
      </c>
      <c r="DX14" s="329">
        <v>0</v>
      </c>
      <c r="DY14" s="374">
        <v>0</v>
      </c>
      <c r="DZ14" s="135">
        <f t="shared" si="36"/>
        <v>1.5</v>
      </c>
      <c r="EA14" s="21">
        <f t="shared" si="37"/>
        <v>3078</v>
      </c>
      <c r="EB14" s="21">
        <f t="shared" ref="EB14:EB67" si="79">((EA14-EB13)*(2/(1+8)))+EB13</f>
        <v>6650.0891975308696</v>
      </c>
      <c r="EC14" s="21">
        <f t="shared" si="75"/>
        <v>2799.433641975309</v>
      </c>
      <c r="ED14" s="319">
        <f t="shared" si="76"/>
        <v>2.3755123528623807</v>
      </c>
      <c r="EE14" s="21">
        <f t="shared" si="63"/>
        <v>9502.0494114495232</v>
      </c>
      <c r="EF14" s="21">
        <f>EE14*'Base Data'!$D$13</f>
        <v>7126.5370585871424</v>
      </c>
      <c r="EG14" s="363">
        <f>IF(INT(('Base Data'!$D$7)/EF14)=0,0,INT(('Base Data'!$D$7)/EF14))</f>
        <v>1</v>
      </c>
      <c r="EH14" s="314">
        <f t="shared" si="64"/>
        <v>2.5961883637840227E-2</v>
      </c>
      <c r="EI14" s="143">
        <f t="shared" si="38"/>
        <v>14.549999999999955</v>
      </c>
      <c r="EJ14" s="118">
        <f t="shared" si="39"/>
        <v>37146.149999999885</v>
      </c>
      <c r="EK14" s="118">
        <f t="shared" ref="EK14:EK67" si="80">((EJ14-EK13)*(2/(1+8)))+EK13</f>
        <v>73507.635956790167</v>
      </c>
      <c r="EL14" s="118">
        <f t="shared" si="77"/>
        <v>3013.4228395061727</v>
      </c>
      <c r="EM14" s="329">
        <f t="shared" si="78"/>
        <v>24.393402410408587</v>
      </c>
      <c r="EN14" s="118">
        <f t="shared" si="65"/>
        <v>14636.041446245152</v>
      </c>
      <c r="EO14" s="118">
        <f>EN14*'Base Data'!$D$13</f>
        <v>10977.031084683864</v>
      </c>
      <c r="EP14" s="375">
        <f>IF(INT(('Base Data'!$D$7)/EO14)=0,0,INT(('Base Data'!$D$7)/EO14))</f>
        <v>0</v>
      </c>
      <c r="EQ14" s="385">
        <f t="shared" si="66"/>
        <v>2.2828508175011548E-2</v>
      </c>
      <c r="ER14" s="396">
        <v>0</v>
      </c>
      <c r="ES14" s="403">
        <f t="shared" si="67"/>
        <v>0.48235208373160743</v>
      </c>
      <c r="ET14" s="404">
        <v>0</v>
      </c>
      <c r="EU14" s="410">
        <f t="shared" si="68"/>
        <v>1.3640129452572436</v>
      </c>
      <c r="EV14" s="20">
        <f t="shared" si="8"/>
        <v>1.5</v>
      </c>
      <c r="EW14" s="17">
        <f t="shared" si="9"/>
        <v>1.65016501650165E-2</v>
      </c>
      <c r="EX14" s="388">
        <f t="shared" si="69"/>
        <v>2.1940886109868159E-2</v>
      </c>
      <c r="EY14" s="388" t="s">
        <v>20</v>
      </c>
      <c r="EZ14" s="314" t="s">
        <v>20</v>
      </c>
      <c r="FA14" s="442">
        <f t="shared" si="10"/>
        <v>14.549999999999955</v>
      </c>
      <c r="FB14" s="18">
        <f t="shared" si="11"/>
        <v>1.3626147218580216E-2</v>
      </c>
      <c r="FC14" s="394">
        <f t="shared" si="70"/>
        <v>1.6439662794106909E-2</v>
      </c>
      <c r="FD14" s="394" t="s">
        <v>20</v>
      </c>
      <c r="FE14" s="385" t="s">
        <v>20</v>
      </c>
      <c r="FF14" s="416">
        <f t="shared" si="49"/>
        <v>2</v>
      </c>
      <c r="FG14" s="417">
        <f t="shared" si="50"/>
        <v>2</v>
      </c>
      <c r="FH14" s="415">
        <v>0</v>
      </c>
      <c r="FI14" s="413" t="s">
        <v>20</v>
      </c>
      <c r="FJ14" s="404">
        <v>0</v>
      </c>
      <c r="FK14" s="414" t="s">
        <v>20</v>
      </c>
      <c r="FL14" s="415">
        <f t="shared" si="71"/>
        <v>52.857142857142904</v>
      </c>
      <c r="FM14" s="413" t="str">
        <f t="shared" si="72"/>
        <v>T-R</v>
      </c>
      <c r="FN14" s="404">
        <f t="shared" si="73"/>
        <v>69.360505973295645</v>
      </c>
      <c r="FO14" s="414" t="str">
        <f t="shared" si="74"/>
        <v>T-R</v>
      </c>
      <c r="FQ14" s="135">
        <f t="shared" si="51"/>
        <v>91.315405273437506</v>
      </c>
      <c r="FR14" s="21">
        <f t="shared" si="12"/>
        <v>92.2</v>
      </c>
      <c r="FS14" s="21">
        <f t="shared" si="13"/>
        <v>90.7</v>
      </c>
      <c r="FT14" s="182">
        <f t="shared" si="14"/>
        <v>91.325000000000003</v>
      </c>
      <c r="FU14" s="141">
        <f t="shared" si="52"/>
        <v>1049.4076904296876</v>
      </c>
      <c r="FV14" s="118">
        <f t="shared" si="15"/>
        <v>1080.55</v>
      </c>
      <c r="FW14" s="118">
        <f t="shared" si="16"/>
        <v>1049.4076904296876</v>
      </c>
      <c r="FX14" s="181">
        <f t="shared" si="17"/>
        <v>1070.7249999999999</v>
      </c>
    </row>
    <row r="15" spans="1:180" x14ac:dyDescent="0.3">
      <c r="A15" s="107">
        <v>86.25</v>
      </c>
      <c r="B15" s="108">
        <f>A15/180</f>
        <v>0.47916666666666669</v>
      </c>
      <c r="C15" s="109">
        <f t="shared" ref="C15:C25" ca="1" si="81">POWER(SQRT($F$11)+B15,2)</f>
        <v>3013.0644029972595</v>
      </c>
      <c r="D15" s="110" t="s">
        <v>34</v>
      </c>
      <c r="E15" s="269">
        <f t="shared" ref="E15:E25" ca="1" si="82">$D$11+(C15*B15)</f>
        <v>95168.760026436183</v>
      </c>
      <c r="F15" s="264">
        <f t="shared" ref="F15:F25" ca="1" si="83">$D$11-(H15*I15)</f>
        <v>92331.212308165952</v>
      </c>
      <c r="G15" s="110" t="s">
        <v>35</v>
      </c>
      <c r="H15" s="109">
        <f t="shared" ref="H15:H25" ca="1" si="84">POWER(SQRT($F$11)-I15,2)</f>
        <v>2908.774313392797</v>
      </c>
      <c r="I15" s="108">
        <f t="shared" ref="I15:I25" si="85">J15/180</f>
        <v>0.47916666666666669</v>
      </c>
      <c r="J15" s="111">
        <v>86.25</v>
      </c>
      <c r="L15" s="283">
        <f t="shared" si="40"/>
        <v>12</v>
      </c>
      <c r="M15" s="290">
        <f>'[6]ASHOKLEY-I'!C31</f>
        <v>42810</v>
      </c>
      <c r="N15" s="7">
        <f>'[6]ASHOKLEY-I'!D31</f>
        <v>92.45</v>
      </c>
      <c r="O15" s="7">
        <f>'[6]ASHOKLEY-I'!E31</f>
        <v>93.2</v>
      </c>
      <c r="P15" s="7">
        <f>'[6]ASHOKLEY-I'!F31</f>
        <v>91.9</v>
      </c>
      <c r="Q15" s="7">
        <f>'[6]ASHOKLEY-I'!G31</f>
        <v>92.3</v>
      </c>
      <c r="R15" s="11">
        <f>'[6]ASHOKLEY-I'!H31</f>
        <v>3346</v>
      </c>
      <c r="S15" s="291">
        <f>'[7]ASIANPAINT-I'!C31</f>
        <v>42810</v>
      </c>
      <c r="T15" s="9">
        <f>'[7]ASIANPAINT-I'!D31</f>
        <v>1076.1500000000001</v>
      </c>
      <c r="U15" s="9">
        <f>'[7]ASIANPAINT-I'!E31</f>
        <v>1090.25</v>
      </c>
      <c r="V15" s="9">
        <f>'[7]ASIANPAINT-I'!F31</f>
        <v>1071.55</v>
      </c>
      <c r="W15" s="9">
        <f>'[7]ASIANPAINT-I'!G31</f>
        <v>1088.5</v>
      </c>
      <c r="X15" s="12">
        <f>'[7]ASIANPAINT-I'!H31</f>
        <v>3746</v>
      </c>
      <c r="Y15" s="115"/>
      <c r="Z15" s="122">
        <f t="shared" si="18"/>
        <v>8.7431693989070726E-3</v>
      </c>
      <c r="AA15" s="19">
        <f t="shared" si="19"/>
        <v>1.8670160497870989E-2</v>
      </c>
      <c r="AB15" s="305">
        <v>0</v>
      </c>
      <c r="AC15" s="306">
        <v>0</v>
      </c>
      <c r="AD15" s="466">
        <f t="shared" si="20"/>
        <v>8.7051692273308074E-3</v>
      </c>
      <c r="AE15" s="17">
        <f t="shared" si="41"/>
        <v>9.5324354802692191E-3</v>
      </c>
      <c r="AF15" s="17">
        <f t="shared" si="42"/>
        <v>9.4848344682948345E-3</v>
      </c>
      <c r="AG15" s="314">
        <f t="shared" si="43"/>
        <v>0.18120750808175173</v>
      </c>
      <c r="AH15" s="467">
        <f t="shared" si="21"/>
        <v>1.8498012438401986E-2</v>
      </c>
      <c r="AI15" s="18">
        <f t="shared" si="53"/>
        <v>9.5125490533463954E-3</v>
      </c>
      <c r="AJ15" s="18">
        <f t="shared" si="22"/>
        <v>1.0275692773388011E-2</v>
      </c>
      <c r="AK15" s="385">
        <f t="shared" si="44"/>
        <v>0.19631683478542125</v>
      </c>
      <c r="AL15" s="10">
        <f t="shared" si="23"/>
        <v>1.4046692329904031E-2</v>
      </c>
      <c r="AM15" s="17">
        <f t="shared" si="45"/>
        <v>1.6771128927988342E-2</v>
      </c>
      <c r="AN15" s="17">
        <f t="shared" si="46"/>
        <v>1.6620261535629153E-2</v>
      </c>
      <c r="AO15" s="314">
        <f t="shared" si="47"/>
        <v>0.31752965079208045</v>
      </c>
      <c r="AP15" s="448">
        <f t="shared" si="24"/>
        <v>1.7300829342191165E-2</v>
      </c>
      <c r="AQ15" s="18">
        <f t="shared" si="54"/>
        <v>1.2231320894763932E-2</v>
      </c>
      <c r="AR15" s="18">
        <f t="shared" si="25"/>
        <v>1.2593173545080081E-2</v>
      </c>
      <c r="AS15" s="385">
        <f t="shared" si="48"/>
        <v>0.24059224276111699</v>
      </c>
      <c r="AT15" s="6">
        <f t="shared" si="0"/>
        <v>309337.7</v>
      </c>
      <c r="AU15" s="319">
        <v>0</v>
      </c>
      <c r="AV15" s="140">
        <f t="shared" si="1"/>
        <v>4031257.9000000004</v>
      </c>
      <c r="AW15" s="481">
        <v>0</v>
      </c>
      <c r="AX15" s="135">
        <v>0</v>
      </c>
      <c r="AY15" s="21">
        <v>0</v>
      </c>
      <c r="AZ15" s="319">
        <v>0</v>
      </c>
      <c r="BA15" s="21">
        <f t="shared" si="2"/>
        <v>92.466666666666683</v>
      </c>
      <c r="BB15" s="21">
        <f t="shared" si="3"/>
        <v>309393.46666666673</v>
      </c>
      <c r="BC15" s="21">
        <f t="shared" si="61"/>
        <v>240169.31987197074</v>
      </c>
      <c r="BD15" s="21">
        <f t="shared" si="57"/>
        <v>2617.5892089620488</v>
      </c>
      <c r="BE15" s="332">
        <f t="shared" si="58"/>
        <v>91.752104971125306</v>
      </c>
      <c r="BF15" s="141">
        <v>0</v>
      </c>
      <c r="BG15" s="118">
        <v>0</v>
      </c>
      <c r="BH15" s="329">
        <v>0</v>
      </c>
      <c r="BI15" s="118">
        <f t="shared" si="4"/>
        <v>1083.4333333333334</v>
      </c>
      <c r="BJ15" s="118">
        <f t="shared" si="5"/>
        <v>4058541.2666666671</v>
      </c>
      <c r="BK15" s="118">
        <f t="shared" si="62"/>
        <v>3520347.9171955497</v>
      </c>
      <c r="BL15" s="118">
        <f t="shared" si="59"/>
        <v>3300.9689986282579</v>
      </c>
      <c r="BM15" s="325">
        <f t="shared" si="60"/>
        <v>1066.4589454364632</v>
      </c>
      <c r="BN15" s="6">
        <f t="shared" si="6"/>
        <v>308835.8</v>
      </c>
      <c r="BO15" s="331">
        <v>0</v>
      </c>
      <c r="BP15" s="319">
        <f t="shared" si="55"/>
        <v>91.494753116243103</v>
      </c>
      <c r="BQ15" s="331">
        <v>0</v>
      </c>
      <c r="BR15" s="332">
        <v>0</v>
      </c>
      <c r="BS15" s="140">
        <f t="shared" si="7"/>
        <v>4077521</v>
      </c>
      <c r="BT15" s="339">
        <v>0</v>
      </c>
      <c r="BU15" s="329">
        <f t="shared" si="56"/>
        <v>1064.5107328891581</v>
      </c>
      <c r="BV15" s="339">
        <v>0</v>
      </c>
      <c r="BW15" s="325">
        <v>0</v>
      </c>
      <c r="BX15" s="21">
        <f>AVERAGE(BB4:BB15)</f>
        <v>272498.27777777781</v>
      </c>
      <c r="BY15" s="21">
        <f>AVERAGE(R4:R15)</f>
        <v>3002.4166666666665</v>
      </c>
      <c r="BZ15" s="21">
        <f>BX15/BY15</f>
        <v>90.759647321139468</v>
      </c>
      <c r="CA15" s="21">
        <v>0</v>
      </c>
      <c r="CB15" s="21">
        <v>0</v>
      </c>
      <c r="CC15" s="21">
        <v>0</v>
      </c>
      <c r="CD15" s="342">
        <v>0</v>
      </c>
      <c r="CE15" s="342">
        <v>0</v>
      </c>
      <c r="CF15" s="343">
        <v>0</v>
      </c>
      <c r="CG15" s="141">
        <f>AVERAGE(BJ4:BJ15)</f>
        <v>3171804.7763888892</v>
      </c>
      <c r="CH15" s="118">
        <f>AVERAGE(X4:X15)</f>
        <v>3038.75</v>
      </c>
      <c r="CI15" s="118">
        <f>CG15/CH15</f>
        <v>1043.7860226701405</v>
      </c>
      <c r="CJ15" s="118"/>
      <c r="CK15" s="118"/>
      <c r="CL15" s="118">
        <v>0</v>
      </c>
      <c r="CM15" s="350">
        <v>0</v>
      </c>
      <c r="CN15" s="350">
        <v>0</v>
      </c>
      <c r="CO15" s="351">
        <v>0</v>
      </c>
      <c r="CP15" s="20">
        <f t="shared" si="26"/>
        <v>1.0000000000000284</v>
      </c>
      <c r="CQ15" s="21">
        <f t="shared" si="27"/>
        <v>309393.46666666673</v>
      </c>
      <c r="CR15" s="21">
        <f t="shared" si="28"/>
        <v>0</v>
      </c>
      <c r="CS15" s="21">
        <v>0</v>
      </c>
      <c r="CT15" s="21">
        <v>0</v>
      </c>
      <c r="CU15" s="21">
        <v>0</v>
      </c>
      <c r="CV15" s="342">
        <v>0</v>
      </c>
      <c r="CW15" s="342">
        <v>0</v>
      </c>
      <c r="CX15" s="355">
        <v>0</v>
      </c>
      <c r="CY15" s="141">
        <f t="shared" si="29"/>
        <v>11.733333333333348</v>
      </c>
      <c r="CZ15" s="118">
        <f t="shared" si="30"/>
        <v>4058541.2666666671</v>
      </c>
      <c r="DA15" s="118">
        <f t="shared" si="31"/>
        <v>0</v>
      </c>
      <c r="DB15" s="118">
        <v>0</v>
      </c>
      <c r="DC15" s="118">
        <v>0</v>
      </c>
      <c r="DD15" s="118">
        <v>0</v>
      </c>
      <c r="DE15" s="350">
        <v>0</v>
      </c>
      <c r="DF15" s="350">
        <v>0</v>
      </c>
      <c r="DG15" s="351">
        <v>0</v>
      </c>
      <c r="DH15" s="135">
        <f t="shared" si="32"/>
        <v>1.7000000000000028</v>
      </c>
      <c r="DI15" s="20">
        <f t="shared" si="33"/>
        <v>5688.2000000000098</v>
      </c>
      <c r="DJ15" s="21">
        <v>0</v>
      </c>
      <c r="DK15" s="21">
        <v>0</v>
      </c>
      <c r="DL15" s="319">
        <v>0</v>
      </c>
      <c r="DM15" s="21">
        <v>0</v>
      </c>
      <c r="DN15" s="21">
        <v>0</v>
      </c>
      <c r="DO15" s="319">
        <v>0</v>
      </c>
      <c r="DP15" s="362">
        <v>0</v>
      </c>
      <c r="DQ15" s="141">
        <f t="shared" si="34"/>
        <v>21.700000000000045</v>
      </c>
      <c r="DR15" s="143">
        <f t="shared" si="35"/>
        <v>81288.200000000172</v>
      </c>
      <c r="DS15" s="118">
        <v>0</v>
      </c>
      <c r="DT15" s="118">
        <v>0</v>
      </c>
      <c r="DU15" s="329">
        <v>0</v>
      </c>
      <c r="DV15" s="118">
        <v>0</v>
      </c>
      <c r="DW15" s="118">
        <v>0</v>
      </c>
      <c r="DX15" s="329">
        <v>0</v>
      </c>
      <c r="DY15" s="374">
        <v>0</v>
      </c>
      <c r="DZ15" s="135">
        <f t="shared" si="36"/>
        <v>1.7000000000000028</v>
      </c>
      <c r="EA15" s="21">
        <f t="shared" si="37"/>
        <v>5688.2000000000098</v>
      </c>
      <c r="EB15" s="21">
        <f t="shared" si="79"/>
        <v>6436.3360425240116</v>
      </c>
      <c r="EC15" s="21">
        <f t="shared" si="75"/>
        <v>2920.8928326474625</v>
      </c>
      <c r="ED15" s="319">
        <f t="shared" si="76"/>
        <v>2.2035509042247856</v>
      </c>
      <c r="EE15" s="21">
        <f t="shared" si="63"/>
        <v>8814.2036168991417</v>
      </c>
      <c r="EF15" s="21">
        <f>EE15*'Base Data'!$D$13</f>
        <v>6610.6527126743567</v>
      </c>
      <c r="EG15" s="363">
        <f>IF(INT(('Base Data'!$D$7)/EF15)=0,0,INT(('Base Data'!$D$7)/EF15))</f>
        <v>1</v>
      </c>
      <c r="EH15" s="314">
        <f t="shared" si="64"/>
        <v>2.3873790945013931E-2</v>
      </c>
      <c r="EI15" s="143">
        <f t="shared" si="38"/>
        <v>21.700000000000045</v>
      </c>
      <c r="EJ15" s="118">
        <f t="shared" si="39"/>
        <v>81288.200000000172</v>
      </c>
      <c r="EK15" s="118">
        <f t="shared" si="80"/>
        <v>75236.650188614614</v>
      </c>
      <c r="EL15" s="118">
        <f t="shared" si="77"/>
        <v>3176.2177640603568</v>
      </c>
      <c r="EM15" s="329">
        <f t="shared" si="78"/>
        <v>23.68749745056363</v>
      </c>
      <c r="EN15" s="118">
        <f t="shared" si="65"/>
        <v>14212.498470338178</v>
      </c>
      <c r="EO15" s="118">
        <f>EN15*'Base Data'!$D$13</f>
        <v>10659.373852753633</v>
      </c>
      <c r="EP15" s="375">
        <f>IF(INT(('Base Data'!$D$7)/EO15)=0,0,INT(('Base Data'!$D$7)/EO15))</f>
        <v>0</v>
      </c>
      <c r="EQ15" s="385">
        <f t="shared" si="66"/>
        <v>2.1761596187931675E-2</v>
      </c>
      <c r="ER15" s="396">
        <v>0</v>
      </c>
      <c r="ES15" s="403">
        <f t="shared" si="67"/>
        <v>0.7138099980585777</v>
      </c>
      <c r="ET15" s="404">
        <v>0</v>
      </c>
      <c r="EU15" s="410">
        <f t="shared" si="68"/>
        <v>2.0561127982520486</v>
      </c>
      <c r="EV15" s="20">
        <f t="shared" si="8"/>
        <v>1.2999999999999972</v>
      </c>
      <c r="EW15" s="17">
        <f t="shared" si="9"/>
        <v>1.4061654948620845E-2</v>
      </c>
      <c r="EX15" s="388">
        <f t="shared" si="69"/>
        <v>2.0639401174234032E-2</v>
      </c>
      <c r="EY15" s="388" t="s">
        <v>20</v>
      </c>
      <c r="EZ15" s="314" t="s">
        <v>20</v>
      </c>
      <c r="FA15" s="442">
        <f t="shared" si="10"/>
        <v>18.700000000000045</v>
      </c>
      <c r="FB15" s="18">
        <f t="shared" si="11"/>
        <v>1.7376759745388694E-2</v>
      </c>
      <c r="FC15" s="394">
        <f t="shared" si="70"/>
        <v>1.624948609496607E-2</v>
      </c>
      <c r="FD15" s="394" t="s">
        <v>20</v>
      </c>
      <c r="FE15" s="385" t="s">
        <v>20</v>
      </c>
      <c r="FF15" s="416">
        <f t="shared" si="49"/>
        <v>1</v>
      </c>
      <c r="FG15" s="417">
        <f t="shared" si="50"/>
        <v>2</v>
      </c>
      <c r="FH15" s="415">
        <v>0</v>
      </c>
      <c r="FI15" s="413" t="s">
        <v>20</v>
      </c>
      <c r="FJ15" s="404">
        <v>0</v>
      </c>
      <c r="FK15" s="414" t="s">
        <v>20</v>
      </c>
      <c r="FL15" s="415">
        <f t="shared" si="71"/>
        <v>22.522522522522532</v>
      </c>
      <c r="FM15" s="413" t="str">
        <f t="shared" si="72"/>
        <v>C-D</v>
      </c>
      <c r="FN15" s="404">
        <f t="shared" si="73"/>
        <v>78.516445066479875</v>
      </c>
      <c r="FO15" s="414" t="str">
        <f t="shared" si="74"/>
        <v>T-R</v>
      </c>
      <c r="FQ15" s="135">
        <f t="shared" si="51"/>
        <v>91.320202636718761</v>
      </c>
      <c r="FR15" s="21">
        <f t="shared" si="12"/>
        <v>93.2</v>
      </c>
      <c r="FS15" s="21">
        <f t="shared" si="13"/>
        <v>91.320202636718761</v>
      </c>
      <c r="FT15" s="182">
        <f t="shared" si="14"/>
        <v>92.462500000000006</v>
      </c>
      <c r="FU15" s="141">
        <f t="shared" si="52"/>
        <v>1060.0663452148438</v>
      </c>
      <c r="FV15" s="118">
        <f t="shared" si="15"/>
        <v>1090.25</v>
      </c>
      <c r="FW15" s="118">
        <f t="shared" si="16"/>
        <v>1060.0663452148438</v>
      </c>
      <c r="FX15" s="181">
        <f t="shared" si="17"/>
        <v>1081.6125</v>
      </c>
    </row>
    <row r="16" spans="1:180" x14ac:dyDescent="0.3">
      <c r="A16" s="94">
        <v>82.5</v>
      </c>
      <c r="B16" s="24">
        <f t="shared" ref="B16:B25" si="86">A16/180</f>
        <v>0.45833333333333331</v>
      </c>
      <c r="C16" s="25">
        <f t="shared" ca="1" si="81"/>
        <v>3010.7776958862937</v>
      </c>
      <c r="D16" s="26" t="s">
        <v>36</v>
      </c>
      <c r="E16" s="270">
        <f t="shared" ca="1" si="82"/>
        <v>95104.939777281223</v>
      </c>
      <c r="F16" s="265">
        <f t="shared" ca="1" si="83"/>
        <v>92390.781602581614</v>
      </c>
      <c r="G16" s="26" t="s">
        <v>37</v>
      </c>
      <c r="H16" s="25">
        <f t="shared" ca="1" si="84"/>
        <v>2911.0219580037628</v>
      </c>
      <c r="I16" s="24">
        <f t="shared" si="85"/>
        <v>0.45833333333333331</v>
      </c>
      <c r="J16" s="95">
        <v>82.5</v>
      </c>
      <c r="L16" s="283">
        <f t="shared" si="40"/>
        <v>13</v>
      </c>
      <c r="M16" s="290">
        <f>'[6]ASHOKLEY-I'!C32</f>
        <v>42811</v>
      </c>
      <c r="N16" s="7">
        <f>'[6]ASHOKLEY-I'!D32</f>
        <v>92.55</v>
      </c>
      <c r="O16" s="7">
        <f>'[6]ASHOKLEY-I'!E32</f>
        <v>92.6</v>
      </c>
      <c r="P16" s="7">
        <f>'[6]ASHOKLEY-I'!F32</f>
        <v>90.7</v>
      </c>
      <c r="Q16" s="7">
        <f>'[6]ASHOKLEY-I'!G32</f>
        <v>91.1</v>
      </c>
      <c r="R16" s="11">
        <f>'[6]ASHOKLEY-I'!H32</f>
        <v>2272</v>
      </c>
      <c r="S16" s="291">
        <f>'[7]ASIANPAINT-I'!C32</f>
        <v>42811</v>
      </c>
      <c r="T16" s="9">
        <f>'[7]ASIANPAINT-I'!D32</f>
        <v>1091.3</v>
      </c>
      <c r="U16" s="9">
        <f>'[7]ASIANPAINT-I'!E32</f>
        <v>1092.55</v>
      </c>
      <c r="V16" s="9">
        <f>'[7]ASIANPAINT-I'!F32</f>
        <v>1076.3499999999999</v>
      </c>
      <c r="W16" s="9">
        <f>'[7]ASIANPAINT-I'!G32</f>
        <v>1080.2</v>
      </c>
      <c r="X16" s="12">
        <f>'[7]ASIANPAINT-I'!H32</f>
        <v>2187</v>
      </c>
      <c r="Y16" s="115"/>
      <c r="Z16" s="122">
        <f t="shared" si="18"/>
        <v>-1.3001083423618666E-2</v>
      </c>
      <c r="AA16" s="19">
        <f t="shared" si="19"/>
        <v>-7.625172255397294E-3</v>
      </c>
      <c r="AB16" s="305">
        <v>0</v>
      </c>
      <c r="AC16" s="306">
        <v>0</v>
      </c>
      <c r="AD16" s="466">
        <f t="shared" si="20"/>
        <v>-1.3086337242893922E-2</v>
      </c>
      <c r="AE16" s="17">
        <f t="shared" si="41"/>
        <v>9.4848344682948345E-3</v>
      </c>
      <c r="AF16" s="17">
        <f t="shared" si="42"/>
        <v>9.7385570360080387E-3</v>
      </c>
      <c r="AG16" s="314">
        <f t="shared" si="43"/>
        <v>0.1860548709316886</v>
      </c>
      <c r="AH16" s="467">
        <f t="shared" si="21"/>
        <v>-7.6543925158113176E-3</v>
      </c>
      <c r="AI16" s="18">
        <f t="shared" si="53"/>
        <v>1.0275692773388011E-2</v>
      </c>
      <c r="AJ16" s="18">
        <f t="shared" si="22"/>
        <v>1.0137546731918998E-2</v>
      </c>
      <c r="AK16" s="385">
        <f t="shared" si="44"/>
        <v>0.19367755836898648</v>
      </c>
      <c r="AL16" s="10">
        <f t="shared" si="23"/>
        <v>2.0731784531042727E-2</v>
      </c>
      <c r="AM16" s="17">
        <f t="shared" si="45"/>
        <v>1.6620261535629153E-2</v>
      </c>
      <c r="AN16" s="17">
        <f t="shared" si="46"/>
        <v>1.6895192253787644E-2</v>
      </c>
      <c r="AO16" s="314">
        <f t="shared" si="47"/>
        <v>0.3227821947873562</v>
      </c>
      <c r="AP16" s="448">
        <f t="shared" si="24"/>
        <v>1.493872587242014E-2</v>
      </c>
      <c r="AQ16" s="18">
        <f t="shared" si="54"/>
        <v>1.2593173545080081E-2</v>
      </c>
      <c r="AR16" s="18">
        <f t="shared" si="25"/>
        <v>1.2746084519639487E-2</v>
      </c>
      <c r="AS16" s="385">
        <f t="shared" si="48"/>
        <v>0.24351360282816764</v>
      </c>
      <c r="AT16" s="6">
        <f t="shared" si="0"/>
        <v>210273.6</v>
      </c>
      <c r="AU16" s="319">
        <v>0</v>
      </c>
      <c r="AV16" s="140">
        <f t="shared" si="1"/>
        <v>2386673.1</v>
      </c>
      <c r="AW16" s="481">
        <v>0</v>
      </c>
      <c r="AX16" s="484">
        <f>AVERAGE(AT4:AT16)</f>
        <v>267680.62307692308</v>
      </c>
      <c r="AY16" s="249">
        <f>AVERAGE(R4:R16)</f>
        <v>2946.2307692307691</v>
      </c>
      <c r="AZ16" s="319">
        <f>AX16/AY16</f>
        <v>90.855280540978043</v>
      </c>
      <c r="BA16" s="21">
        <f t="shared" si="2"/>
        <v>91.466666666666654</v>
      </c>
      <c r="BB16" s="21">
        <f t="shared" si="3"/>
        <v>207812.26666666663</v>
      </c>
      <c r="BC16" s="21">
        <f t="shared" si="61"/>
        <v>229383.63547020272</v>
      </c>
      <c r="BD16" s="21">
        <f t="shared" si="57"/>
        <v>2502.3928059746991</v>
      </c>
      <c r="BE16" s="332">
        <f t="shared" si="58"/>
        <v>91.665718876160298</v>
      </c>
      <c r="BF16" s="442">
        <f>AVERAGE(AV4:AV16)</f>
        <v>3099931.4692307692</v>
      </c>
      <c r="BG16" s="254">
        <f>AVERAGE(X4:X16)</f>
        <v>2973.2307692307691</v>
      </c>
      <c r="BH16" s="329">
        <f>BF16/BG16</f>
        <v>1042.6138129980338</v>
      </c>
      <c r="BI16" s="118">
        <f t="shared" si="4"/>
        <v>1083.0333333333331</v>
      </c>
      <c r="BJ16" s="118">
        <f t="shared" si="5"/>
        <v>2368593.8999999994</v>
      </c>
      <c r="BK16" s="118">
        <f t="shared" si="62"/>
        <v>3136429.9114636998</v>
      </c>
      <c r="BL16" s="118">
        <f t="shared" si="59"/>
        <v>2929.6459990855051</v>
      </c>
      <c r="BM16" s="325">
        <f t="shared" si="60"/>
        <v>1070.5832419489395</v>
      </c>
      <c r="BN16" s="6">
        <f t="shared" si="6"/>
        <v>206979.19999999998</v>
      </c>
      <c r="BO16" s="331">
        <f t="shared" ref="BO16:BO67" si="87">AVERAGE(AT4:AT16)/AVERAGE(R4:R16)</f>
        <v>90.855280540978043</v>
      </c>
      <c r="BP16" s="319">
        <f t="shared" si="55"/>
        <v>91.504330708661413</v>
      </c>
      <c r="BQ16" s="331">
        <v>0</v>
      </c>
      <c r="BR16" s="332">
        <f t="shared" ref="BR16:BR67" si="88">AVERAGE(BN4:BN16)/AVERAGE(R4:R16)</f>
        <v>90.690203911125025</v>
      </c>
      <c r="BS16" s="140">
        <f t="shared" si="7"/>
        <v>2362397.4</v>
      </c>
      <c r="BT16" s="339">
        <f t="shared" ref="BT16:BT67" si="89">AVERAGE(AV4:AV16)/AVERAGE(X4:X16)</f>
        <v>1042.6138129980338</v>
      </c>
      <c r="BU16" s="329">
        <f t="shared" si="56"/>
        <v>1071.8417883443371</v>
      </c>
      <c r="BV16" s="339">
        <v>0</v>
      </c>
      <c r="BW16" s="325">
        <f t="shared" ref="BW16:BW67" si="90">AVERAGE(BS4:BS16)/AVERAGE(X4:X16)</f>
        <v>1047.638422332609</v>
      </c>
      <c r="BX16" s="21">
        <f t="shared" ref="BX16:BX67" si="91">((BB16-BX15)*(2/(1+12)))+BX15</f>
        <v>262546.58376068377</v>
      </c>
      <c r="BY16" s="21">
        <f t="shared" ref="BY16:BY67" si="92">((R16-BY15)*(2/(1+12)))+BY15</f>
        <v>2890.0448717948716</v>
      </c>
      <c r="BZ16" s="21">
        <f t="shared" ref="BZ16:BZ69" si="93">BX16/BY16</f>
        <v>90.845158261376184</v>
      </c>
      <c r="CA16" s="21">
        <v>0</v>
      </c>
      <c r="CB16" s="21">
        <v>0</v>
      </c>
      <c r="CC16" s="21">
        <v>0</v>
      </c>
      <c r="CD16" s="342">
        <v>0</v>
      </c>
      <c r="CE16" s="342">
        <v>0</v>
      </c>
      <c r="CF16" s="343">
        <v>0</v>
      </c>
      <c r="CG16" s="141">
        <f t="shared" ref="CG16:CG67" si="94">((BJ16-CG15)*(2/(1+12)))+CG15</f>
        <v>3048233.87232906</v>
      </c>
      <c r="CH16" s="118">
        <f t="shared" ref="CH16:CH67" si="95">((X16-CH15)*(2/(1+12)))+CH15</f>
        <v>2907.7115384615386</v>
      </c>
      <c r="CI16" s="118">
        <f t="shared" ref="CI16:CI67" si="96">CG16/CH16</f>
        <v>1048.3274671537299</v>
      </c>
      <c r="CJ16" s="118"/>
      <c r="CK16" s="118"/>
      <c r="CL16" s="118">
        <v>0</v>
      </c>
      <c r="CM16" s="350">
        <v>0</v>
      </c>
      <c r="CN16" s="350">
        <v>0</v>
      </c>
      <c r="CO16" s="351">
        <v>0</v>
      </c>
      <c r="CP16" s="20">
        <f t="shared" si="26"/>
        <v>-1.0000000000000284</v>
      </c>
      <c r="CQ16" s="21">
        <f t="shared" si="27"/>
        <v>0</v>
      </c>
      <c r="CR16" s="21">
        <f t="shared" si="28"/>
        <v>207812.26666666663</v>
      </c>
      <c r="CS16" s="21">
        <v>0</v>
      </c>
      <c r="CT16" s="21">
        <v>0</v>
      </c>
      <c r="CU16" s="21">
        <v>0</v>
      </c>
      <c r="CV16" s="342">
        <v>0</v>
      </c>
      <c r="CW16" s="342">
        <v>0</v>
      </c>
      <c r="CX16" s="355">
        <v>0</v>
      </c>
      <c r="CY16" s="141">
        <f t="shared" si="29"/>
        <v>-0.40000000000031832</v>
      </c>
      <c r="CZ16" s="118">
        <f t="shared" si="30"/>
        <v>0</v>
      </c>
      <c r="DA16" s="118">
        <f t="shared" si="31"/>
        <v>2368593.8999999994</v>
      </c>
      <c r="DB16" s="118">
        <v>0</v>
      </c>
      <c r="DC16" s="118">
        <v>0</v>
      </c>
      <c r="DD16" s="118">
        <v>0</v>
      </c>
      <c r="DE16" s="350">
        <v>0</v>
      </c>
      <c r="DF16" s="350">
        <v>0</v>
      </c>
      <c r="DG16" s="351">
        <v>0</v>
      </c>
      <c r="DH16" s="135">
        <f t="shared" si="32"/>
        <v>1.8999999999999915</v>
      </c>
      <c r="DI16" s="20">
        <f t="shared" si="33"/>
        <v>4316.7999999999811</v>
      </c>
      <c r="DJ16" s="21">
        <v>0</v>
      </c>
      <c r="DK16" s="21">
        <v>0</v>
      </c>
      <c r="DL16" s="319">
        <v>0</v>
      </c>
      <c r="DM16" s="21">
        <v>0</v>
      </c>
      <c r="DN16" s="21">
        <v>0</v>
      </c>
      <c r="DO16" s="319">
        <v>0</v>
      </c>
      <c r="DP16" s="362">
        <v>0</v>
      </c>
      <c r="DQ16" s="141">
        <f t="shared" si="34"/>
        <v>16.200000000000045</v>
      </c>
      <c r="DR16" s="143">
        <f t="shared" si="35"/>
        <v>35429.400000000096</v>
      </c>
      <c r="DS16" s="118">
        <v>0</v>
      </c>
      <c r="DT16" s="118">
        <v>0</v>
      </c>
      <c r="DU16" s="329">
        <v>0</v>
      </c>
      <c r="DV16" s="118">
        <v>0</v>
      </c>
      <c r="DW16" s="118">
        <v>0</v>
      </c>
      <c r="DX16" s="329">
        <v>0</v>
      </c>
      <c r="DY16" s="374">
        <v>0</v>
      </c>
      <c r="DZ16" s="135">
        <f t="shared" si="36"/>
        <v>1.8999999999999915</v>
      </c>
      <c r="EA16" s="21">
        <f t="shared" si="37"/>
        <v>4316.7999999999811</v>
      </c>
      <c r="EB16" s="21">
        <f t="shared" si="79"/>
        <v>5965.3280330742273</v>
      </c>
      <c r="EC16" s="21">
        <f t="shared" si="75"/>
        <v>2776.6944253924707</v>
      </c>
      <c r="ED16" s="319">
        <f t="shared" si="76"/>
        <v>2.1483559654682063</v>
      </c>
      <c r="EE16" s="21">
        <f t="shared" si="63"/>
        <v>8593.423861872825</v>
      </c>
      <c r="EF16" s="21">
        <f>EE16*'Base Data'!$D$13</f>
        <v>6445.0678964046183</v>
      </c>
      <c r="EG16" s="363">
        <f>IF(INT(('Base Data'!$D$7)/EF16)=0,0,INT(('Base Data'!$D$7)/EF16))</f>
        <v>1</v>
      </c>
      <c r="EH16" s="314">
        <f t="shared" si="64"/>
        <v>2.3582392595699303E-2</v>
      </c>
      <c r="EI16" s="143">
        <f t="shared" si="38"/>
        <v>16.200000000000045</v>
      </c>
      <c r="EJ16" s="118">
        <f t="shared" si="39"/>
        <v>35429.400000000096</v>
      </c>
      <c r="EK16" s="118">
        <f t="shared" si="80"/>
        <v>66390.59459114472</v>
      </c>
      <c r="EL16" s="118">
        <f t="shared" si="77"/>
        <v>2956.3915942691665</v>
      </c>
      <c r="EM16" s="329">
        <f t="shared" si="78"/>
        <v>22.456630819760118</v>
      </c>
      <c r="EN16" s="118">
        <f t="shared" si="65"/>
        <v>13473.978491856071</v>
      </c>
      <c r="EO16" s="118">
        <f>EN16*'Base Data'!$D$13</f>
        <v>10105.483868892054</v>
      </c>
      <c r="EP16" s="375">
        <f>IF(INT(('Base Data'!$D$7)/EO16)=0,0,INT(('Base Data'!$D$7)/EO16))</f>
        <v>1</v>
      </c>
      <c r="EQ16" s="385">
        <f t="shared" si="66"/>
        <v>2.0789326809627955E-2</v>
      </c>
      <c r="ER16" s="396">
        <v>0</v>
      </c>
      <c r="ES16" s="403">
        <f t="shared" si="67"/>
        <v>-0.10667071488627432</v>
      </c>
      <c r="ET16" s="404">
        <v>0</v>
      </c>
      <c r="EU16" s="410">
        <f t="shared" si="68"/>
        <v>1.4426882165315231</v>
      </c>
      <c r="EV16" s="20">
        <f t="shared" si="8"/>
        <v>1.8999999999999915</v>
      </c>
      <c r="EW16" s="17">
        <f t="shared" si="9"/>
        <v>2.0529443544030163E-2</v>
      </c>
      <c r="EX16" s="388">
        <f t="shared" si="69"/>
        <v>1.8386987512929425E-2</v>
      </c>
      <c r="EY16" s="388">
        <f>AVERAGE(EW4:EW16)</f>
        <v>2.3100728435097882E-2</v>
      </c>
      <c r="EZ16" s="314" t="s">
        <v>20</v>
      </c>
      <c r="FA16" s="442">
        <f t="shared" si="10"/>
        <v>16.200000000000045</v>
      </c>
      <c r="FB16" s="18">
        <f t="shared" si="11"/>
        <v>1.4844680656098274E-2</v>
      </c>
      <c r="FC16" s="394">
        <f t="shared" si="70"/>
        <v>1.6080952983152215E-2</v>
      </c>
      <c r="FD16" s="394">
        <f>AVERAGE(FB4:FB16)</f>
        <v>1.7383318258565841E-2</v>
      </c>
      <c r="FE16" s="385" t="s">
        <v>20</v>
      </c>
      <c r="FF16" s="416">
        <f t="shared" si="49"/>
        <v>2</v>
      </c>
      <c r="FG16" s="417">
        <f t="shared" si="50"/>
        <v>2</v>
      </c>
      <c r="FH16" s="415">
        <v>0</v>
      </c>
      <c r="FI16" s="413" t="s">
        <v>20</v>
      </c>
      <c r="FJ16" s="404">
        <v>0</v>
      </c>
      <c r="FK16" s="414" t="s">
        <v>20</v>
      </c>
      <c r="FL16" s="415">
        <f t="shared" si="71"/>
        <v>15.189873417721724</v>
      </c>
      <c r="FM16" s="413" t="str">
        <f t="shared" si="72"/>
        <v>C-D</v>
      </c>
      <c r="FN16" s="404">
        <f t="shared" si="73"/>
        <v>70.237288135593161</v>
      </c>
      <c r="FO16" s="414" t="str">
        <f t="shared" si="74"/>
        <v>T-D</v>
      </c>
      <c r="FQ16" s="135">
        <f t="shared" si="51"/>
        <v>91.891351318359384</v>
      </c>
      <c r="FR16" s="21">
        <f t="shared" si="12"/>
        <v>92.6</v>
      </c>
      <c r="FS16" s="21">
        <f t="shared" si="13"/>
        <v>90.7</v>
      </c>
      <c r="FT16" s="182">
        <f t="shared" si="14"/>
        <v>91.737499999999983</v>
      </c>
      <c r="FU16" s="141">
        <f t="shared" si="52"/>
        <v>1070.839422607422</v>
      </c>
      <c r="FV16" s="118">
        <f t="shared" si="15"/>
        <v>1092.55</v>
      </c>
      <c r="FW16" s="118">
        <f t="shared" si="16"/>
        <v>1070.839422607422</v>
      </c>
      <c r="FX16" s="181">
        <f t="shared" si="17"/>
        <v>1085.0999999999999</v>
      </c>
    </row>
    <row r="17" spans="1:180" x14ac:dyDescent="0.3">
      <c r="A17" s="94">
        <v>75</v>
      </c>
      <c r="B17" s="24">
        <f t="shared" si="86"/>
        <v>0.41666666666666669</v>
      </c>
      <c r="C17" s="25">
        <f t="shared" ca="1" si="81"/>
        <v>3006.2068858310267</v>
      </c>
      <c r="D17" s="26" t="s">
        <v>38</v>
      </c>
      <c r="E17" s="270">
        <f t="shared" ca="1" si="82"/>
        <v>94977.586202429593</v>
      </c>
      <c r="F17" s="265">
        <f t="shared" ca="1" si="83"/>
        <v>92510.200061919852</v>
      </c>
      <c r="G17" s="26" t="s">
        <v>39</v>
      </c>
      <c r="H17" s="25">
        <f t="shared" ca="1" si="84"/>
        <v>2915.5198513923633</v>
      </c>
      <c r="I17" s="24">
        <f t="shared" si="85"/>
        <v>0.41666666666666669</v>
      </c>
      <c r="J17" s="95">
        <v>75</v>
      </c>
      <c r="L17" s="283">
        <f t="shared" si="40"/>
        <v>14</v>
      </c>
      <c r="M17" s="290">
        <f>'[6]ASHOKLEY-I'!C33</f>
        <v>42814</v>
      </c>
      <c r="N17" s="7">
        <f>'[6]ASHOKLEY-I'!D33</f>
        <v>90.95</v>
      </c>
      <c r="O17" s="7">
        <f>'[6]ASHOKLEY-I'!E33</f>
        <v>91</v>
      </c>
      <c r="P17" s="7">
        <f>'[6]ASHOKLEY-I'!F33</f>
        <v>89.35</v>
      </c>
      <c r="Q17" s="7">
        <f>'[6]ASHOKLEY-I'!G33</f>
        <v>89.6</v>
      </c>
      <c r="R17" s="11">
        <f>'[6]ASHOKLEY-I'!H33</f>
        <v>2105</v>
      </c>
      <c r="S17" s="291">
        <f>'[7]ASIANPAINT-I'!C33</f>
        <v>42814</v>
      </c>
      <c r="T17" s="9">
        <f>'[7]ASIANPAINT-I'!D33</f>
        <v>1079.75</v>
      </c>
      <c r="U17" s="9">
        <f>'[7]ASIANPAINT-I'!E33</f>
        <v>1086.25</v>
      </c>
      <c r="V17" s="9">
        <f>'[7]ASIANPAINT-I'!F33</f>
        <v>1070.6500000000001</v>
      </c>
      <c r="W17" s="9">
        <f>'[7]ASIANPAINT-I'!G33</f>
        <v>1083.8499999999999</v>
      </c>
      <c r="X17" s="12">
        <f>'[7]ASIANPAINT-I'!H33</f>
        <v>1954</v>
      </c>
      <c r="Y17" s="115"/>
      <c r="Z17" s="122">
        <f t="shared" si="18"/>
        <v>-1.6465422612513721E-2</v>
      </c>
      <c r="AA17" s="19">
        <f t="shared" si="19"/>
        <v>3.3790038881687311E-3</v>
      </c>
      <c r="AB17" s="305">
        <v>0</v>
      </c>
      <c r="AC17" s="306">
        <v>0</v>
      </c>
      <c r="AD17" s="466">
        <f t="shared" si="20"/>
        <v>-1.6602484285027842E-2</v>
      </c>
      <c r="AE17" s="17">
        <f t="shared" si="41"/>
        <v>9.7385570360080387E-3</v>
      </c>
      <c r="AF17" s="17">
        <f t="shared" si="42"/>
        <v>1.0280450993076255E-2</v>
      </c>
      <c r="AG17" s="314">
        <f t="shared" si="43"/>
        <v>0.19640774044492373</v>
      </c>
      <c r="AH17" s="467">
        <f t="shared" si="21"/>
        <v>3.3733078821416781E-3</v>
      </c>
      <c r="AI17" s="18">
        <f t="shared" si="53"/>
        <v>1.0137546731918998E-2</v>
      </c>
      <c r="AJ17" s="18">
        <f t="shared" si="22"/>
        <v>9.8633875966320107E-3</v>
      </c>
      <c r="AK17" s="385">
        <f t="shared" si="44"/>
        <v>0.18843975544377273</v>
      </c>
      <c r="AL17" s="10">
        <f t="shared" si="23"/>
        <v>1.8298264911413082E-2</v>
      </c>
      <c r="AM17" s="17">
        <f t="shared" si="45"/>
        <v>1.6895192253787644E-2</v>
      </c>
      <c r="AN17" s="17">
        <f t="shared" si="46"/>
        <v>1.6982645846304229E-2</v>
      </c>
      <c r="AO17" s="314">
        <f t="shared" si="47"/>
        <v>0.32445299332640298</v>
      </c>
      <c r="AP17" s="448">
        <f t="shared" si="24"/>
        <v>1.4465456927375971E-2</v>
      </c>
      <c r="AQ17" s="18">
        <f t="shared" si="54"/>
        <v>1.2746084519639487E-2</v>
      </c>
      <c r="AR17" s="18">
        <f t="shared" si="25"/>
        <v>1.2855733234395926E-2</v>
      </c>
      <c r="AS17" s="385">
        <f t="shared" si="48"/>
        <v>0.24560843858221248</v>
      </c>
      <c r="AT17" s="6">
        <f t="shared" si="0"/>
        <v>191449.75</v>
      </c>
      <c r="AU17" s="319">
        <v>0</v>
      </c>
      <c r="AV17" s="140">
        <f t="shared" si="1"/>
        <v>2109831.5</v>
      </c>
      <c r="AW17" s="481">
        <v>0</v>
      </c>
      <c r="AX17" s="135">
        <f t="shared" ref="AX17:AX67" si="97">((AT17-AX16)*(2/(1+13)))+AX16</f>
        <v>256790.49835164836</v>
      </c>
      <c r="AY17" s="21">
        <f t="shared" ref="AY17:AY67" si="98">((R17-AY16)*(2/(1+13)))+AY16</f>
        <v>2826.0549450549447</v>
      </c>
      <c r="AZ17" s="319">
        <f t="shared" ref="AZ17:AZ67" si="99">AX17/AY17</f>
        <v>90.865359430106835</v>
      </c>
      <c r="BA17" s="21">
        <f t="shared" si="2"/>
        <v>89.983333333333334</v>
      </c>
      <c r="BB17" s="21">
        <f t="shared" si="3"/>
        <v>189414.91666666666</v>
      </c>
      <c r="BC17" s="21">
        <f t="shared" si="61"/>
        <v>216060.72920235735</v>
      </c>
      <c r="BD17" s="21">
        <f t="shared" si="57"/>
        <v>2369.9285373164662</v>
      </c>
      <c r="BE17" s="332">
        <f t="shared" si="58"/>
        <v>91.16761362222708</v>
      </c>
      <c r="BF17" s="141">
        <f t="shared" ref="BF17:BF67" si="100">((AV17-BF16)*(2/(1+13)))+BF16</f>
        <v>2958488.6164835165</v>
      </c>
      <c r="BG17" s="118">
        <f t="shared" ref="BG17:BG67" si="101">((X17-BG16)*(2/(1+13)))+BG16</f>
        <v>2827.6263736263736</v>
      </c>
      <c r="BH17" s="329">
        <f t="shared" ref="BH17:BH67" si="102">BF17/BG17</f>
        <v>1046.279891883069</v>
      </c>
      <c r="BI17" s="118">
        <f t="shared" si="4"/>
        <v>1080.25</v>
      </c>
      <c r="BJ17" s="118">
        <f t="shared" si="5"/>
        <v>2110808.5</v>
      </c>
      <c r="BK17" s="118">
        <f t="shared" si="62"/>
        <v>2794556.1076424667</v>
      </c>
      <c r="BL17" s="118">
        <f t="shared" si="59"/>
        <v>2604.4306660570032</v>
      </c>
      <c r="BM17" s="325">
        <f t="shared" si="60"/>
        <v>1073.0007690599441</v>
      </c>
      <c r="BN17" s="6">
        <f t="shared" si="6"/>
        <v>188608</v>
      </c>
      <c r="BO17" s="331">
        <f t="shared" si="87"/>
        <v>90.942981973484251</v>
      </c>
      <c r="BP17" s="319">
        <f t="shared" si="55"/>
        <v>91.259421886920393</v>
      </c>
      <c r="BQ17" s="331">
        <v>0</v>
      </c>
      <c r="BR17" s="332">
        <f t="shared" si="88"/>
        <v>90.603089136928148</v>
      </c>
      <c r="BS17" s="140">
        <f t="shared" si="7"/>
        <v>2117842.9</v>
      </c>
      <c r="BT17" s="339">
        <f t="shared" si="89"/>
        <v>1048.8178236397748</v>
      </c>
      <c r="BU17" s="329">
        <f t="shared" si="56"/>
        <v>1078.4027012234385</v>
      </c>
      <c r="BV17" s="339">
        <v>0</v>
      </c>
      <c r="BW17" s="325">
        <f t="shared" si="90"/>
        <v>1051.6713524997242</v>
      </c>
      <c r="BX17" s="21">
        <f t="shared" si="91"/>
        <v>251295.5580539119</v>
      </c>
      <c r="BY17" s="21">
        <f t="shared" si="92"/>
        <v>2769.2687376725835</v>
      </c>
      <c r="BZ17" s="21">
        <f t="shared" si="93"/>
        <v>90.744374005793262</v>
      </c>
      <c r="CA17" s="21">
        <v>0</v>
      </c>
      <c r="CB17" s="21">
        <v>0</v>
      </c>
      <c r="CC17" s="21">
        <v>0</v>
      </c>
      <c r="CD17" s="342">
        <v>0</v>
      </c>
      <c r="CE17" s="342">
        <v>0</v>
      </c>
      <c r="CF17" s="343">
        <v>0</v>
      </c>
      <c r="CG17" s="141">
        <f t="shared" si="94"/>
        <v>2904014.5842784354</v>
      </c>
      <c r="CH17" s="118">
        <f t="shared" si="95"/>
        <v>2760.9866863905327</v>
      </c>
      <c r="CI17" s="118">
        <f t="shared" si="96"/>
        <v>1051.8031827509044</v>
      </c>
      <c r="CJ17" s="118"/>
      <c r="CK17" s="118"/>
      <c r="CL17" s="118">
        <v>0</v>
      </c>
      <c r="CM17" s="350">
        <v>0</v>
      </c>
      <c r="CN17" s="350">
        <v>0</v>
      </c>
      <c r="CO17" s="351">
        <v>0</v>
      </c>
      <c r="CP17" s="20">
        <f t="shared" si="26"/>
        <v>-1.4833333333333201</v>
      </c>
      <c r="CQ17" s="21">
        <f t="shared" si="27"/>
        <v>0</v>
      </c>
      <c r="CR17" s="21">
        <f t="shared" si="28"/>
        <v>189414.91666666666</v>
      </c>
      <c r="CS17" s="21">
        <v>0</v>
      </c>
      <c r="CT17" s="21">
        <v>0</v>
      </c>
      <c r="CU17" s="21">
        <v>0</v>
      </c>
      <c r="CV17" s="342">
        <v>0</v>
      </c>
      <c r="CW17" s="342">
        <v>0</v>
      </c>
      <c r="CX17" s="355">
        <v>0</v>
      </c>
      <c r="CY17" s="141">
        <f t="shared" si="29"/>
        <v>-2.7833333333330756</v>
      </c>
      <c r="CZ17" s="118">
        <f t="shared" si="30"/>
        <v>0</v>
      </c>
      <c r="DA17" s="118">
        <f t="shared" si="31"/>
        <v>2110808.5</v>
      </c>
      <c r="DB17" s="118">
        <v>0</v>
      </c>
      <c r="DC17" s="118">
        <v>0</v>
      </c>
      <c r="DD17" s="118">
        <v>0</v>
      </c>
      <c r="DE17" s="350">
        <v>0</v>
      </c>
      <c r="DF17" s="350">
        <v>0</v>
      </c>
      <c r="DG17" s="351">
        <v>0</v>
      </c>
      <c r="DH17" s="135">
        <f t="shared" si="32"/>
        <v>1.75</v>
      </c>
      <c r="DI17" s="20">
        <f t="shared" si="33"/>
        <v>3683.75</v>
      </c>
      <c r="DJ17" s="21">
        <v>0</v>
      </c>
      <c r="DK17" s="21">
        <v>0</v>
      </c>
      <c r="DL17" s="319">
        <v>0</v>
      </c>
      <c r="DM17" s="21">
        <v>0</v>
      </c>
      <c r="DN17" s="21">
        <v>0</v>
      </c>
      <c r="DO17" s="319">
        <v>0</v>
      </c>
      <c r="DP17" s="362">
        <v>0</v>
      </c>
      <c r="DQ17" s="141">
        <f t="shared" si="34"/>
        <v>15.599999999999909</v>
      </c>
      <c r="DR17" s="143">
        <f t="shared" si="35"/>
        <v>30482.399999999823</v>
      </c>
      <c r="DS17" s="118">
        <v>0</v>
      </c>
      <c r="DT17" s="118">
        <v>0</v>
      </c>
      <c r="DU17" s="329">
        <v>0</v>
      </c>
      <c r="DV17" s="118">
        <v>0</v>
      </c>
      <c r="DW17" s="118">
        <v>0</v>
      </c>
      <c r="DX17" s="329">
        <v>0</v>
      </c>
      <c r="DY17" s="374">
        <v>0</v>
      </c>
      <c r="DZ17" s="135">
        <f t="shared" si="36"/>
        <v>1.75</v>
      </c>
      <c r="EA17" s="21">
        <f t="shared" si="37"/>
        <v>3683.75</v>
      </c>
      <c r="EB17" s="21">
        <f t="shared" si="79"/>
        <v>5458.3106923910655</v>
      </c>
      <c r="EC17" s="21">
        <f t="shared" si="75"/>
        <v>2627.4289975274773</v>
      </c>
      <c r="ED17" s="319">
        <f t="shared" si="76"/>
        <v>2.0774341371460725</v>
      </c>
      <c r="EE17" s="21">
        <f t="shared" si="63"/>
        <v>8309.7365485842893</v>
      </c>
      <c r="EF17" s="21">
        <f>EE17*'Base Data'!$D$13</f>
        <v>6232.302411438217</v>
      </c>
      <c r="EG17" s="363">
        <f>IF(INT(('Base Data'!$D$7)/EF17)=0,0,INT(('Base Data'!$D$7)/EF17))</f>
        <v>1</v>
      </c>
      <c r="EH17" s="314">
        <f t="shared" si="64"/>
        <v>2.3185648852076704E-2</v>
      </c>
      <c r="EI17" s="143">
        <f t="shared" si="38"/>
        <v>15.599999999999909</v>
      </c>
      <c r="EJ17" s="118">
        <f t="shared" si="39"/>
        <v>30482.399999999823</v>
      </c>
      <c r="EK17" s="118">
        <f t="shared" si="80"/>
        <v>58410.995793112517</v>
      </c>
      <c r="EL17" s="118">
        <f t="shared" si="77"/>
        <v>2733.6379066537961</v>
      </c>
      <c r="EM17" s="329">
        <f t="shared" si="78"/>
        <v>21.367495545382056</v>
      </c>
      <c r="EN17" s="118">
        <f t="shared" si="65"/>
        <v>12820.497327229234</v>
      </c>
      <c r="EO17" s="118">
        <f>EN17*'Base Data'!$D$13</f>
        <v>9615.3729954219252</v>
      </c>
      <c r="EP17" s="375">
        <f>IF(INT(('Base Data'!$D$7)/EO17)=0,0,INT(('Base Data'!$D$7)/EO17))</f>
        <v>1</v>
      </c>
      <c r="EQ17" s="385">
        <f t="shared" si="66"/>
        <v>1.9714439770615912E-2</v>
      </c>
      <c r="ER17" s="396">
        <v>0</v>
      </c>
      <c r="ES17" s="403">
        <f t="shared" si="67"/>
        <v>-0.91358692568419975</v>
      </c>
      <c r="ET17" s="404">
        <v>0</v>
      </c>
      <c r="EU17" s="410">
        <f t="shared" si="68"/>
        <v>1.3722166582910571</v>
      </c>
      <c r="EV17" s="20">
        <f t="shared" si="8"/>
        <v>1.6500000000000057</v>
      </c>
      <c r="EW17" s="17">
        <f t="shared" si="9"/>
        <v>1.8141836173721886E-2</v>
      </c>
      <c r="EX17" s="388">
        <f t="shared" si="69"/>
        <v>1.7876939256866883E-2</v>
      </c>
      <c r="EY17" s="388">
        <f t="shared" ref="EY17:EY67" si="103">AVERAGE(EW5:EW17)</f>
        <v>2.2776342010141466E-2</v>
      </c>
      <c r="EZ17" s="314" t="s">
        <v>20</v>
      </c>
      <c r="FA17" s="442">
        <f t="shared" si="10"/>
        <v>15.599999999999909</v>
      </c>
      <c r="FB17" s="18">
        <f t="shared" si="11"/>
        <v>1.4447788840009176E-2</v>
      </c>
      <c r="FC17" s="394">
        <f t="shared" si="70"/>
        <v>1.6792715629116755E-2</v>
      </c>
      <c r="FD17" s="394">
        <f t="shared" ref="FD17:FD67" si="104">AVERAGE(FB5:FB17)</f>
        <v>1.621607807063424E-2</v>
      </c>
      <c r="FE17" s="385" t="s">
        <v>20</v>
      </c>
      <c r="FF17" s="416">
        <f t="shared" si="49"/>
        <v>1</v>
      </c>
      <c r="FG17" s="417">
        <f t="shared" si="50"/>
        <v>1</v>
      </c>
      <c r="FH17" s="415">
        <v>0</v>
      </c>
      <c r="FI17" s="413" t="s">
        <v>20</v>
      </c>
      <c r="FJ17" s="404">
        <v>0</v>
      </c>
      <c r="FK17" s="414" t="s">
        <v>20</v>
      </c>
      <c r="FL17" s="415">
        <f t="shared" si="71"/>
        <v>46.753246753246948</v>
      </c>
      <c r="FM17" s="413" t="str">
        <f t="shared" si="72"/>
        <v>T-R</v>
      </c>
      <c r="FN17" s="404">
        <f t="shared" si="73"/>
        <v>75.389830508474461</v>
      </c>
      <c r="FO17" s="414" t="str">
        <f t="shared" si="74"/>
        <v>T-R</v>
      </c>
      <c r="FQ17" s="135">
        <f t="shared" si="51"/>
        <v>91.814425659179676</v>
      </c>
      <c r="FR17" s="21">
        <f t="shared" si="12"/>
        <v>91.814425659179676</v>
      </c>
      <c r="FS17" s="21">
        <f t="shared" si="13"/>
        <v>89.35</v>
      </c>
      <c r="FT17" s="182">
        <f t="shared" si="14"/>
        <v>90.224999999999994</v>
      </c>
      <c r="FU17" s="141">
        <f t="shared" si="52"/>
        <v>1077.9697113037109</v>
      </c>
      <c r="FV17" s="118">
        <f t="shared" si="15"/>
        <v>1086.25</v>
      </c>
      <c r="FW17" s="118">
        <f t="shared" si="16"/>
        <v>1070.6500000000001</v>
      </c>
      <c r="FX17" s="181">
        <f t="shared" si="17"/>
        <v>1080.125</v>
      </c>
    </row>
    <row r="18" spans="1:180" x14ac:dyDescent="0.3">
      <c r="A18" s="94">
        <v>71.25</v>
      </c>
      <c r="B18" s="24">
        <f t="shared" si="86"/>
        <v>0.39583333333333331</v>
      </c>
      <c r="C18" s="25">
        <f t="shared" ca="1" si="81"/>
        <v>3003.922782886727</v>
      </c>
      <c r="D18" s="26" t="s">
        <v>40</v>
      </c>
      <c r="E18" s="270">
        <f t="shared" ca="1" si="82"/>
        <v>94914.052768226</v>
      </c>
      <c r="F18" s="265">
        <f t="shared" ca="1" si="83"/>
        <v>92570.04933534938</v>
      </c>
      <c r="G18" s="26" t="s">
        <v>41</v>
      </c>
      <c r="H18" s="25">
        <f t="shared" ca="1" si="84"/>
        <v>2917.7701001699961</v>
      </c>
      <c r="I18" s="24">
        <f t="shared" si="85"/>
        <v>0.39583333333333331</v>
      </c>
      <c r="J18" s="95">
        <v>71.25</v>
      </c>
      <c r="L18" s="283">
        <f t="shared" si="40"/>
        <v>15</v>
      </c>
      <c r="M18" s="290">
        <f>'[6]ASHOKLEY-I'!C34</f>
        <v>42815</v>
      </c>
      <c r="N18" s="7">
        <f>'[6]ASHOKLEY-I'!D34</f>
        <v>89.3</v>
      </c>
      <c r="O18" s="7">
        <f>'[6]ASHOKLEY-I'!E34</f>
        <v>89.35</v>
      </c>
      <c r="P18" s="7">
        <f>'[6]ASHOKLEY-I'!F34</f>
        <v>88.45</v>
      </c>
      <c r="Q18" s="7">
        <f>'[6]ASHOKLEY-I'!G34</f>
        <v>89.1</v>
      </c>
      <c r="R18" s="11">
        <f>'[6]ASHOKLEY-I'!H34</f>
        <v>2084</v>
      </c>
      <c r="S18" s="291">
        <f>'[7]ASIANPAINT-I'!C34</f>
        <v>42815</v>
      </c>
      <c r="T18" s="9">
        <f>'[7]ASIANPAINT-I'!D34</f>
        <v>1086.2</v>
      </c>
      <c r="U18" s="9">
        <f>'[7]ASIANPAINT-I'!E34</f>
        <v>1088</v>
      </c>
      <c r="V18" s="9">
        <f>'[7]ASIANPAINT-I'!F34</f>
        <v>1067.5</v>
      </c>
      <c r="W18" s="9">
        <f>'[7]ASIANPAINT-I'!G34</f>
        <v>1072.05</v>
      </c>
      <c r="X18" s="12">
        <f>'[7]ASIANPAINT-I'!H34</f>
        <v>3271</v>
      </c>
      <c r="Y18" s="115"/>
      <c r="Z18" s="122">
        <f t="shared" si="18"/>
        <v>-5.580357142857143E-3</v>
      </c>
      <c r="AA18" s="19">
        <f t="shared" si="19"/>
        <v>-1.0887115375743835E-2</v>
      </c>
      <c r="AB18" s="305">
        <v>0</v>
      </c>
      <c r="AC18" s="306">
        <v>0</v>
      </c>
      <c r="AD18" s="466">
        <f t="shared" si="20"/>
        <v>-5.5959855041211133E-3</v>
      </c>
      <c r="AE18" s="17">
        <f t="shared" si="41"/>
        <v>1.0280450993076255E-2</v>
      </c>
      <c r="AF18" s="17">
        <f t="shared" si="42"/>
        <v>1.0061079240793207E-2</v>
      </c>
      <c r="AG18" s="314">
        <f t="shared" si="43"/>
        <v>0.19221664900230365</v>
      </c>
      <c r="AH18" s="467">
        <f t="shared" si="21"/>
        <v>-1.0946813706834979E-2</v>
      </c>
      <c r="AI18" s="18">
        <f t="shared" si="53"/>
        <v>9.8633875966320107E-3</v>
      </c>
      <c r="AJ18" s="18">
        <f t="shared" si="22"/>
        <v>9.9317266277540849E-3</v>
      </c>
      <c r="AK18" s="385">
        <f t="shared" si="44"/>
        <v>0.18974537080013421</v>
      </c>
      <c r="AL18" s="10">
        <f t="shared" si="23"/>
        <v>1.0123820999642739E-2</v>
      </c>
      <c r="AM18" s="17">
        <f t="shared" si="45"/>
        <v>1.6982645846304229E-2</v>
      </c>
      <c r="AN18" s="17">
        <f t="shared" si="46"/>
        <v>1.6650980434872387E-2</v>
      </c>
      <c r="AO18" s="314">
        <f t="shared" si="47"/>
        <v>0.31811653453807393</v>
      </c>
      <c r="AP18" s="448">
        <f t="shared" si="24"/>
        <v>1.9021682313108426E-2</v>
      </c>
      <c r="AQ18" s="18">
        <f t="shared" si="54"/>
        <v>1.2855733234395926E-2</v>
      </c>
      <c r="AR18" s="18">
        <f t="shared" si="25"/>
        <v>1.3306507740784738E-2</v>
      </c>
      <c r="AS18" s="385">
        <f t="shared" si="48"/>
        <v>0.25422047343453852</v>
      </c>
      <c r="AT18" s="6">
        <f t="shared" si="0"/>
        <v>186101.19999999998</v>
      </c>
      <c r="AU18" s="319">
        <v>0</v>
      </c>
      <c r="AV18" s="140">
        <f t="shared" si="1"/>
        <v>3552960.2</v>
      </c>
      <c r="AW18" s="481">
        <v>0</v>
      </c>
      <c r="AX18" s="135">
        <f t="shared" si="97"/>
        <v>246692.02715855575</v>
      </c>
      <c r="AY18" s="21">
        <f t="shared" si="98"/>
        <v>2720.0470957613811</v>
      </c>
      <c r="AZ18" s="319">
        <f t="shared" si="99"/>
        <v>90.694027887595468</v>
      </c>
      <c r="BA18" s="21">
        <f t="shared" si="2"/>
        <v>88.966666666666654</v>
      </c>
      <c r="BB18" s="21">
        <f t="shared" si="3"/>
        <v>185406.5333333333</v>
      </c>
      <c r="BC18" s="21">
        <f t="shared" si="61"/>
        <v>205842.66391268268</v>
      </c>
      <c r="BD18" s="21">
        <f t="shared" si="57"/>
        <v>2274.6190248776443</v>
      </c>
      <c r="BE18" s="332">
        <f t="shared" si="58"/>
        <v>90.495446341285799</v>
      </c>
      <c r="BF18" s="141">
        <f t="shared" si="100"/>
        <v>3043413.1284144428</v>
      </c>
      <c r="BG18" s="118">
        <f t="shared" si="101"/>
        <v>2890.9654631083204</v>
      </c>
      <c r="BH18" s="329">
        <f t="shared" si="102"/>
        <v>1052.7324408580839</v>
      </c>
      <c r="BI18" s="118">
        <f t="shared" si="4"/>
        <v>1075.8500000000001</v>
      </c>
      <c r="BJ18" s="118">
        <f t="shared" si="5"/>
        <v>3519105.3500000006</v>
      </c>
      <c r="BK18" s="118">
        <f t="shared" si="62"/>
        <v>3036072.5217616446</v>
      </c>
      <c r="BL18" s="118">
        <f t="shared" si="59"/>
        <v>2826.620444038002</v>
      </c>
      <c r="BM18" s="325">
        <f t="shared" si="60"/>
        <v>1074.0998241081238</v>
      </c>
      <c r="BN18" s="6">
        <f t="shared" si="6"/>
        <v>185684.4</v>
      </c>
      <c r="BO18" s="331">
        <f t="shared" si="87"/>
        <v>90.787260066188651</v>
      </c>
      <c r="BP18" s="319">
        <f t="shared" si="55"/>
        <v>90.890075048486366</v>
      </c>
      <c r="BQ18" s="331">
        <v>0</v>
      </c>
      <c r="BR18" s="332">
        <f t="shared" si="88"/>
        <v>90.605071704357414</v>
      </c>
      <c r="BS18" s="140">
        <f t="shared" si="7"/>
        <v>3506675.55</v>
      </c>
      <c r="BT18" s="339">
        <f t="shared" si="89"/>
        <v>1053.9247374480512</v>
      </c>
      <c r="BU18" s="329">
        <f t="shared" si="56"/>
        <v>1078.8742615418278</v>
      </c>
      <c r="BV18" s="339">
        <v>0</v>
      </c>
      <c r="BW18" s="325">
        <f t="shared" si="90"/>
        <v>1055.1511021565764</v>
      </c>
      <c r="BX18" s="21">
        <f t="shared" si="91"/>
        <v>241158.78501997673</v>
      </c>
      <c r="BY18" s="21">
        <f t="shared" si="92"/>
        <v>2663.8427780306474</v>
      </c>
      <c r="BZ18" s="21">
        <f t="shared" si="93"/>
        <v>90.530412308440745</v>
      </c>
      <c r="CA18" s="21">
        <v>0</v>
      </c>
      <c r="CB18" s="21">
        <v>0</v>
      </c>
      <c r="CC18" s="21">
        <v>0</v>
      </c>
      <c r="CD18" s="342">
        <v>0</v>
      </c>
      <c r="CE18" s="342">
        <v>0</v>
      </c>
      <c r="CF18" s="343">
        <v>0</v>
      </c>
      <c r="CG18" s="141">
        <f t="shared" si="94"/>
        <v>2998643.9328509839</v>
      </c>
      <c r="CH18" s="118">
        <f t="shared" si="95"/>
        <v>2839.4502730996815</v>
      </c>
      <c r="CI18" s="118">
        <f t="shared" si="96"/>
        <v>1056.0649578052019</v>
      </c>
      <c r="CJ18" s="118"/>
      <c r="CK18" s="118"/>
      <c r="CL18" s="118">
        <v>0</v>
      </c>
      <c r="CM18" s="350">
        <v>0</v>
      </c>
      <c r="CN18" s="350">
        <v>0</v>
      </c>
      <c r="CO18" s="351">
        <v>0</v>
      </c>
      <c r="CP18" s="20">
        <f t="shared" si="26"/>
        <v>-1.0166666666666799</v>
      </c>
      <c r="CQ18" s="21">
        <f t="shared" si="27"/>
        <v>0</v>
      </c>
      <c r="CR18" s="21">
        <f t="shared" si="28"/>
        <v>185406.5333333333</v>
      </c>
      <c r="CS18" s="21">
        <f>AVERAGE(CQ5:CQ18)</f>
        <v>106640.73452380953</v>
      </c>
      <c r="CT18" s="21">
        <f>AVERAGE(CR5:CR18)</f>
        <v>154041.91190476195</v>
      </c>
      <c r="CU18" s="21">
        <f t="shared" ref="CU18:CU67" si="105">IF(CT18=0,100000,(CS18/CT18))</f>
        <v>0.69228389342337748</v>
      </c>
      <c r="CV18" s="342">
        <f t="shared" ref="CV18:CV67" si="106">100-(100/(1+CU18))</f>
        <v>40.908259903303417</v>
      </c>
      <c r="CW18" s="342">
        <v>0</v>
      </c>
      <c r="CX18" s="355">
        <v>0</v>
      </c>
      <c r="CY18" s="141">
        <f t="shared" si="29"/>
        <v>-4.3999999999998636</v>
      </c>
      <c r="CZ18" s="118">
        <f t="shared" si="30"/>
        <v>0</v>
      </c>
      <c r="DA18" s="118">
        <f t="shared" si="31"/>
        <v>3519105.3500000006</v>
      </c>
      <c r="DB18" s="118">
        <f>AVERAGE(CZ5:CZ18)</f>
        <v>1544169.9202380951</v>
      </c>
      <c r="DC18" s="118">
        <f>AVERAGE(DA5:DA18)</f>
        <v>1427478.1845238095</v>
      </c>
      <c r="DD18" s="118">
        <f t="shared" ref="DD18:DD67" si="107">IF(DC18=0,100000,(DB18/DC18))</f>
        <v>1.0817467734214186</v>
      </c>
      <c r="DE18" s="350">
        <f t="shared" ref="DE18:DE67" si="108">100-(100/(1+DD18))</f>
        <v>51.963417800500892</v>
      </c>
      <c r="DF18" s="350">
        <v>0</v>
      </c>
      <c r="DG18" s="351">
        <v>0</v>
      </c>
      <c r="DH18" s="135">
        <f t="shared" si="32"/>
        <v>1.1499999999999915</v>
      </c>
      <c r="DI18" s="20">
        <f t="shared" si="33"/>
        <v>2396.5999999999822</v>
      </c>
      <c r="DJ18" s="21">
        <v>0</v>
      </c>
      <c r="DK18" s="21">
        <v>0</v>
      </c>
      <c r="DL18" s="319">
        <v>0</v>
      </c>
      <c r="DM18" s="21">
        <v>0</v>
      </c>
      <c r="DN18" s="21">
        <v>0</v>
      </c>
      <c r="DO18" s="319">
        <v>0</v>
      </c>
      <c r="DP18" s="362">
        <v>0</v>
      </c>
      <c r="DQ18" s="141">
        <f t="shared" si="34"/>
        <v>20.5</v>
      </c>
      <c r="DR18" s="143">
        <f t="shared" si="35"/>
        <v>67055.5</v>
      </c>
      <c r="DS18" s="118">
        <v>0</v>
      </c>
      <c r="DT18" s="118">
        <v>0</v>
      </c>
      <c r="DU18" s="329">
        <v>0</v>
      </c>
      <c r="DV18" s="118">
        <v>0</v>
      </c>
      <c r="DW18" s="118">
        <v>0</v>
      </c>
      <c r="DX18" s="329">
        <v>0</v>
      </c>
      <c r="DY18" s="374">
        <v>0</v>
      </c>
      <c r="DZ18" s="135">
        <f t="shared" si="36"/>
        <v>1.1499999999999915</v>
      </c>
      <c r="EA18" s="21">
        <f t="shared" si="37"/>
        <v>2396.5999999999822</v>
      </c>
      <c r="EB18" s="21">
        <f t="shared" si="79"/>
        <v>4777.9305385263806</v>
      </c>
      <c r="EC18" s="21">
        <f t="shared" si="75"/>
        <v>2506.666998076927</v>
      </c>
      <c r="ED18" s="319">
        <f t="shared" si="76"/>
        <v>1.9060890585753627</v>
      </c>
      <c r="EE18" s="21">
        <f t="shared" si="63"/>
        <v>7624.356234301451</v>
      </c>
      <c r="EF18" s="21">
        <f>EE18*'Base Data'!$D$13</f>
        <v>5718.2671757260887</v>
      </c>
      <c r="EG18" s="363">
        <f>IF(INT(('Base Data'!$D$7)/EF18)=0,0,INT(('Base Data'!$D$7)/EF18))</f>
        <v>1</v>
      </c>
      <c r="EH18" s="314">
        <f t="shared" si="64"/>
        <v>2.1392694260105084E-2</v>
      </c>
      <c r="EI18" s="143">
        <f t="shared" si="38"/>
        <v>20.5</v>
      </c>
      <c r="EJ18" s="118">
        <f t="shared" si="39"/>
        <v>67055.5</v>
      </c>
      <c r="EK18" s="118">
        <f t="shared" si="80"/>
        <v>60331.996727976402</v>
      </c>
      <c r="EL18" s="118">
        <f t="shared" si="77"/>
        <v>2853.0517051751749</v>
      </c>
      <c r="EM18" s="329">
        <f t="shared" si="78"/>
        <v>21.146478564878329</v>
      </c>
      <c r="EN18" s="118">
        <f t="shared" si="65"/>
        <v>12687.887138926997</v>
      </c>
      <c r="EO18" s="118">
        <f>EN18*'Base Data'!$D$13</f>
        <v>9515.9153541952473</v>
      </c>
      <c r="EP18" s="375">
        <f>IF(INT(('Base Data'!$D$7)/EO18)=0,0,INT(('Base Data'!$D$7)/EO18))</f>
        <v>1</v>
      </c>
      <c r="EQ18" s="385">
        <f t="shared" si="66"/>
        <v>1.9725272669071713E-2</v>
      </c>
      <c r="ER18" s="396">
        <v>0</v>
      </c>
      <c r="ES18" s="403">
        <f t="shared" si="67"/>
        <v>-1.1115692577258633</v>
      </c>
      <c r="ET18" s="404">
        <v>0</v>
      </c>
      <c r="EU18" s="410">
        <f t="shared" si="68"/>
        <v>0.52569824486663996</v>
      </c>
      <c r="EV18" s="20">
        <f t="shared" si="8"/>
        <v>0.89999999999999147</v>
      </c>
      <c r="EW18" s="17">
        <f t="shared" si="9"/>
        <v>1.0078387458006623E-2</v>
      </c>
      <c r="EX18" s="388">
        <f t="shared" si="69"/>
        <v>1.5936846621579574E-2</v>
      </c>
      <c r="EY18" s="388">
        <f t="shared" si="103"/>
        <v>2.1239706829315572E-2</v>
      </c>
      <c r="EZ18" s="314" t="s">
        <v>20</v>
      </c>
      <c r="FA18" s="442">
        <f t="shared" si="10"/>
        <v>20.5</v>
      </c>
      <c r="FB18" s="18">
        <f t="shared" si="11"/>
        <v>1.8873135702448904E-2</v>
      </c>
      <c r="FC18" s="394">
        <f t="shared" si="70"/>
        <v>1.6805669994418966E-2</v>
      </c>
      <c r="FD18" s="394">
        <f t="shared" si="104"/>
        <v>1.6503089558691921E-2</v>
      </c>
      <c r="FE18" s="385" t="s">
        <v>20</v>
      </c>
      <c r="FF18" s="416">
        <f t="shared" si="49"/>
        <v>1</v>
      </c>
      <c r="FG18" s="417">
        <f t="shared" si="50"/>
        <v>2</v>
      </c>
      <c r="FH18" s="415">
        <v>0</v>
      </c>
      <c r="FI18" s="413" t="s">
        <v>20</v>
      </c>
      <c r="FJ18" s="404">
        <v>0</v>
      </c>
      <c r="FK18" s="414" t="s">
        <v>20</v>
      </c>
      <c r="FL18" s="415">
        <f t="shared" si="71"/>
        <v>35.789473684210584</v>
      </c>
      <c r="FM18" s="413" t="str">
        <f t="shared" si="72"/>
        <v>T-D</v>
      </c>
      <c r="FN18" s="404">
        <f t="shared" si="73"/>
        <v>57.073170731707165</v>
      </c>
      <c r="FO18" s="414" t="str">
        <f t="shared" si="74"/>
        <v>T-D</v>
      </c>
      <c r="FQ18" s="135">
        <f t="shared" si="51"/>
        <v>91.019712829589835</v>
      </c>
      <c r="FR18" s="21">
        <f t="shared" si="12"/>
        <v>91.019712829589835</v>
      </c>
      <c r="FS18" s="21">
        <f t="shared" si="13"/>
        <v>88.45</v>
      </c>
      <c r="FT18" s="182">
        <f t="shared" si="14"/>
        <v>89.049999999999983</v>
      </c>
      <c r="FU18" s="141">
        <f t="shared" si="52"/>
        <v>1079.0473556518555</v>
      </c>
      <c r="FV18" s="118">
        <f t="shared" si="15"/>
        <v>1088</v>
      </c>
      <c r="FW18" s="118">
        <f t="shared" si="16"/>
        <v>1067.5</v>
      </c>
      <c r="FX18" s="181">
        <f t="shared" si="17"/>
        <v>1078.4375</v>
      </c>
    </row>
    <row r="19" spans="1:180" x14ac:dyDescent="0.3">
      <c r="A19" s="94">
        <v>63.75</v>
      </c>
      <c r="B19" s="24">
        <f t="shared" si="86"/>
        <v>0.35416666666666669</v>
      </c>
      <c r="C19" s="25">
        <f t="shared" ca="1" si="81"/>
        <v>2999.3571811647935</v>
      </c>
      <c r="D19" s="26" t="s">
        <v>42</v>
      </c>
      <c r="E19" s="270">
        <f t="shared" ca="1" si="82"/>
        <v>94787.272334995869</v>
      </c>
      <c r="F19" s="265">
        <f t="shared" ca="1" si="83"/>
        <v>92690.028240996602</v>
      </c>
      <c r="G19" s="26" t="s">
        <v>43</v>
      </c>
      <c r="H19" s="25">
        <f t="shared" ca="1" si="84"/>
        <v>2922.2732018919296</v>
      </c>
      <c r="I19" s="24">
        <f t="shared" si="85"/>
        <v>0.35416666666666669</v>
      </c>
      <c r="J19" s="95">
        <v>63.75</v>
      </c>
      <c r="L19" s="283">
        <f t="shared" si="40"/>
        <v>16</v>
      </c>
      <c r="M19" s="290">
        <f>'[6]ASHOKLEY-I'!C35</f>
        <v>42816</v>
      </c>
      <c r="N19" s="7">
        <f>'[6]ASHOKLEY-I'!D35</f>
        <v>88.35</v>
      </c>
      <c r="O19" s="7">
        <f>'[6]ASHOKLEY-I'!E35</f>
        <v>88.7</v>
      </c>
      <c r="P19" s="7">
        <f>'[6]ASHOKLEY-I'!F35</f>
        <v>87</v>
      </c>
      <c r="Q19" s="7">
        <f>'[6]ASHOKLEY-I'!G35</f>
        <v>87.45</v>
      </c>
      <c r="R19" s="11">
        <f>'[6]ASHOKLEY-I'!H35</f>
        <v>2805</v>
      </c>
      <c r="S19" s="291">
        <f>'[7]ASIANPAINT-I'!C35</f>
        <v>42816</v>
      </c>
      <c r="T19" s="9">
        <f>'[7]ASIANPAINT-I'!D35</f>
        <v>1060.3499999999999</v>
      </c>
      <c r="U19" s="9">
        <f>'[7]ASIANPAINT-I'!E35</f>
        <v>1067.45</v>
      </c>
      <c r="V19" s="9">
        <f>'[7]ASIANPAINT-I'!F35</f>
        <v>1053</v>
      </c>
      <c r="W19" s="9">
        <f>'[7]ASIANPAINT-I'!G35</f>
        <v>1060.2</v>
      </c>
      <c r="X19" s="12">
        <f>'[7]ASIANPAINT-I'!H35</f>
        <v>2396</v>
      </c>
      <c r="Y19" s="115"/>
      <c r="Z19" s="122">
        <f t="shared" si="18"/>
        <v>-1.8518518518518424E-2</v>
      </c>
      <c r="AA19" s="19">
        <f t="shared" si="19"/>
        <v>-1.1053588918427228E-2</v>
      </c>
      <c r="AB19" s="305">
        <v>0</v>
      </c>
      <c r="AC19" s="306">
        <v>0</v>
      </c>
      <c r="AD19" s="466">
        <f t="shared" si="20"/>
        <v>-1.8692133012152407E-2</v>
      </c>
      <c r="AE19" s="17">
        <f t="shared" si="41"/>
        <v>1.0061079240793207E-2</v>
      </c>
      <c r="AF19" s="17">
        <f t="shared" si="42"/>
        <v>1.077569240247645E-2</v>
      </c>
      <c r="AG19" s="314">
        <f t="shared" si="43"/>
        <v>0.2058693142864372</v>
      </c>
      <c r="AH19" s="467">
        <f t="shared" si="21"/>
        <v>-1.1115133780391757E-2</v>
      </c>
      <c r="AI19" s="18">
        <f t="shared" si="53"/>
        <v>9.9317266277540849E-3</v>
      </c>
      <c r="AJ19" s="18">
        <f t="shared" si="22"/>
        <v>1.000667847576275E-2</v>
      </c>
      <c r="AK19" s="385">
        <f t="shared" si="44"/>
        <v>0.19117732384572217</v>
      </c>
      <c r="AL19" s="10">
        <f t="shared" si="23"/>
        <v>1.9351770660950163E-2</v>
      </c>
      <c r="AM19" s="17">
        <f t="shared" si="45"/>
        <v>1.6650980434872387E-2</v>
      </c>
      <c r="AN19" s="17">
        <f t="shared" si="46"/>
        <v>1.6825257862475497E-2</v>
      </c>
      <c r="AO19" s="314">
        <f t="shared" si="47"/>
        <v>0.32144610011735969</v>
      </c>
      <c r="AP19" s="448">
        <f t="shared" si="24"/>
        <v>1.3629393464357584E-2</v>
      </c>
      <c r="AQ19" s="18">
        <f t="shared" si="54"/>
        <v>1.3306507740784738E-2</v>
      </c>
      <c r="AR19" s="18">
        <f t="shared" si="25"/>
        <v>1.3326101505414353E-2</v>
      </c>
      <c r="AS19" s="385">
        <f t="shared" si="48"/>
        <v>0.25459481178217563</v>
      </c>
      <c r="AT19" s="6">
        <f t="shared" si="0"/>
        <v>247821.74999999997</v>
      </c>
      <c r="AU19" s="319">
        <v>0</v>
      </c>
      <c r="AV19" s="140">
        <f t="shared" si="1"/>
        <v>2540598.5999999996</v>
      </c>
      <c r="AW19" s="481">
        <v>0</v>
      </c>
      <c r="AX19" s="135">
        <f t="shared" si="97"/>
        <v>246853.41613590493</v>
      </c>
      <c r="AY19" s="21">
        <f t="shared" si="98"/>
        <v>2732.1832249383265</v>
      </c>
      <c r="AZ19" s="319">
        <f t="shared" si="99"/>
        <v>90.350242210229936</v>
      </c>
      <c r="BA19" s="21">
        <f t="shared" si="2"/>
        <v>87.716666666666654</v>
      </c>
      <c r="BB19" s="21">
        <f t="shared" si="3"/>
        <v>246045.24999999997</v>
      </c>
      <c r="BC19" s="21">
        <f t="shared" si="61"/>
        <v>219243.52594178845</v>
      </c>
      <c r="BD19" s="21">
        <f t="shared" si="57"/>
        <v>2451.4126832517627</v>
      </c>
      <c r="BE19" s="332">
        <f t="shared" si="58"/>
        <v>89.435584403914049</v>
      </c>
      <c r="BF19" s="141">
        <f t="shared" si="100"/>
        <v>2971582.4814980938</v>
      </c>
      <c r="BG19" s="118">
        <f t="shared" si="101"/>
        <v>2820.256111235703</v>
      </c>
      <c r="BH19" s="329">
        <f t="shared" si="102"/>
        <v>1053.6569603233966</v>
      </c>
      <c r="BI19" s="118">
        <f t="shared" si="4"/>
        <v>1060.2166666666665</v>
      </c>
      <c r="BJ19" s="118">
        <f t="shared" si="5"/>
        <v>2540279.1333333328</v>
      </c>
      <c r="BK19" s="118">
        <f t="shared" si="62"/>
        <v>2870808.0589522072</v>
      </c>
      <c r="BL19" s="118">
        <f t="shared" si="59"/>
        <v>2683.0802960253345</v>
      </c>
      <c r="BM19" s="325">
        <f t="shared" si="60"/>
        <v>1069.9672548767808</v>
      </c>
      <c r="BN19" s="6">
        <f t="shared" si="6"/>
        <v>245297.25</v>
      </c>
      <c r="BO19" s="331">
        <f t="shared" si="87"/>
        <v>90.663701195993028</v>
      </c>
      <c r="BP19" s="319">
        <f t="shared" si="55"/>
        <v>90.025741357437354</v>
      </c>
      <c r="BQ19" s="331">
        <v>0</v>
      </c>
      <c r="BR19" s="332">
        <f t="shared" si="88"/>
        <v>90.607790604101339</v>
      </c>
      <c r="BS19" s="140">
        <f t="shared" si="7"/>
        <v>2540239.2000000002</v>
      </c>
      <c r="BT19" s="339">
        <f t="shared" si="89"/>
        <v>1055.8837672082889</v>
      </c>
      <c r="BU19" s="329">
        <f t="shared" si="56"/>
        <v>1077.5177844178838</v>
      </c>
      <c r="BV19" s="339">
        <v>0</v>
      </c>
      <c r="BW19" s="325">
        <f t="shared" si="90"/>
        <v>1057.8221434962047</v>
      </c>
      <c r="BX19" s="21">
        <f t="shared" si="91"/>
        <v>241910.54886305722</v>
      </c>
      <c r="BY19" s="21">
        <f t="shared" si="92"/>
        <v>2685.5592737182401</v>
      </c>
      <c r="BZ19" s="21">
        <f t="shared" si="93"/>
        <v>90.07827577312213</v>
      </c>
      <c r="CA19" s="21">
        <v>0</v>
      </c>
      <c r="CB19" s="21">
        <v>0</v>
      </c>
      <c r="CC19" s="21">
        <v>0</v>
      </c>
      <c r="CD19" s="342">
        <v>0</v>
      </c>
      <c r="CE19" s="342">
        <v>0</v>
      </c>
      <c r="CF19" s="343">
        <v>0</v>
      </c>
      <c r="CG19" s="141">
        <f t="shared" si="94"/>
        <v>2928126.27138673</v>
      </c>
      <c r="CH19" s="118">
        <f t="shared" si="95"/>
        <v>2771.227154161269</v>
      </c>
      <c r="CI19" s="118">
        <f t="shared" si="96"/>
        <v>1056.6171982653466</v>
      </c>
      <c r="CJ19" s="118"/>
      <c r="CK19" s="118"/>
      <c r="CL19" s="118">
        <v>0</v>
      </c>
      <c r="CM19" s="350">
        <v>0</v>
      </c>
      <c r="CN19" s="350">
        <v>0</v>
      </c>
      <c r="CO19" s="351">
        <v>0</v>
      </c>
      <c r="CP19" s="20">
        <f t="shared" si="26"/>
        <v>-1.25</v>
      </c>
      <c r="CQ19" s="21">
        <f t="shared" si="27"/>
        <v>0</v>
      </c>
      <c r="CR19" s="21">
        <f t="shared" si="28"/>
        <v>246045.24999999997</v>
      </c>
      <c r="CS19" s="21">
        <f t="shared" ref="CS19:CT34" si="109">((CQ19-CS18)*(2/(1+14)))+CS18</f>
        <v>92421.969920634932</v>
      </c>
      <c r="CT19" s="21">
        <f t="shared" si="109"/>
        <v>166309.02365079368</v>
      </c>
      <c r="CU19" s="21">
        <f t="shared" si="105"/>
        <v>0.55572432506547198</v>
      </c>
      <c r="CV19" s="342">
        <f t="shared" si="106"/>
        <v>35.721259615972428</v>
      </c>
      <c r="CW19" s="342">
        <v>0</v>
      </c>
      <c r="CX19" s="355">
        <v>0</v>
      </c>
      <c r="CY19" s="141">
        <f t="shared" si="29"/>
        <v>-15.633333333333667</v>
      </c>
      <c r="CZ19" s="118">
        <f t="shared" si="30"/>
        <v>0</v>
      </c>
      <c r="DA19" s="118">
        <f t="shared" si="31"/>
        <v>2540279.1333333328</v>
      </c>
      <c r="DB19" s="118">
        <f t="shared" ref="DB19:DC34" si="110">((CZ19-DB18)*(2/(1+14)))+DB18</f>
        <v>1338280.5975396824</v>
      </c>
      <c r="DC19" s="118">
        <f t="shared" si="110"/>
        <v>1575851.6443650792</v>
      </c>
      <c r="DD19" s="118">
        <f t="shared" si="107"/>
        <v>0.84924275855858522</v>
      </c>
      <c r="DE19" s="350">
        <f t="shared" si="108"/>
        <v>45.923811496795466</v>
      </c>
      <c r="DF19" s="350">
        <v>0</v>
      </c>
      <c r="DG19" s="351">
        <v>0</v>
      </c>
      <c r="DH19" s="135">
        <f t="shared" si="32"/>
        <v>2.0999999999999943</v>
      </c>
      <c r="DI19" s="20">
        <f t="shared" si="33"/>
        <v>5890.4999999999836</v>
      </c>
      <c r="DJ19" s="21">
        <v>0</v>
      </c>
      <c r="DK19" s="21">
        <v>0</v>
      </c>
      <c r="DL19" s="319">
        <v>0</v>
      </c>
      <c r="DM19" s="21">
        <v>0</v>
      </c>
      <c r="DN19" s="21">
        <v>0</v>
      </c>
      <c r="DO19" s="319">
        <v>0</v>
      </c>
      <c r="DP19" s="362">
        <v>0</v>
      </c>
      <c r="DQ19" s="141">
        <f t="shared" si="34"/>
        <v>19.049999999999955</v>
      </c>
      <c r="DR19" s="143">
        <f t="shared" si="35"/>
        <v>45643.799999999894</v>
      </c>
      <c r="DS19" s="118">
        <v>0</v>
      </c>
      <c r="DT19" s="118">
        <v>0</v>
      </c>
      <c r="DU19" s="329">
        <v>0</v>
      </c>
      <c r="DV19" s="118">
        <v>0</v>
      </c>
      <c r="DW19" s="118">
        <v>0</v>
      </c>
      <c r="DX19" s="329">
        <v>0</v>
      </c>
      <c r="DY19" s="374">
        <v>0</v>
      </c>
      <c r="DZ19" s="135">
        <f t="shared" si="36"/>
        <v>2.0999999999999943</v>
      </c>
      <c r="EA19" s="21">
        <f t="shared" si="37"/>
        <v>5890.4999999999836</v>
      </c>
      <c r="EB19" s="21">
        <f t="shared" si="79"/>
        <v>5025.1681966316255</v>
      </c>
      <c r="EC19" s="21">
        <f t="shared" si="75"/>
        <v>2572.963220726499</v>
      </c>
      <c r="ED19" s="319">
        <f t="shared" si="76"/>
        <v>1.9530664706558551</v>
      </c>
      <c r="EE19" s="21">
        <f t="shared" si="63"/>
        <v>7812.265882623421</v>
      </c>
      <c r="EF19" s="21">
        <f>EE19*'Base Data'!$D$13</f>
        <v>5859.1994119675655</v>
      </c>
      <c r="EG19" s="363">
        <f>IF(INT(('Base Data'!$D$7)/EF19)=0,0,INT(('Base Data'!$D$7)/EF19))</f>
        <v>1</v>
      </c>
      <c r="EH19" s="314">
        <f t="shared" si="64"/>
        <v>2.2333521677025216E-2</v>
      </c>
      <c r="EI19" s="143">
        <f t="shared" si="38"/>
        <v>19.049999999999955</v>
      </c>
      <c r="EJ19" s="118">
        <f t="shared" si="39"/>
        <v>45643.799999999894</v>
      </c>
      <c r="EK19" s="118">
        <f t="shared" si="80"/>
        <v>57067.953010648293</v>
      </c>
      <c r="EL19" s="118">
        <f t="shared" si="77"/>
        <v>2751.4846595806916</v>
      </c>
      <c r="EM19" s="329">
        <f t="shared" si="78"/>
        <v>20.740785456294375</v>
      </c>
      <c r="EN19" s="118">
        <f t="shared" si="65"/>
        <v>12444.471273776626</v>
      </c>
      <c r="EO19" s="118">
        <f>EN19*'Base Data'!$D$13</f>
        <v>9333.3534553324698</v>
      </c>
      <c r="EP19" s="375">
        <f>IF(INT(('Base Data'!$D$7)/EO19)=0,0,INT(('Base Data'!$D$7)/EO19))</f>
        <v>1</v>
      </c>
      <c r="EQ19" s="385">
        <f t="shared" si="66"/>
        <v>1.9563087583752477E-2</v>
      </c>
      <c r="ER19" s="396">
        <v>0</v>
      </c>
      <c r="ES19" s="403">
        <f t="shared" si="67"/>
        <v>-1.8027206888411837</v>
      </c>
      <c r="ET19" s="404">
        <v>0</v>
      </c>
      <c r="EU19" s="410">
        <f t="shared" si="68"/>
        <v>-0.3215283246650622</v>
      </c>
      <c r="EV19" s="20">
        <f t="shared" si="8"/>
        <v>1.7000000000000028</v>
      </c>
      <c r="EW19" s="17">
        <f t="shared" si="9"/>
        <v>1.9241652518392788E-2</v>
      </c>
      <c r="EX19" s="388">
        <f t="shared" si="69"/>
        <v>1.6548454952383076E-2</v>
      </c>
      <c r="EY19" s="388">
        <f t="shared" si="103"/>
        <v>1.981385104013212E-2</v>
      </c>
      <c r="EZ19" s="314" t="s">
        <v>20</v>
      </c>
      <c r="FA19" s="442">
        <f t="shared" si="10"/>
        <v>14.450000000000045</v>
      </c>
      <c r="FB19" s="18">
        <f t="shared" si="11"/>
        <v>1.3627575800443294E-2</v>
      </c>
      <c r="FC19" s="394">
        <f t="shared" si="70"/>
        <v>1.6942230898426072E-2</v>
      </c>
      <c r="FD19" s="394">
        <f t="shared" si="104"/>
        <v>1.6206711007480282E-2</v>
      </c>
      <c r="FE19" s="385" t="s">
        <v>20</v>
      </c>
      <c r="FF19" s="416">
        <f t="shared" si="49"/>
        <v>1</v>
      </c>
      <c r="FG19" s="417">
        <f t="shared" si="50"/>
        <v>1</v>
      </c>
      <c r="FH19" s="415">
        <v>0</v>
      </c>
      <c r="FI19" s="413" t="s">
        <v>20</v>
      </c>
      <c r="FJ19" s="404">
        <v>0</v>
      </c>
      <c r="FK19" s="414" t="s">
        <v>20</v>
      </c>
      <c r="FL19" s="415">
        <f t="shared" si="71"/>
        <v>53.225806451612833</v>
      </c>
      <c r="FM19" s="413" t="str">
        <f t="shared" si="72"/>
        <v>T-R</v>
      </c>
      <c r="FN19" s="404">
        <f t="shared" si="73"/>
        <v>40.700583819849996</v>
      </c>
      <c r="FO19" s="414" t="str">
        <f t="shared" si="74"/>
        <v>T-D</v>
      </c>
      <c r="FQ19" s="135">
        <f t="shared" si="51"/>
        <v>90.034856414794916</v>
      </c>
      <c r="FR19" s="21">
        <f t="shared" si="12"/>
        <v>90.034856414794916</v>
      </c>
      <c r="FS19" s="21">
        <f t="shared" si="13"/>
        <v>87</v>
      </c>
      <c r="FT19" s="182">
        <f t="shared" si="14"/>
        <v>87.875</v>
      </c>
      <c r="FU19" s="141">
        <f t="shared" si="52"/>
        <v>1078.7424278259277</v>
      </c>
      <c r="FV19" s="118">
        <f t="shared" si="15"/>
        <v>1078.7424278259277</v>
      </c>
      <c r="FW19" s="118">
        <f t="shared" si="16"/>
        <v>1053</v>
      </c>
      <c r="FX19" s="181">
        <f t="shared" si="17"/>
        <v>1060.25</v>
      </c>
    </row>
    <row r="20" spans="1:180" x14ac:dyDescent="0.3">
      <c r="A20" s="96">
        <v>45</v>
      </c>
      <c r="B20" s="27">
        <f t="shared" si="86"/>
        <v>0.25</v>
      </c>
      <c r="C20" s="28">
        <f t="shared" ca="1" si="81"/>
        <v>2987.9583678321828</v>
      </c>
      <c r="D20" s="29" t="s">
        <v>44</v>
      </c>
      <c r="E20" s="271">
        <f t="shared" ca="1" si="82"/>
        <v>94471.989591958045</v>
      </c>
      <c r="F20" s="266">
        <f t="shared" ca="1" si="83"/>
        <v>92991.613463207759</v>
      </c>
      <c r="G20" s="30" t="s">
        <v>44</v>
      </c>
      <c r="H20" s="31">
        <f t="shared" ca="1" si="84"/>
        <v>2933.5461471689846</v>
      </c>
      <c r="I20" s="32">
        <f t="shared" si="85"/>
        <v>0.25</v>
      </c>
      <c r="J20" s="97">
        <v>45</v>
      </c>
      <c r="L20" s="283">
        <f t="shared" si="40"/>
        <v>17</v>
      </c>
      <c r="M20" s="290">
        <f>'[6]ASHOKLEY-I'!C36</f>
        <v>42817</v>
      </c>
      <c r="N20" s="7">
        <f>'[6]ASHOKLEY-I'!D36</f>
        <v>87.2</v>
      </c>
      <c r="O20" s="7">
        <f>'[6]ASHOKLEY-I'!E36</f>
        <v>88</v>
      </c>
      <c r="P20" s="7">
        <f>'[6]ASHOKLEY-I'!F36</f>
        <v>87.05</v>
      </c>
      <c r="Q20" s="7">
        <f>'[6]ASHOKLEY-I'!G36</f>
        <v>87.4</v>
      </c>
      <c r="R20" s="11">
        <f>'[6]ASHOKLEY-I'!H36</f>
        <v>2595</v>
      </c>
      <c r="S20" s="291">
        <f>'[7]ASIANPAINT-I'!C36</f>
        <v>42817</v>
      </c>
      <c r="T20" s="9">
        <f>'[7]ASIANPAINT-I'!D36</f>
        <v>1064.9000000000001</v>
      </c>
      <c r="U20" s="9">
        <f>'[7]ASIANPAINT-I'!E36</f>
        <v>1071.05</v>
      </c>
      <c r="V20" s="9">
        <f>'[7]ASIANPAINT-I'!F36</f>
        <v>1057.6500000000001</v>
      </c>
      <c r="W20" s="9">
        <f>'[7]ASIANPAINT-I'!G36</f>
        <v>1065.25</v>
      </c>
      <c r="X20" s="12">
        <f>'[7]ASIANPAINT-I'!H36</f>
        <v>1765</v>
      </c>
      <c r="Y20" s="115"/>
      <c r="Z20" s="122">
        <f t="shared" si="18"/>
        <v>-5.7175528873638828E-4</v>
      </c>
      <c r="AA20" s="19">
        <f t="shared" si="19"/>
        <v>4.7632522165628691E-3</v>
      </c>
      <c r="AB20" s="305">
        <v>0</v>
      </c>
      <c r="AC20" s="306">
        <v>0</v>
      </c>
      <c r="AD20" s="466">
        <f t="shared" si="20"/>
        <v>-5.7191880312130994E-4</v>
      </c>
      <c r="AE20" s="17">
        <f t="shared" si="41"/>
        <v>1.077569240247645E-2</v>
      </c>
      <c r="AF20" s="17">
        <f t="shared" si="42"/>
        <v>1.0448360608950246E-2</v>
      </c>
      <c r="AG20" s="314">
        <f t="shared" si="43"/>
        <v>0.19961564915194413</v>
      </c>
      <c r="AH20" s="467">
        <f t="shared" si="21"/>
        <v>4.7519438263156069E-3</v>
      </c>
      <c r="AI20" s="18">
        <f t="shared" si="53"/>
        <v>1.000667847576275E-2</v>
      </c>
      <c r="AJ20" s="18">
        <f t="shared" si="22"/>
        <v>9.7714101069376596E-3</v>
      </c>
      <c r="AK20" s="385">
        <f t="shared" si="44"/>
        <v>0.18668252797050036</v>
      </c>
      <c r="AL20" s="10">
        <f t="shared" si="23"/>
        <v>1.085414826400855E-2</v>
      </c>
      <c r="AM20" s="17">
        <f t="shared" si="45"/>
        <v>1.6825257862475497E-2</v>
      </c>
      <c r="AN20" s="17">
        <f t="shared" si="46"/>
        <v>1.652793683684357E-2</v>
      </c>
      <c r="AO20" s="314">
        <f t="shared" si="47"/>
        <v>0.31576578989843418</v>
      </c>
      <c r="AP20" s="448">
        <f t="shared" si="24"/>
        <v>1.2590009865665708E-2</v>
      </c>
      <c r="AQ20" s="18">
        <f t="shared" si="54"/>
        <v>1.3326101505414353E-2</v>
      </c>
      <c r="AR20" s="18">
        <f t="shared" si="25"/>
        <v>1.328308636415889E-2</v>
      </c>
      <c r="AS20" s="385">
        <f t="shared" si="48"/>
        <v>0.25377300866239083</v>
      </c>
      <c r="AT20" s="6">
        <f t="shared" si="0"/>
        <v>226284</v>
      </c>
      <c r="AU20" s="319">
        <v>0</v>
      </c>
      <c r="AV20" s="140">
        <f t="shared" si="1"/>
        <v>1879548.5000000002</v>
      </c>
      <c r="AW20" s="481">
        <v>0</v>
      </c>
      <c r="AX20" s="135">
        <f t="shared" si="97"/>
        <v>243914.92811648993</v>
      </c>
      <c r="AY20" s="21">
        <f t="shared" si="98"/>
        <v>2712.5856213757083</v>
      </c>
      <c r="AZ20" s="319">
        <f t="shared" si="99"/>
        <v>89.919715784966314</v>
      </c>
      <c r="BA20" s="21">
        <f t="shared" si="2"/>
        <v>87.483333333333348</v>
      </c>
      <c r="BB20" s="21">
        <f t="shared" si="3"/>
        <v>227019.25000000003</v>
      </c>
      <c r="BC20" s="21">
        <f t="shared" si="61"/>
        <v>221835.43396119232</v>
      </c>
      <c r="BD20" s="21">
        <f t="shared" si="57"/>
        <v>2499.2751221678418</v>
      </c>
      <c r="BE20" s="332">
        <f t="shared" si="58"/>
        <v>88.759909620824331</v>
      </c>
      <c r="BF20" s="141">
        <f t="shared" si="100"/>
        <v>2815577.6269983663</v>
      </c>
      <c r="BG20" s="118">
        <f t="shared" si="101"/>
        <v>2669.5052382020313</v>
      </c>
      <c r="BH20" s="329">
        <f t="shared" si="102"/>
        <v>1054.718899482182</v>
      </c>
      <c r="BI20" s="118">
        <f t="shared" si="4"/>
        <v>1064.6499999999999</v>
      </c>
      <c r="BJ20" s="118">
        <f t="shared" si="5"/>
        <v>1879107.2499999998</v>
      </c>
      <c r="BK20" s="118">
        <f t="shared" si="62"/>
        <v>2540241.1226348048</v>
      </c>
      <c r="BL20" s="118">
        <f t="shared" si="59"/>
        <v>2377.0535306835563</v>
      </c>
      <c r="BM20" s="325">
        <f t="shared" si="60"/>
        <v>1068.6512061444075</v>
      </c>
      <c r="BN20" s="6">
        <f t="shared" si="6"/>
        <v>226803.00000000003</v>
      </c>
      <c r="BO20" s="331">
        <f t="shared" si="87"/>
        <v>90.621047439068448</v>
      </c>
      <c r="BP20" s="319">
        <f t="shared" si="55"/>
        <v>88.809699856673149</v>
      </c>
      <c r="BQ20" s="331">
        <v>0</v>
      </c>
      <c r="BR20" s="332">
        <f t="shared" si="88"/>
        <v>90.583157324292017</v>
      </c>
      <c r="BS20" s="140">
        <f t="shared" si="7"/>
        <v>1880166.25</v>
      </c>
      <c r="BT20" s="339">
        <f t="shared" si="89"/>
        <v>1058.5974028100254</v>
      </c>
      <c r="BU20" s="329">
        <f t="shared" si="56"/>
        <v>1072.0920504622829</v>
      </c>
      <c r="BV20" s="339">
        <v>0</v>
      </c>
      <c r="BW20" s="325">
        <f t="shared" si="90"/>
        <v>1061.4544769899385</v>
      </c>
      <c r="BX20" s="21">
        <f t="shared" si="91"/>
        <v>239619.57980720227</v>
      </c>
      <c r="BY20" s="21">
        <f t="shared" si="92"/>
        <v>2671.6270777615878</v>
      </c>
      <c r="BZ20" s="21">
        <f t="shared" si="93"/>
        <v>89.690504263030078</v>
      </c>
      <c r="CA20" s="21">
        <v>0</v>
      </c>
      <c r="CB20" s="21">
        <v>0</v>
      </c>
      <c r="CC20" s="21">
        <v>0</v>
      </c>
      <c r="CD20" s="342">
        <v>0</v>
      </c>
      <c r="CE20" s="342">
        <v>0</v>
      </c>
      <c r="CF20" s="343">
        <v>0</v>
      </c>
      <c r="CG20" s="141">
        <f t="shared" si="94"/>
        <v>2766738.7296349253</v>
      </c>
      <c r="CH20" s="118">
        <f t="shared" si="95"/>
        <v>2616.4229765979967</v>
      </c>
      <c r="CI20" s="118">
        <f t="shared" si="96"/>
        <v>1057.4508611112935</v>
      </c>
      <c r="CJ20" s="118"/>
      <c r="CK20" s="118"/>
      <c r="CL20" s="118">
        <v>0</v>
      </c>
      <c r="CM20" s="350">
        <v>0</v>
      </c>
      <c r="CN20" s="350">
        <v>0</v>
      </c>
      <c r="CO20" s="351">
        <v>0</v>
      </c>
      <c r="CP20" s="20">
        <f t="shared" si="26"/>
        <v>-0.23333333333330586</v>
      </c>
      <c r="CQ20" s="21">
        <f t="shared" si="27"/>
        <v>0</v>
      </c>
      <c r="CR20" s="21">
        <f t="shared" si="28"/>
        <v>227019.25000000003</v>
      </c>
      <c r="CS20" s="21">
        <f t="shared" si="109"/>
        <v>80099.040597883606</v>
      </c>
      <c r="CT20" s="21">
        <f t="shared" si="109"/>
        <v>174403.72049735452</v>
      </c>
      <c r="CU20" s="21">
        <f t="shared" si="105"/>
        <v>0.45927369192275119</v>
      </c>
      <c r="CV20" s="342">
        <f t="shared" si="106"/>
        <v>31.472758980367033</v>
      </c>
      <c r="CW20" s="342">
        <v>0</v>
      </c>
      <c r="CX20" s="355">
        <v>0</v>
      </c>
      <c r="CY20" s="141">
        <f t="shared" si="29"/>
        <v>4.433333333333394</v>
      </c>
      <c r="CZ20" s="118">
        <f t="shared" si="30"/>
        <v>1879107.2499999998</v>
      </c>
      <c r="DA20" s="118">
        <f t="shared" si="31"/>
        <v>0</v>
      </c>
      <c r="DB20" s="118">
        <f t="shared" si="110"/>
        <v>1410390.8178677247</v>
      </c>
      <c r="DC20" s="118">
        <f t="shared" si="110"/>
        <v>1365738.0917830686</v>
      </c>
      <c r="DD20" s="118">
        <f t="shared" si="107"/>
        <v>1.0326949408186739</v>
      </c>
      <c r="DE20" s="350">
        <f t="shared" si="108"/>
        <v>50.804226452334895</v>
      </c>
      <c r="DF20" s="350">
        <v>0</v>
      </c>
      <c r="DG20" s="351">
        <v>0</v>
      </c>
      <c r="DH20" s="135">
        <f t="shared" si="32"/>
        <v>0.95000000000000284</v>
      </c>
      <c r="DI20" s="20">
        <f t="shared" si="33"/>
        <v>2465.2500000000073</v>
      </c>
      <c r="DJ20" s="21">
        <v>0</v>
      </c>
      <c r="DK20" s="21">
        <v>0</v>
      </c>
      <c r="DL20" s="319">
        <v>0</v>
      </c>
      <c r="DM20" s="21">
        <v>0</v>
      </c>
      <c r="DN20" s="21">
        <v>0</v>
      </c>
      <c r="DO20" s="319">
        <v>0</v>
      </c>
      <c r="DP20" s="362">
        <v>0</v>
      </c>
      <c r="DQ20" s="141">
        <f t="shared" si="34"/>
        <v>13.399999999999864</v>
      </c>
      <c r="DR20" s="143">
        <f t="shared" si="35"/>
        <v>23650.99999999976</v>
      </c>
      <c r="DS20" s="118">
        <v>0</v>
      </c>
      <c r="DT20" s="118">
        <v>0</v>
      </c>
      <c r="DU20" s="329">
        <v>0</v>
      </c>
      <c r="DV20" s="118">
        <v>0</v>
      </c>
      <c r="DW20" s="118">
        <v>0</v>
      </c>
      <c r="DX20" s="329">
        <v>0</v>
      </c>
      <c r="DY20" s="374">
        <v>0</v>
      </c>
      <c r="DZ20" s="135">
        <f t="shared" si="36"/>
        <v>0.95000000000000284</v>
      </c>
      <c r="EA20" s="21">
        <f t="shared" si="37"/>
        <v>2465.2500000000073</v>
      </c>
      <c r="EB20" s="21">
        <f t="shared" si="79"/>
        <v>4456.2974862690435</v>
      </c>
      <c r="EC20" s="21">
        <f t="shared" si="75"/>
        <v>2577.8602827872769</v>
      </c>
      <c r="ED20" s="319">
        <f t="shared" si="76"/>
        <v>1.7286807652161549</v>
      </c>
      <c r="EE20" s="21">
        <f t="shared" si="63"/>
        <v>6914.7230608646196</v>
      </c>
      <c r="EF20" s="21">
        <f>EE20*'Base Data'!$D$13</f>
        <v>5186.0422956484645</v>
      </c>
      <c r="EG20" s="363">
        <f>IF(INT(('Base Data'!$D$7)/EF20)=0,0,INT(('Base Data'!$D$7)/EF20))</f>
        <v>2</v>
      </c>
      <c r="EH20" s="314">
        <f t="shared" si="64"/>
        <v>1.9778956123754632E-2</v>
      </c>
      <c r="EI20" s="143">
        <f t="shared" si="38"/>
        <v>13.399999999999864</v>
      </c>
      <c r="EJ20" s="118">
        <f t="shared" si="39"/>
        <v>23650.99999999976</v>
      </c>
      <c r="EK20" s="118">
        <f t="shared" si="80"/>
        <v>49641.963452726399</v>
      </c>
      <c r="EL20" s="118">
        <f t="shared" si="77"/>
        <v>2532.2658463405378</v>
      </c>
      <c r="EM20" s="329">
        <f t="shared" si="78"/>
        <v>19.603772457171377</v>
      </c>
      <c r="EN20" s="118">
        <f t="shared" si="65"/>
        <v>11762.263474302827</v>
      </c>
      <c r="EO20" s="118">
        <f>EN20*'Base Data'!$D$13</f>
        <v>8821.6976057271204</v>
      </c>
      <c r="EP20" s="375">
        <f>IF(INT(('Base Data'!$D$7)/EO20)=0,0,INT(('Base Data'!$D$7)/EO20))</f>
        <v>1</v>
      </c>
      <c r="EQ20" s="385">
        <f t="shared" si="66"/>
        <v>1.8402978133932296E-2</v>
      </c>
      <c r="ER20" s="396">
        <v>0</v>
      </c>
      <c r="ES20" s="403">
        <f t="shared" si="67"/>
        <v>-1.8330452121411678</v>
      </c>
      <c r="ET20" s="404">
        <v>0</v>
      </c>
      <c r="EU20" s="410">
        <f t="shared" si="68"/>
        <v>-0.22848493454269772</v>
      </c>
      <c r="EV20" s="20">
        <f t="shared" si="8"/>
        <v>0.95000000000000284</v>
      </c>
      <c r="EW20" s="17">
        <f t="shared" si="9"/>
        <v>1.0894495412844069E-2</v>
      </c>
      <c r="EX20" s="388">
        <f t="shared" si="69"/>
        <v>1.6330596549318246E-2</v>
      </c>
      <c r="EY20" s="388">
        <f t="shared" si="103"/>
        <v>1.8769309576989832E-2</v>
      </c>
      <c r="EZ20" s="314" t="s">
        <v>20</v>
      </c>
      <c r="FA20" s="442">
        <f t="shared" si="10"/>
        <v>13.399999999999864</v>
      </c>
      <c r="FB20" s="18">
        <f t="shared" si="11"/>
        <v>1.2583341158794123E-2</v>
      </c>
      <c r="FC20" s="394">
        <f t="shared" si="70"/>
        <v>1.7360191854151164E-2</v>
      </c>
      <c r="FD20" s="394">
        <f t="shared" si="104"/>
        <v>1.5720954685963261E-2</v>
      </c>
      <c r="FE20" s="385" t="s">
        <v>20</v>
      </c>
      <c r="FF20" s="416">
        <f t="shared" si="49"/>
        <v>1</v>
      </c>
      <c r="FG20" s="417">
        <f t="shared" si="50"/>
        <v>1</v>
      </c>
      <c r="FH20" s="415">
        <v>0</v>
      </c>
      <c r="FI20" s="413" t="s">
        <v>20</v>
      </c>
      <c r="FJ20" s="404">
        <v>0</v>
      </c>
      <c r="FK20" s="414" t="s">
        <v>20</v>
      </c>
      <c r="FL20" s="415">
        <f t="shared" si="71"/>
        <v>61.290322580645082</v>
      </c>
      <c r="FM20" s="413" t="str">
        <f t="shared" si="72"/>
        <v>T-R</v>
      </c>
      <c r="FN20" s="404">
        <f t="shared" si="73"/>
        <v>16.578108395324044</v>
      </c>
      <c r="FO20" s="414" t="str">
        <f t="shared" si="74"/>
        <v>C-D</v>
      </c>
      <c r="FQ20" s="135">
        <f t="shared" si="51"/>
        <v>88.954928207397458</v>
      </c>
      <c r="FR20" s="21">
        <f t="shared" si="12"/>
        <v>88.954928207397458</v>
      </c>
      <c r="FS20" s="21">
        <f t="shared" si="13"/>
        <v>87.05</v>
      </c>
      <c r="FT20" s="182">
        <f t="shared" si="14"/>
        <v>87.412499999999994</v>
      </c>
      <c r="FU20" s="141">
        <f t="shared" si="52"/>
        <v>1069.4962139129639</v>
      </c>
      <c r="FV20" s="118">
        <f t="shared" si="15"/>
        <v>1071.05</v>
      </c>
      <c r="FW20" s="118">
        <f t="shared" si="16"/>
        <v>1057.6500000000001</v>
      </c>
      <c r="FX20" s="181">
        <f t="shared" si="17"/>
        <v>1064.7125000000001</v>
      </c>
    </row>
    <row r="21" spans="1:180" x14ac:dyDescent="0.3">
      <c r="A21" s="98">
        <f>90-A19</f>
        <v>26.25</v>
      </c>
      <c r="B21" s="33">
        <f t="shared" si="86"/>
        <v>0.14583333333333334</v>
      </c>
      <c r="C21" s="34">
        <f t="shared" ca="1" si="81"/>
        <v>2976.5812558884613</v>
      </c>
      <c r="D21" s="26" t="s">
        <v>43</v>
      </c>
      <c r="E21" s="272">
        <f t="shared" ca="1" si="82"/>
        <v>94159.084766483735</v>
      </c>
      <c r="F21" s="267">
        <f t="shared" ca="1" si="83"/>
        <v>93295.544050899072</v>
      </c>
      <c r="G21" s="26" t="s">
        <v>42</v>
      </c>
      <c r="H21" s="34">
        <f t="shared" ca="1" si="84"/>
        <v>2944.8407938349283</v>
      </c>
      <c r="I21" s="33">
        <f t="shared" si="85"/>
        <v>0.14583333333333334</v>
      </c>
      <c r="J21" s="99">
        <f>90-J19</f>
        <v>26.25</v>
      </c>
      <c r="L21" s="283">
        <f t="shared" si="40"/>
        <v>18</v>
      </c>
      <c r="M21" s="290">
        <f>'[6]ASHOKLEY-I'!C37</f>
        <v>42818</v>
      </c>
      <c r="N21" s="7">
        <f>'[6]ASHOKLEY-I'!D37</f>
        <v>87.95</v>
      </c>
      <c r="O21" s="7">
        <f>'[6]ASHOKLEY-I'!E37</f>
        <v>88.65</v>
      </c>
      <c r="P21" s="7">
        <f>'[6]ASHOKLEY-I'!F37</f>
        <v>87.05</v>
      </c>
      <c r="Q21" s="7">
        <f>'[6]ASHOKLEY-I'!G37</f>
        <v>87.4</v>
      </c>
      <c r="R21" s="11">
        <f>'[6]ASHOKLEY-I'!H37</f>
        <v>3822</v>
      </c>
      <c r="S21" s="291">
        <f>'[7]ASIANPAINT-I'!C37</f>
        <v>42818</v>
      </c>
      <c r="T21" s="9">
        <f>'[7]ASIANPAINT-I'!D37</f>
        <v>1067.75</v>
      </c>
      <c r="U21" s="9">
        <f>'[7]ASIANPAINT-I'!E37</f>
        <v>1074.7</v>
      </c>
      <c r="V21" s="9">
        <f>'[7]ASIANPAINT-I'!F37</f>
        <v>1064.6500000000001</v>
      </c>
      <c r="W21" s="9">
        <f>'[7]ASIANPAINT-I'!G37</f>
        <v>1066.95</v>
      </c>
      <c r="X21" s="12">
        <f>'[7]ASIANPAINT-I'!H37</f>
        <v>1509</v>
      </c>
      <c r="Y21" s="115"/>
      <c r="Z21" s="122">
        <f t="shared" si="18"/>
        <v>0</v>
      </c>
      <c r="AA21" s="19">
        <f t="shared" si="19"/>
        <v>1.5958695141985875E-3</v>
      </c>
      <c r="AB21" s="305">
        <v>0</v>
      </c>
      <c r="AC21" s="306">
        <v>0</v>
      </c>
      <c r="AD21" s="466">
        <f t="shared" si="20"/>
        <v>0</v>
      </c>
      <c r="AE21" s="17">
        <f t="shared" si="41"/>
        <v>1.0448360608950246E-2</v>
      </c>
      <c r="AF21" s="17">
        <f t="shared" si="42"/>
        <v>1.0130061453406064E-2</v>
      </c>
      <c r="AG21" s="314">
        <f t="shared" si="43"/>
        <v>0.19353455232379288</v>
      </c>
      <c r="AH21" s="467">
        <f t="shared" si="21"/>
        <v>1.5945974676125655E-3</v>
      </c>
      <c r="AI21" s="18">
        <f t="shared" si="53"/>
        <v>9.7714101069376596E-3</v>
      </c>
      <c r="AJ21" s="18">
        <f t="shared" si="22"/>
        <v>9.481782143368863E-3</v>
      </c>
      <c r="AK21" s="385">
        <f t="shared" si="44"/>
        <v>0.18114919349592104</v>
      </c>
      <c r="AL21" s="10">
        <f t="shared" si="23"/>
        <v>1.8213366306018958E-2</v>
      </c>
      <c r="AM21" s="17">
        <f t="shared" si="45"/>
        <v>1.652793683684357E-2</v>
      </c>
      <c r="AN21" s="17">
        <f t="shared" si="46"/>
        <v>1.6633879194269834E-2</v>
      </c>
      <c r="AO21" s="314">
        <f t="shared" si="47"/>
        <v>0.31778981579511079</v>
      </c>
      <c r="AP21" s="448">
        <f t="shared" si="24"/>
        <v>9.3954462147000824E-3</v>
      </c>
      <c r="AQ21" s="18">
        <f t="shared" si="54"/>
        <v>1.328308636415889E-2</v>
      </c>
      <c r="AR21" s="18">
        <f t="shared" si="25"/>
        <v>1.3082447207256024E-2</v>
      </c>
      <c r="AS21" s="385">
        <f t="shared" si="48"/>
        <v>0.24993980295199869</v>
      </c>
      <c r="AT21" s="6">
        <f t="shared" si="0"/>
        <v>336144.9</v>
      </c>
      <c r="AU21" s="319">
        <v>0</v>
      </c>
      <c r="AV21" s="140">
        <f t="shared" si="1"/>
        <v>1611234.75</v>
      </c>
      <c r="AW21" s="481">
        <v>0</v>
      </c>
      <c r="AX21" s="135">
        <f t="shared" si="97"/>
        <v>257090.63838556281</v>
      </c>
      <c r="AY21" s="21">
        <f t="shared" si="98"/>
        <v>2871.073389750607</v>
      </c>
      <c r="AZ21" s="319">
        <f t="shared" si="99"/>
        <v>89.545129463895293</v>
      </c>
      <c r="BA21" s="21">
        <f t="shared" si="2"/>
        <v>87.7</v>
      </c>
      <c r="BB21" s="21">
        <f t="shared" si="3"/>
        <v>335189.40000000002</v>
      </c>
      <c r="BC21" s="21">
        <f t="shared" si="61"/>
        <v>259620.08930746155</v>
      </c>
      <c r="BD21" s="21">
        <f t="shared" si="57"/>
        <v>2940.1834147785612</v>
      </c>
      <c r="BE21" s="332">
        <f t="shared" si="58"/>
        <v>88.300644103529422</v>
      </c>
      <c r="BF21" s="141">
        <f t="shared" si="100"/>
        <v>2643528.6445700284</v>
      </c>
      <c r="BG21" s="118">
        <f t="shared" si="101"/>
        <v>2503.7187756017411</v>
      </c>
      <c r="BH21" s="329">
        <f t="shared" si="102"/>
        <v>1055.8408837009601</v>
      </c>
      <c r="BI21" s="118">
        <f t="shared" si="4"/>
        <v>1068.7666666666667</v>
      </c>
      <c r="BJ21" s="118">
        <f t="shared" si="5"/>
        <v>1612768.9</v>
      </c>
      <c r="BK21" s="118">
        <f t="shared" si="62"/>
        <v>2231083.7150898697</v>
      </c>
      <c r="BL21" s="118">
        <f t="shared" si="59"/>
        <v>2087.7023537890377</v>
      </c>
      <c r="BM21" s="325">
        <f t="shared" si="60"/>
        <v>1068.6790245940015</v>
      </c>
      <c r="BN21" s="6">
        <f t="shared" si="6"/>
        <v>334042.80000000005</v>
      </c>
      <c r="BO21" s="331">
        <f t="shared" si="87"/>
        <v>90.640753803008423</v>
      </c>
      <c r="BP21" s="319">
        <f t="shared" si="55"/>
        <v>88.019942584445616</v>
      </c>
      <c r="BQ21" s="331">
        <v>0</v>
      </c>
      <c r="BR21" s="332">
        <f t="shared" si="88"/>
        <v>90.178956686779387</v>
      </c>
      <c r="BS21" s="140">
        <f t="shared" si="7"/>
        <v>1610027.55</v>
      </c>
      <c r="BT21" s="339">
        <f t="shared" si="89"/>
        <v>1061.4944030418251</v>
      </c>
      <c r="BU21" s="329">
        <f t="shared" si="56"/>
        <v>1069.752312987609</v>
      </c>
      <c r="BV21" s="339">
        <v>0</v>
      </c>
      <c r="BW21" s="325">
        <f t="shared" si="90"/>
        <v>1063.6758038022813</v>
      </c>
      <c r="BX21" s="21">
        <f t="shared" si="91"/>
        <v>254322.62906763269</v>
      </c>
      <c r="BY21" s="21">
        <f t="shared" si="92"/>
        <v>2848.6075273367283</v>
      </c>
      <c r="BZ21" s="21">
        <f t="shared" si="93"/>
        <v>89.27963105728665</v>
      </c>
      <c r="CA21" s="21">
        <v>0</v>
      </c>
      <c r="CB21" s="21">
        <v>0</v>
      </c>
      <c r="CC21" s="21">
        <v>0</v>
      </c>
      <c r="CD21" s="342">
        <v>0</v>
      </c>
      <c r="CE21" s="342">
        <v>0</v>
      </c>
      <c r="CF21" s="343">
        <v>0</v>
      </c>
      <c r="CG21" s="141">
        <f t="shared" si="94"/>
        <v>2589204.9096910907</v>
      </c>
      <c r="CH21" s="118">
        <f t="shared" si="95"/>
        <v>2446.0502109675358</v>
      </c>
      <c r="CI21" s="118">
        <f t="shared" si="96"/>
        <v>1058.5248406110722</v>
      </c>
      <c r="CJ21" s="118"/>
      <c r="CK21" s="118"/>
      <c r="CL21" s="118">
        <v>0</v>
      </c>
      <c r="CM21" s="350">
        <v>0</v>
      </c>
      <c r="CN21" s="350">
        <v>0</v>
      </c>
      <c r="CO21" s="351">
        <v>0</v>
      </c>
      <c r="CP21" s="20">
        <f t="shared" si="26"/>
        <v>0.21666666666665435</v>
      </c>
      <c r="CQ21" s="21">
        <f t="shared" si="27"/>
        <v>335189.40000000002</v>
      </c>
      <c r="CR21" s="21">
        <f t="shared" si="28"/>
        <v>0</v>
      </c>
      <c r="CS21" s="21">
        <f t="shared" si="109"/>
        <v>114111.08851816579</v>
      </c>
      <c r="CT21" s="21">
        <f t="shared" si="109"/>
        <v>151149.89109770724</v>
      </c>
      <c r="CU21" s="21">
        <f t="shared" si="105"/>
        <v>0.75495316397152679</v>
      </c>
      <c r="CV21" s="342">
        <f t="shared" si="106"/>
        <v>43.018422341428113</v>
      </c>
      <c r="CW21" s="342">
        <v>0</v>
      </c>
      <c r="CX21" s="355">
        <v>0</v>
      </c>
      <c r="CY21" s="141">
        <f t="shared" si="29"/>
        <v>4.1166666666667879</v>
      </c>
      <c r="CZ21" s="118">
        <f t="shared" si="30"/>
        <v>1612768.9</v>
      </c>
      <c r="DA21" s="118">
        <f t="shared" si="31"/>
        <v>0</v>
      </c>
      <c r="DB21" s="118">
        <f t="shared" si="110"/>
        <v>1437374.5621520281</v>
      </c>
      <c r="DC21" s="118">
        <f t="shared" si="110"/>
        <v>1183639.6795453262</v>
      </c>
      <c r="DD21" s="118">
        <f t="shared" si="107"/>
        <v>1.2143683478946647</v>
      </c>
      <c r="DE21" s="350">
        <f t="shared" si="108"/>
        <v>54.840394961806552</v>
      </c>
      <c r="DF21" s="350">
        <v>0</v>
      </c>
      <c r="DG21" s="351">
        <v>0</v>
      </c>
      <c r="DH21" s="135">
        <f t="shared" si="32"/>
        <v>1.6000000000000085</v>
      </c>
      <c r="DI21" s="20">
        <f t="shared" si="33"/>
        <v>6115.2000000000326</v>
      </c>
      <c r="DJ21" s="21">
        <v>0</v>
      </c>
      <c r="DK21" s="21">
        <v>0</v>
      </c>
      <c r="DL21" s="319">
        <v>0</v>
      </c>
      <c r="DM21" s="21">
        <v>0</v>
      </c>
      <c r="DN21" s="21">
        <v>0</v>
      </c>
      <c r="DO21" s="319">
        <v>0</v>
      </c>
      <c r="DP21" s="362">
        <v>0</v>
      </c>
      <c r="DQ21" s="141">
        <f t="shared" si="34"/>
        <v>10.049999999999955</v>
      </c>
      <c r="DR21" s="143">
        <f t="shared" si="35"/>
        <v>15165.449999999932</v>
      </c>
      <c r="DS21" s="118">
        <v>0</v>
      </c>
      <c r="DT21" s="118">
        <v>0</v>
      </c>
      <c r="DU21" s="329">
        <v>0</v>
      </c>
      <c r="DV21" s="118">
        <v>0</v>
      </c>
      <c r="DW21" s="118">
        <v>0</v>
      </c>
      <c r="DX21" s="329">
        <v>0</v>
      </c>
      <c r="DY21" s="374">
        <v>0</v>
      </c>
      <c r="DZ21" s="135">
        <f t="shared" si="36"/>
        <v>1.6000000000000085</v>
      </c>
      <c r="EA21" s="21">
        <f t="shared" si="37"/>
        <v>6115.2000000000326</v>
      </c>
      <c r="EB21" s="21">
        <f t="shared" si="79"/>
        <v>4824.9424893203741</v>
      </c>
      <c r="EC21" s="21">
        <f t="shared" si="75"/>
        <v>2854.3357755012153</v>
      </c>
      <c r="ED21" s="319">
        <f t="shared" si="76"/>
        <v>1.6903906438523773</v>
      </c>
      <c r="EE21" s="21">
        <f t="shared" si="63"/>
        <v>6761.562575409509</v>
      </c>
      <c r="EF21" s="21">
        <f>EE21*'Base Data'!$D$13</f>
        <v>5071.1719315571318</v>
      </c>
      <c r="EG21" s="363">
        <f>IF(INT(('Base Data'!$D$7)/EF21)=0,0,INT(('Base Data'!$D$7)/EF21))</f>
        <v>2</v>
      </c>
      <c r="EH21" s="314">
        <f t="shared" si="64"/>
        <v>1.93408540486542E-2</v>
      </c>
      <c r="EI21" s="143">
        <f t="shared" si="38"/>
        <v>10.049999999999955</v>
      </c>
      <c r="EJ21" s="118">
        <f t="shared" si="39"/>
        <v>15165.449999999932</v>
      </c>
      <c r="EK21" s="118">
        <f t="shared" si="80"/>
        <v>41980.516018787181</v>
      </c>
      <c r="EL21" s="118">
        <f t="shared" si="77"/>
        <v>2304.8734360426406</v>
      </c>
      <c r="EM21" s="329">
        <f t="shared" si="78"/>
        <v>18.213805305885149</v>
      </c>
      <c r="EN21" s="118">
        <f t="shared" si="65"/>
        <v>10928.28318353109</v>
      </c>
      <c r="EO21" s="118">
        <f>EN21*'Base Data'!$D$13</f>
        <v>8196.2123876483165</v>
      </c>
      <c r="EP21" s="375">
        <f>IF(INT(('Base Data'!$D$7)/EO21)=0,0,INT(('Base Data'!$D$7)/EO21))</f>
        <v>1</v>
      </c>
      <c r="EQ21" s="385">
        <f t="shared" si="66"/>
        <v>1.7070908014326022E-2</v>
      </c>
      <c r="ER21" s="396">
        <v>0</v>
      </c>
      <c r="ES21" s="403">
        <f t="shared" si="67"/>
        <v>-1.6293078033074972</v>
      </c>
      <c r="ET21" s="404">
        <v>0</v>
      </c>
      <c r="EU21" s="410">
        <f t="shared" si="68"/>
        <v>-0.34326068761222361</v>
      </c>
      <c r="EV21" s="20">
        <f t="shared" si="8"/>
        <v>1.6000000000000085</v>
      </c>
      <c r="EW21" s="17">
        <f t="shared" si="9"/>
        <v>1.8192154633314479E-2</v>
      </c>
      <c r="EX21" s="388">
        <f t="shared" si="69"/>
        <v>1.595515935674342E-2</v>
      </c>
      <c r="EY21" s="388">
        <f t="shared" si="103"/>
        <v>1.7203417407670403E-2</v>
      </c>
      <c r="EZ21" s="314" t="s">
        <v>20</v>
      </c>
      <c r="FA21" s="442">
        <f t="shared" si="10"/>
        <v>10.049999999999955</v>
      </c>
      <c r="FB21" s="18">
        <f t="shared" si="11"/>
        <v>9.4123156169514909E-3</v>
      </c>
      <c r="FC21" s="394">
        <f t="shared" si="70"/>
        <v>1.4348968092339274E-2</v>
      </c>
      <c r="FD21" s="394">
        <f t="shared" si="104"/>
        <v>1.5199367767989596E-2</v>
      </c>
      <c r="FE21" s="385" t="s">
        <v>20</v>
      </c>
      <c r="FF21" s="416">
        <f t="shared" si="49"/>
        <v>1</v>
      </c>
      <c r="FG21" s="417">
        <f t="shared" si="50"/>
        <v>2</v>
      </c>
      <c r="FH21" s="415">
        <v>0</v>
      </c>
      <c r="FI21" s="413" t="s">
        <v>20</v>
      </c>
      <c r="FJ21" s="404">
        <v>0</v>
      </c>
      <c r="FK21" s="414" t="s">
        <v>20</v>
      </c>
      <c r="FL21" s="415">
        <f t="shared" si="71"/>
        <v>66.129032258064385</v>
      </c>
      <c r="FM21" s="413" t="str">
        <f t="shared" si="72"/>
        <v>T-R</v>
      </c>
      <c r="FN21" s="404">
        <f t="shared" si="73"/>
        <v>4.0455120101135549</v>
      </c>
      <c r="FO21" s="414" t="str">
        <f t="shared" si="74"/>
        <v>C-D</v>
      </c>
      <c r="FQ21" s="135">
        <f t="shared" si="51"/>
        <v>88.183714103698719</v>
      </c>
      <c r="FR21" s="21">
        <f t="shared" si="12"/>
        <v>88.65</v>
      </c>
      <c r="FS21" s="21">
        <f t="shared" si="13"/>
        <v>87.05</v>
      </c>
      <c r="FT21" s="182">
        <f t="shared" si="14"/>
        <v>87.762500000000017</v>
      </c>
      <c r="FU21" s="141">
        <f t="shared" si="52"/>
        <v>1067.104356956482</v>
      </c>
      <c r="FV21" s="118">
        <f t="shared" si="15"/>
        <v>1074.7</v>
      </c>
      <c r="FW21" s="118">
        <f t="shared" si="16"/>
        <v>1064.6500000000001</v>
      </c>
      <c r="FX21" s="181">
        <f t="shared" si="17"/>
        <v>1068.5125</v>
      </c>
    </row>
    <row r="22" spans="1:180" x14ac:dyDescent="0.3">
      <c r="A22" s="100">
        <f>90-A18</f>
        <v>18.75</v>
      </c>
      <c r="B22" s="35">
        <f t="shared" si="86"/>
        <v>0.10416666666666667</v>
      </c>
      <c r="C22" s="36">
        <f t="shared" ca="1" si="81"/>
        <v>2972.0364874998609</v>
      </c>
      <c r="D22" s="37" t="s">
        <v>41</v>
      </c>
      <c r="E22" s="270">
        <f t="shared" ca="1" si="82"/>
        <v>94034.587134114568</v>
      </c>
      <c r="F22" s="265">
        <f t="shared" ca="1" si="83"/>
        <v>93417.774507407274</v>
      </c>
      <c r="G22" s="37" t="s">
        <v>40</v>
      </c>
      <c r="H22" s="36">
        <f t="shared" ca="1" si="84"/>
        <v>2949.3647288901957</v>
      </c>
      <c r="I22" s="33">
        <f t="shared" si="85"/>
        <v>0.10416666666666667</v>
      </c>
      <c r="J22" s="101">
        <f>90-J18</f>
        <v>18.75</v>
      </c>
      <c r="L22" s="283">
        <f t="shared" si="40"/>
        <v>19</v>
      </c>
      <c r="M22" s="290">
        <f>'[6]ASHOKLEY-I'!C38</f>
        <v>42821</v>
      </c>
      <c r="N22" s="7">
        <f>'[6]ASHOKLEY-I'!D38</f>
        <v>87.15</v>
      </c>
      <c r="O22" s="7">
        <f>'[6]ASHOKLEY-I'!E38</f>
        <v>87.45</v>
      </c>
      <c r="P22" s="7">
        <f>'[6]ASHOKLEY-I'!F38</f>
        <v>85.65</v>
      </c>
      <c r="Q22" s="7">
        <f>'[6]ASHOKLEY-I'!G38</f>
        <v>86</v>
      </c>
      <c r="R22" s="11">
        <f>'[6]ASHOKLEY-I'!H38</f>
        <v>5633</v>
      </c>
      <c r="S22" s="291">
        <f>'[7]ASIANPAINT-I'!C38</f>
        <v>42821</v>
      </c>
      <c r="T22" s="9">
        <f>'[7]ASIANPAINT-I'!D38</f>
        <v>1062.75</v>
      </c>
      <c r="U22" s="9">
        <f>'[7]ASIANPAINT-I'!E38</f>
        <v>1064.5</v>
      </c>
      <c r="V22" s="9">
        <f>'[7]ASIANPAINT-I'!F38</f>
        <v>1043.05</v>
      </c>
      <c r="W22" s="9">
        <f>'[7]ASIANPAINT-I'!G38</f>
        <v>1045.95</v>
      </c>
      <c r="X22" s="12">
        <f>'[7]ASIANPAINT-I'!H38</f>
        <v>2865</v>
      </c>
      <c r="Y22" s="115"/>
      <c r="Z22" s="122">
        <f t="shared" si="18"/>
        <v>-1.6018306636155669E-2</v>
      </c>
      <c r="AA22" s="19">
        <f t="shared" si="19"/>
        <v>-1.9682271896527485E-2</v>
      </c>
      <c r="AB22" s="305">
        <v>0</v>
      </c>
      <c r="AC22" s="306">
        <v>0</v>
      </c>
      <c r="AD22" s="466">
        <f t="shared" si="20"/>
        <v>-1.6147986407982103E-2</v>
      </c>
      <c r="AE22" s="17">
        <f t="shared" si="41"/>
        <v>1.0130061453406064E-2</v>
      </c>
      <c r="AF22" s="17">
        <f t="shared" si="42"/>
        <v>1.0588035901371834E-2</v>
      </c>
      <c r="AG22" s="314">
        <f t="shared" si="43"/>
        <v>0.20228414186680496</v>
      </c>
      <c r="AH22" s="467">
        <f t="shared" si="21"/>
        <v>-1.9878547512504448E-2</v>
      </c>
      <c r="AI22" s="18">
        <f t="shared" si="53"/>
        <v>9.481782143368863E-3</v>
      </c>
      <c r="AJ22" s="18">
        <f t="shared" si="22"/>
        <v>1.0402852499668729E-2</v>
      </c>
      <c r="AK22" s="385">
        <f t="shared" si="44"/>
        <v>0.19874621794489658</v>
      </c>
      <c r="AL22" s="10">
        <f t="shared" si="23"/>
        <v>2.0797976694482134E-2</v>
      </c>
      <c r="AM22" s="17">
        <f t="shared" si="45"/>
        <v>1.6633879194269834E-2</v>
      </c>
      <c r="AN22" s="17">
        <f t="shared" si="46"/>
        <v>1.6912661851454441E-2</v>
      </c>
      <c r="AO22" s="314">
        <f t="shared" si="47"/>
        <v>0.32311595098215046</v>
      </c>
      <c r="AP22" s="448">
        <f t="shared" si="24"/>
        <v>2.0356091843238819E-2</v>
      </c>
      <c r="AQ22" s="18">
        <f t="shared" si="54"/>
        <v>1.3082447207256024E-2</v>
      </c>
      <c r="AR22" s="18">
        <f t="shared" si="25"/>
        <v>1.3628779400321398E-2</v>
      </c>
      <c r="AS22" s="385">
        <f t="shared" si="48"/>
        <v>0.26037746484490182</v>
      </c>
      <c r="AT22" s="6">
        <f t="shared" si="0"/>
        <v>490915.95</v>
      </c>
      <c r="AU22" s="319">
        <v>0</v>
      </c>
      <c r="AV22" s="140">
        <f t="shared" si="1"/>
        <v>3044778.75</v>
      </c>
      <c r="AW22" s="481">
        <v>0</v>
      </c>
      <c r="AX22" s="135">
        <f t="shared" si="97"/>
        <v>290494.25433048239</v>
      </c>
      <c r="AY22" s="21">
        <f t="shared" si="98"/>
        <v>3265.6343340719486</v>
      </c>
      <c r="AZ22" s="319">
        <f t="shared" si="99"/>
        <v>88.954924101457038</v>
      </c>
      <c r="BA22" s="21">
        <f t="shared" si="2"/>
        <v>86.366666666666674</v>
      </c>
      <c r="BB22" s="21">
        <f t="shared" si="3"/>
        <v>486503.43333333335</v>
      </c>
      <c r="BC22" s="21">
        <f t="shared" si="61"/>
        <v>335247.87064941879</v>
      </c>
      <c r="BD22" s="21">
        <f t="shared" si="57"/>
        <v>3837.7889431857075</v>
      </c>
      <c r="BE22" s="332">
        <f t="shared" si="58"/>
        <v>87.354431317719403</v>
      </c>
      <c r="BF22" s="141">
        <f t="shared" si="100"/>
        <v>2700850.0882028816</v>
      </c>
      <c r="BG22" s="118">
        <f t="shared" si="101"/>
        <v>2555.3303790872064</v>
      </c>
      <c r="BH22" s="329">
        <f t="shared" si="102"/>
        <v>1056.9475126608311</v>
      </c>
      <c r="BI22" s="118">
        <f t="shared" si="4"/>
        <v>1051.1666666666667</v>
      </c>
      <c r="BJ22" s="118">
        <f t="shared" si="5"/>
        <v>3011592.5</v>
      </c>
      <c r="BK22" s="118">
        <f t="shared" si="62"/>
        <v>2491253.310059913</v>
      </c>
      <c r="BL22" s="118">
        <f t="shared" si="59"/>
        <v>2346.8015691926917</v>
      </c>
      <c r="BM22" s="325">
        <f t="shared" si="60"/>
        <v>1061.5526011076058</v>
      </c>
      <c r="BN22" s="6">
        <f t="shared" si="6"/>
        <v>484438</v>
      </c>
      <c r="BO22" s="331">
        <f t="shared" si="87"/>
        <v>89.771477210164889</v>
      </c>
      <c r="BP22" s="319">
        <f t="shared" si="55"/>
        <v>87.151865517444946</v>
      </c>
      <c r="BQ22" s="331">
        <v>0</v>
      </c>
      <c r="BR22" s="332">
        <f t="shared" si="88"/>
        <v>89.213765176320592</v>
      </c>
      <c r="BS22" s="140">
        <f t="shared" si="7"/>
        <v>2996646.75</v>
      </c>
      <c r="BT22" s="339">
        <f t="shared" si="89"/>
        <v>1062.5382178504267</v>
      </c>
      <c r="BU22" s="329">
        <f t="shared" si="56"/>
        <v>1061.6428341521262</v>
      </c>
      <c r="BV22" s="339">
        <v>0</v>
      </c>
      <c r="BW22" s="325">
        <f t="shared" si="90"/>
        <v>1063.405722551714</v>
      </c>
      <c r="BX22" s="21">
        <f t="shared" si="91"/>
        <v>290042.75280081743</v>
      </c>
      <c r="BY22" s="21">
        <f t="shared" si="92"/>
        <v>3276.9756000541547</v>
      </c>
      <c r="BZ22" s="21">
        <f t="shared" si="93"/>
        <v>88.509280568346085</v>
      </c>
      <c r="CA22" s="21">
        <v>0</v>
      </c>
      <c r="CB22" s="21">
        <v>0</v>
      </c>
      <c r="CC22" s="21">
        <v>0</v>
      </c>
      <c r="CD22" s="342">
        <v>0</v>
      </c>
      <c r="CE22" s="342">
        <v>0</v>
      </c>
      <c r="CF22" s="343">
        <v>0</v>
      </c>
      <c r="CG22" s="141">
        <f t="shared" si="94"/>
        <v>2654187.6158924615</v>
      </c>
      <c r="CH22" s="118">
        <f t="shared" si="95"/>
        <v>2510.5040246648382</v>
      </c>
      <c r="CI22" s="118">
        <f t="shared" si="96"/>
        <v>1057.2329658968802</v>
      </c>
      <c r="CJ22" s="118"/>
      <c r="CK22" s="118"/>
      <c r="CL22" s="118">
        <v>0</v>
      </c>
      <c r="CM22" s="350">
        <v>0</v>
      </c>
      <c r="CN22" s="350">
        <v>0</v>
      </c>
      <c r="CO22" s="351">
        <v>0</v>
      </c>
      <c r="CP22" s="20">
        <f t="shared" si="26"/>
        <v>-1.3333333333333286</v>
      </c>
      <c r="CQ22" s="21">
        <f t="shared" si="27"/>
        <v>0</v>
      </c>
      <c r="CR22" s="21">
        <f t="shared" si="28"/>
        <v>486503.43333333335</v>
      </c>
      <c r="CS22" s="21">
        <f t="shared" si="109"/>
        <v>98896.27671574369</v>
      </c>
      <c r="CT22" s="21">
        <f t="shared" si="109"/>
        <v>195863.69672912406</v>
      </c>
      <c r="CU22" s="21">
        <f t="shared" si="105"/>
        <v>0.50492397706817227</v>
      </c>
      <c r="CV22" s="342">
        <f t="shared" si="106"/>
        <v>33.551460722410937</v>
      </c>
      <c r="CW22" s="342">
        <v>0</v>
      </c>
      <c r="CX22" s="355">
        <v>0</v>
      </c>
      <c r="CY22" s="141">
        <f t="shared" si="29"/>
        <v>-17.599999999999909</v>
      </c>
      <c r="CZ22" s="118">
        <f t="shared" si="30"/>
        <v>0</v>
      </c>
      <c r="DA22" s="118">
        <f t="shared" si="31"/>
        <v>3011592.5</v>
      </c>
      <c r="DB22" s="118">
        <f t="shared" si="110"/>
        <v>1245724.6205317576</v>
      </c>
      <c r="DC22" s="118">
        <f t="shared" si="110"/>
        <v>1427366.7222726159</v>
      </c>
      <c r="DD22" s="118">
        <f t="shared" si="107"/>
        <v>0.872743213845106</v>
      </c>
      <c r="DE22" s="350">
        <f t="shared" si="108"/>
        <v>46.602396281185527</v>
      </c>
      <c r="DF22" s="350">
        <v>0</v>
      </c>
      <c r="DG22" s="351">
        <v>0</v>
      </c>
      <c r="DH22" s="135">
        <f t="shared" si="32"/>
        <v>1.7999999999999972</v>
      </c>
      <c r="DI22" s="20">
        <f t="shared" si="33"/>
        <v>10139.399999999983</v>
      </c>
      <c r="DJ22" s="21">
        <v>0</v>
      </c>
      <c r="DK22" s="21">
        <v>0</v>
      </c>
      <c r="DL22" s="319">
        <v>0</v>
      </c>
      <c r="DM22" s="21">
        <v>0</v>
      </c>
      <c r="DN22" s="21">
        <v>0</v>
      </c>
      <c r="DO22" s="319">
        <v>0</v>
      </c>
      <c r="DP22" s="362">
        <v>0</v>
      </c>
      <c r="DQ22" s="141">
        <f t="shared" si="34"/>
        <v>23.900000000000091</v>
      </c>
      <c r="DR22" s="143">
        <f t="shared" si="35"/>
        <v>68473.500000000262</v>
      </c>
      <c r="DS22" s="118">
        <v>0</v>
      </c>
      <c r="DT22" s="118">
        <v>0</v>
      </c>
      <c r="DU22" s="329">
        <v>0</v>
      </c>
      <c r="DV22" s="118">
        <v>0</v>
      </c>
      <c r="DW22" s="118">
        <v>0</v>
      </c>
      <c r="DX22" s="329">
        <v>0</v>
      </c>
      <c r="DY22" s="374">
        <v>0</v>
      </c>
      <c r="DZ22" s="135">
        <f t="shared" si="36"/>
        <v>1.7999999999999972</v>
      </c>
      <c r="EA22" s="21">
        <f t="shared" si="37"/>
        <v>10139.399999999983</v>
      </c>
      <c r="EB22" s="21">
        <f t="shared" si="79"/>
        <v>6005.9330472491765</v>
      </c>
      <c r="EC22" s="21">
        <f t="shared" si="75"/>
        <v>3471.8167142787229</v>
      </c>
      <c r="ED22" s="319">
        <f t="shared" si="76"/>
        <v>1.7299107474620594</v>
      </c>
      <c r="EE22" s="21">
        <f t="shared" si="63"/>
        <v>6919.6429898482374</v>
      </c>
      <c r="EF22" s="21">
        <f>EE22*'Base Data'!$D$13</f>
        <v>5189.7322423861779</v>
      </c>
      <c r="EG22" s="363">
        <f>IF(INT(('Base Data'!$D$7)/EF22)=0,0,INT(('Base Data'!$D$7)/EF22))</f>
        <v>2</v>
      </c>
      <c r="EH22" s="314">
        <f t="shared" si="64"/>
        <v>2.0115241249558831E-2</v>
      </c>
      <c r="EI22" s="143">
        <f t="shared" si="38"/>
        <v>23.900000000000091</v>
      </c>
      <c r="EJ22" s="118">
        <f t="shared" si="39"/>
        <v>68473.500000000262</v>
      </c>
      <c r="EK22" s="118">
        <f t="shared" si="80"/>
        <v>47867.845792390086</v>
      </c>
      <c r="EL22" s="118">
        <f t="shared" si="77"/>
        <v>2429.3460058109426</v>
      </c>
      <c r="EM22" s="329">
        <f t="shared" si="78"/>
        <v>19.704004978249802</v>
      </c>
      <c r="EN22" s="118">
        <f t="shared" si="65"/>
        <v>11822.402986949881</v>
      </c>
      <c r="EO22" s="118">
        <f>EN22*'Base Data'!$D$13</f>
        <v>8866.8022402124116</v>
      </c>
      <c r="EP22" s="375">
        <f>IF(INT(('Base Data'!$D$7)/EO22)=0,0,INT(('Base Data'!$D$7)/EO22))</f>
        <v>1</v>
      </c>
      <c r="EQ22" s="385">
        <f t="shared" si="66"/>
        <v>1.8838381354988099E-2</v>
      </c>
      <c r="ER22" s="396">
        <v>0</v>
      </c>
      <c r="ES22" s="403">
        <f t="shared" si="67"/>
        <v>-2.1135483465630007</v>
      </c>
      <c r="ET22" s="404">
        <v>0</v>
      </c>
      <c r="EU22" s="410">
        <f t="shared" si="68"/>
        <v>-1.3975585181995784</v>
      </c>
      <c r="EV22" s="20">
        <f t="shared" si="8"/>
        <v>1.7999999999999972</v>
      </c>
      <c r="EW22" s="17">
        <f t="shared" si="9"/>
        <v>2.0654044750430259E-2</v>
      </c>
      <c r="EX22" s="388">
        <f t="shared" si="69"/>
        <v>1.6474208679920138E-2</v>
      </c>
      <c r="EY22" s="388">
        <f t="shared" si="103"/>
        <v>1.7082788371378714E-2</v>
      </c>
      <c r="EZ22" s="314" t="s">
        <v>20</v>
      </c>
      <c r="FA22" s="442">
        <f t="shared" si="10"/>
        <v>21.450000000000045</v>
      </c>
      <c r="FB22" s="18">
        <f t="shared" si="11"/>
        <v>2.0183486238532153E-2</v>
      </c>
      <c r="FC22" s="394">
        <f t="shared" si="70"/>
        <v>1.5168635469833266E-2</v>
      </c>
      <c r="FD22" s="394">
        <f t="shared" si="104"/>
        <v>1.607858304231569E-2</v>
      </c>
      <c r="FE22" s="385" t="s">
        <v>20</v>
      </c>
      <c r="FF22" s="416">
        <f t="shared" si="49"/>
        <v>1</v>
      </c>
      <c r="FG22" s="417">
        <f t="shared" si="50"/>
        <v>2</v>
      </c>
      <c r="FH22" s="415">
        <v>0</v>
      </c>
      <c r="FI22" s="413" t="s">
        <v>20</v>
      </c>
      <c r="FJ22" s="404">
        <v>0</v>
      </c>
      <c r="FK22" s="414" t="s">
        <v>20</v>
      </c>
      <c r="FL22" s="415">
        <f t="shared" si="71"/>
        <v>83.443708609271511</v>
      </c>
      <c r="FM22" s="413" t="str">
        <f t="shared" si="72"/>
        <v>T-R</v>
      </c>
      <c r="FN22" s="404">
        <f t="shared" si="73"/>
        <v>85.959595959595873</v>
      </c>
      <c r="FO22" s="414" t="str">
        <f t="shared" si="74"/>
        <v>T-R</v>
      </c>
      <c r="FQ22" s="135">
        <f t="shared" si="51"/>
        <v>87.973107051849368</v>
      </c>
      <c r="FR22" s="21">
        <f t="shared" si="12"/>
        <v>87.973107051849368</v>
      </c>
      <c r="FS22" s="21">
        <f t="shared" si="13"/>
        <v>85.65</v>
      </c>
      <c r="FT22" s="182">
        <f t="shared" si="14"/>
        <v>86.5625</v>
      </c>
      <c r="FU22" s="141">
        <f t="shared" si="52"/>
        <v>1067.808428478241</v>
      </c>
      <c r="FV22" s="118">
        <f t="shared" si="15"/>
        <v>1067.808428478241</v>
      </c>
      <c r="FW22" s="118">
        <f t="shared" si="16"/>
        <v>1043.05</v>
      </c>
      <c r="FX22" s="181">
        <f t="shared" si="17"/>
        <v>1054.0625</v>
      </c>
    </row>
    <row r="23" spans="1:180" x14ac:dyDescent="0.3">
      <c r="A23" s="96">
        <f>90-A17</f>
        <v>15</v>
      </c>
      <c r="B23" s="27">
        <f t="shared" si="86"/>
        <v>8.3333333333333329E-2</v>
      </c>
      <c r="C23" s="28">
        <f t="shared" ca="1" si="81"/>
        <v>2969.765405388895</v>
      </c>
      <c r="D23" s="29" t="s">
        <v>39</v>
      </c>
      <c r="E23" s="271">
        <f t="shared" ca="1" si="82"/>
        <v>93972.480450449075</v>
      </c>
      <c r="F23" s="266">
        <f t="shared" ca="1" si="83"/>
        <v>93479.031000124902</v>
      </c>
      <c r="G23" s="30" t="s">
        <v>38</v>
      </c>
      <c r="H23" s="31">
        <f t="shared" ca="1" si="84"/>
        <v>2951.6279985011615</v>
      </c>
      <c r="I23" s="32">
        <f t="shared" si="85"/>
        <v>8.3333333333333329E-2</v>
      </c>
      <c r="J23" s="97">
        <f>90-J17</f>
        <v>15</v>
      </c>
      <c r="L23" s="283">
        <f t="shared" si="40"/>
        <v>20</v>
      </c>
      <c r="M23" s="290">
        <f>'[6]ASHOKLEY-I'!C39</f>
        <v>42822</v>
      </c>
      <c r="N23" s="7">
        <f>'[6]ASHOKLEY-I'!D39</f>
        <v>86.85</v>
      </c>
      <c r="O23" s="7">
        <f>'[6]ASHOKLEY-I'!E39</f>
        <v>87</v>
      </c>
      <c r="P23" s="7">
        <f>'[6]ASHOKLEY-I'!F39</f>
        <v>86.2</v>
      </c>
      <c r="Q23" s="7">
        <f>'[6]ASHOKLEY-I'!G39</f>
        <v>86.45</v>
      </c>
      <c r="R23" s="11">
        <f>'[6]ASHOKLEY-I'!H39</f>
        <v>4743</v>
      </c>
      <c r="S23" s="291">
        <f>'[7]ASIANPAINT-I'!C39</f>
        <v>42822</v>
      </c>
      <c r="T23" s="9">
        <f>'[7]ASIANPAINT-I'!D39</f>
        <v>1048.75</v>
      </c>
      <c r="U23" s="9">
        <f>'[7]ASIANPAINT-I'!E39</f>
        <v>1062</v>
      </c>
      <c r="V23" s="9">
        <f>'[7]ASIANPAINT-I'!F39</f>
        <v>1048.75</v>
      </c>
      <c r="W23" s="9">
        <f>'[7]ASIANPAINT-I'!G39</f>
        <v>1059.7</v>
      </c>
      <c r="X23" s="12">
        <f>'[7]ASIANPAINT-I'!H39</f>
        <v>2657</v>
      </c>
      <c r="Y23" s="115"/>
      <c r="Z23" s="122">
        <f t="shared" si="18"/>
        <v>5.2325581395349166E-3</v>
      </c>
      <c r="AA23" s="19">
        <f t="shared" si="19"/>
        <v>1.3145943878770496E-2</v>
      </c>
      <c r="AB23" s="305">
        <v>0</v>
      </c>
      <c r="AC23" s="306">
        <v>0</v>
      </c>
      <c r="AD23" s="466">
        <f t="shared" si="20"/>
        <v>5.2189158757918281E-3</v>
      </c>
      <c r="AE23" s="17">
        <f t="shared" si="41"/>
        <v>1.0588035901371834E-2</v>
      </c>
      <c r="AF23" s="17">
        <f t="shared" si="42"/>
        <v>1.0344773509793728E-2</v>
      </c>
      <c r="AG23" s="314">
        <f t="shared" si="43"/>
        <v>0.19763662040133012</v>
      </c>
      <c r="AH23" s="467">
        <f t="shared" si="21"/>
        <v>1.3060285845660834E-2</v>
      </c>
      <c r="AI23" s="18">
        <f t="shared" si="53"/>
        <v>1.0402852499668729E-2</v>
      </c>
      <c r="AJ23" s="18">
        <f t="shared" si="22"/>
        <v>1.0581136219910137E-2</v>
      </c>
      <c r="AK23" s="385">
        <f t="shared" si="44"/>
        <v>0.20215232363756636</v>
      </c>
      <c r="AL23" s="10">
        <f t="shared" si="23"/>
        <v>9.2379409849363599E-3</v>
      </c>
      <c r="AM23" s="17">
        <f t="shared" si="45"/>
        <v>1.6912661851454441E-2</v>
      </c>
      <c r="AN23" s="17">
        <f t="shared" si="46"/>
        <v>1.6552831064987457E-2</v>
      </c>
      <c r="AO23" s="314">
        <f t="shared" si="47"/>
        <v>0.31624139345932406</v>
      </c>
      <c r="AP23" s="448">
        <f t="shared" si="24"/>
        <v>1.255494402046831E-2</v>
      </c>
      <c r="AQ23" s="18">
        <f t="shared" si="54"/>
        <v>1.3628779400321398E-2</v>
      </c>
      <c r="AR23" s="18">
        <f t="shared" si="25"/>
        <v>1.3566746383252433E-2</v>
      </c>
      <c r="AS23" s="385">
        <f t="shared" si="48"/>
        <v>0.25919232571786327</v>
      </c>
      <c r="AT23" s="6">
        <f t="shared" si="0"/>
        <v>411929.55</v>
      </c>
      <c r="AU23" s="319">
        <v>0</v>
      </c>
      <c r="AV23" s="140">
        <f t="shared" si="1"/>
        <v>2786528.75</v>
      </c>
      <c r="AW23" s="481">
        <v>0</v>
      </c>
      <c r="AX23" s="135">
        <f t="shared" si="97"/>
        <v>307842.15371184202</v>
      </c>
      <c r="AY23" s="21">
        <f t="shared" si="98"/>
        <v>3476.6865720616702</v>
      </c>
      <c r="AZ23" s="319">
        <f t="shared" si="99"/>
        <v>88.544695453893638</v>
      </c>
      <c r="BA23" s="21">
        <f t="shared" si="2"/>
        <v>86.55</v>
      </c>
      <c r="BB23" s="21">
        <f t="shared" si="3"/>
        <v>410506.64999999997</v>
      </c>
      <c r="BC23" s="21">
        <f t="shared" si="61"/>
        <v>360334.13043294585</v>
      </c>
      <c r="BD23" s="21">
        <f t="shared" si="57"/>
        <v>4139.5259621238047</v>
      </c>
      <c r="BE23" s="332">
        <f t="shared" si="58"/>
        <v>87.047196642794972</v>
      </c>
      <c r="BF23" s="141">
        <f t="shared" si="100"/>
        <v>2713089.8970310413</v>
      </c>
      <c r="BG23" s="118">
        <f t="shared" si="101"/>
        <v>2569.8546106461768</v>
      </c>
      <c r="BH23" s="329">
        <f t="shared" si="102"/>
        <v>1055.7367275920908</v>
      </c>
      <c r="BI23" s="118">
        <f t="shared" si="4"/>
        <v>1056.8166666666666</v>
      </c>
      <c r="BJ23" s="118">
        <f t="shared" si="5"/>
        <v>2807961.8833333333</v>
      </c>
      <c r="BK23" s="118">
        <f t="shared" si="62"/>
        <v>2596822.8344843863</v>
      </c>
      <c r="BL23" s="118">
        <f t="shared" si="59"/>
        <v>2450.2010461284613</v>
      </c>
      <c r="BM23" s="325">
        <f t="shared" si="60"/>
        <v>1059.8407173923954</v>
      </c>
      <c r="BN23" s="6">
        <f t="shared" si="6"/>
        <v>410032.35000000003</v>
      </c>
      <c r="BO23" s="331">
        <f t="shared" si="87"/>
        <v>89.232317073170734</v>
      </c>
      <c r="BP23" s="319">
        <f t="shared" si="55"/>
        <v>86.774844371874693</v>
      </c>
      <c r="BQ23" s="331">
        <v>0</v>
      </c>
      <c r="BR23" s="332">
        <f t="shared" si="88"/>
        <v>88.682822456602935</v>
      </c>
      <c r="BS23" s="140">
        <f t="shared" si="7"/>
        <v>2815622.9</v>
      </c>
      <c r="BT23" s="339">
        <f t="shared" si="89"/>
        <v>1063.7124067323577</v>
      </c>
      <c r="BU23" s="329">
        <f t="shared" si="56"/>
        <v>1058.1399794496069</v>
      </c>
      <c r="BV23" s="339">
        <v>0</v>
      </c>
      <c r="BW23" s="325">
        <f t="shared" si="90"/>
        <v>1065.2358233183345</v>
      </c>
      <c r="BX23" s="21">
        <f t="shared" si="91"/>
        <v>308575.66006223013</v>
      </c>
      <c r="BY23" s="21">
        <f t="shared" si="92"/>
        <v>3502.5178154304385</v>
      </c>
      <c r="BZ23" s="21">
        <f t="shared" si="93"/>
        <v>88.101096503432927</v>
      </c>
      <c r="CA23" s="21">
        <v>0</v>
      </c>
      <c r="CB23" s="21">
        <v>0</v>
      </c>
      <c r="CC23" s="21">
        <v>0</v>
      </c>
      <c r="CD23" s="342">
        <v>0</v>
      </c>
      <c r="CE23" s="342">
        <v>0</v>
      </c>
      <c r="CF23" s="343">
        <v>0</v>
      </c>
      <c r="CG23" s="141">
        <f t="shared" si="94"/>
        <v>2677845.1954987496</v>
      </c>
      <c r="CH23" s="118">
        <f t="shared" si="95"/>
        <v>2533.0418670240938</v>
      </c>
      <c r="CI23" s="118">
        <f t="shared" si="96"/>
        <v>1057.1657856744293</v>
      </c>
      <c r="CJ23" s="118"/>
      <c r="CK23" s="118"/>
      <c r="CL23" s="118">
        <v>0</v>
      </c>
      <c r="CM23" s="350">
        <v>0</v>
      </c>
      <c r="CN23" s="350">
        <v>0</v>
      </c>
      <c r="CO23" s="351">
        <v>0</v>
      </c>
      <c r="CP23" s="20">
        <f t="shared" si="26"/>
        <v>0.18333333333332291</v>
      </c>
      <c r="CQ23" s="21">
        <f t="shared" si="27"/>
        <v>410506.64999999997</v>
      </c>
      <c r="CR23" s="21">
        <f t="shared" si="28"/>
        <v>0</v>
      </c>
      <c r="CS23" s="21">
        <f t="shared" si="109"/>
        <v>140444.32648697786</v>
      </c>
      <c r="CT23" s="21">
        <f t="shared" si="109"/>
        <v>169748.53716524085</v>
      </c>
      <c r="CU23" s="21">
        <f t="shared" si="105"/>
        <v>0.82736693247767457</v>
      </c>
      <c r="CV23" s="342">
        <f t="shared" si="106"/>
        <v>45.276453118032045</v>
      </c>
      <c r="CW23" s="342">
        <v>0</v>
      </c>
      <c r="CX23" s="355">
        <v>0</v>
      </c>
      <c r="CY23" s="141">
        <f t="shared" si="29"/>
        <v>5.6499999999998636</v>
      </c>
      <c r="CZ23" s="118">
        <f t="shared" si="30"/>
        <v>2807961.8833333333</v>
      </c>
      <c r="DA23" s="118">
        <f t="shared" si="31"/>
        <v>0</v>
      </c>
      <c r="DB23" s="118">
        <f t="shared" si="110"/>
        <v>1454022.9222386344</v>
      </c>
      <c r="DC23" s="118">
        <f t="shared" si="110"/>
        <v>1237051.1593029338</v>
      </c>
      <c r="DD23" s="118">
        <f t="shared" si="107"/>
        <v>1.1753943329699978</v>
      </c>
      <c r="DE23" s="350">
        <f t="shared" si="108"/>
        <v>54.031322742542443</v>
      </c>
      <c r="DF23" s="350">
        <v>0</v>
      </c>
      <c r="DG23" s="351">
        <v>0</v>
      </c>
      <c r="DH23" s="135">
        <f t="shared" si="32"/>
        <v>1</v>
      </c>
      <c r="DI23" s="20">
        <f t="shared" si="33"/>
        <v>4743</v>
      </c>
      <c r="DJ23" s="21">
        <v>0</v>
      </c>
      <c r="DK23" s="21">
        <v>0</v>
      </c>
      <c r="DL23" s="319">
        <v>0</v>
      </c>
      <c r="DM23" s="21">
        <v>0</v>
      </c>
      <c r="DN23" s="21">
        <v>0</v>
      </c>
      <c r="DO23" s="319">
        <v>0</v>
      </c>
      <c r="DP23" s="362">
        <v>0</v>
      </c>
      <c r="DQ23" s="141">
        <f t="shared" si="34"/>
        <v>16.049999999999955</v>
      </c>
      <c r="DR23" s="143">
        <f t="shared" si="35"/>
        <v>42644.849999999882</v>
      </c>
      <c r="DS23" s="118">
        <v>0</v>
      </c>
      <c r="DT23" s="118">
        <v>0</v>
      </c>
      <c r="DU23" s="329">
        <v>0</v>
      </c>
      <c r="DV23" s="118">
        <v>0</v>
      </c>
      <c r="DW23" s="118">
        <v>0</v>
      </c>
      <c r="DX23" s="329">
        <v>0</v>
      </c>
      <c r="DY23" s="374">
        <v>0</v>
      </c>
      <c r="DZ23" s="135">
        <f t="shared" si="36"/>
        <v>1</v>
      </c>
      <c r="EA23" s="21">
        <f t="shared" si="37"/>
        <v>4743</v>
      </c>
      <c r="EB23" s="21">
        <f t="shared" si="79"/>
        <v>5725.2812589715813</v>
      </c>
      <c r="EC23" s="21">
        <f t="shared" si="75"/>
        <v>3754.3018888834513</v>
      </c>
      <c r="ED23" s="319">
        <f t="shared" si="76"/>
        <v>1.5249922431449192</v>
      </c>
      <c r="EE23" s="21">
        <f t="shared" si="63"/>
        <v>6099.968972579677</v>
      </c>
      <c r="EF23" s="21">
        <f>EE23*'Base Data'!$D$13</f>
        <v>4574.9767294347575</v>
      </c>
      <c r="EG23" s="363">
        <f>IF(INT(('Base Data'!$D$7)/EF23)=0,0,INT(('Base Data'!$D$7)/EF23))</f>
        <v>2</v>
      </c>
      <c r="EH23" s="314">
        <f t="shared" si="64"/>
        <v>1.7640164755869509E-2</v>
      </c>
      <c r="EI23" s="143">
        <f t="shared" si="38"/>
        <v>16.049999999999955</v>
      </c>
      <c r="EJ23" s="118">
        <f t="shared" si="39"/>
        <v>42644.849999999882</v>
      </c>
      <c r="EK23" s="118">
        <f t="shared" si="80"/>
        <v>46707.180060747822</v>
      </c>
      <c r="EL23" s="118">
        <f t="shared" si="77"/>
        <v>2479.9357822973998</v>
      </c>
      <c r="EM23" s="329">
        <f t="shared" si="78"/>
        <v>18.834028039822279</v>
      </c>
      <c r="EN23" s="118">
        <f t="shared" si="65"/>
        <v>11300.416823893367</v>
      </c>
      <c r="EO23" s="118">
        <f>EN23*'Base Data'!$D$13</f>
        <v>8475.3126179200262</v>
      </c>
      <c r="EP23" s="375">
        <f>IF(INT(('Base Data'!$D$7)/EO23)=0,0,INT(('Base Data'!$D$7)/EO23))</f>
        <v>1</v>
      </c>
      <c r="EQ23" s="385">
        <f t="shared" si="66"/>
        <v>1.7772981069946472E-2</v>
      </c>
      <c r="ER23" s="396">
        <v>0</v>
      </c>
      <c r="ES23" s="403">
        <f t="shared" si="67"/>
        <v>-1.6844347973223672</v>
      </c>
      <c r="ET23" s="404">
        <v>0</v>
      </c>
      <c r="EU23" s="410">
        <f t="shared" si="68"/>
        <v>-0.59577448380176445</v>
      </c>
      <c r="EV23" s="20">
        <f t="shared" si="8"/>
        <v>0.79999999999999716</v>
      </c>
      <c r="EW23" s="17">
        <f t="shared" si="9"/>
        <v>9.2112838226827542E-3</v>
      </c>
      <c r="EX23" s="388">
        <f t="shared" si="69"/>
        <v>1.5867912289177874E-2</v>
      </c>
      <c r="EY23" s="388">
        <f t="shared" si="103"/>
        <v>1.5822184931561609E-2</v>
      </c>
      <c r="EZ23" s="314" t="s">
        <v>20</v>
      </c>
      <c r="FA23" s="442">
        <f t="shared" si="10"/>
        <v>13.25</v>
      </c>
      <c r="FB23" s="18">
        <f t="shared" si="11"/>
        <v>1.263408820023838E-2</v>
      </c>
      <c r="FC23" s="394">
        <f t="shared" si="70"/>
        <v>1.4575801526689476E-2</v>
      </c>
      <c r="FD23" s="394">
        <f t="shared" si="104"/>
        <v>1.5606628228485473E-2</v>
      </c>
      <c r="FE23" s="385" t="s">
        <v>20</v>
      </c>
      <c r="FF23" s="416">
        <f t="shared" si="49"/>
        <v>1</v>
      </c>
      <c r="FG23" s="417">
        <f t="shared" si="50"/>
        <v>1</v>
      </c>
      <c r="FH23" s="415">
        <v>0</v>
      </c>
      <c r="FI23" s="413" t="s">
        <v>20</v>
      </c>
      <c r="FJ23" s="404">
        <v>0</v>
      </c>
      <c r="FK23" s="414" t="s">
        <v>20</v>
      </c>
      <c r="FL23" s="415">
        <f t="shared" si="71"/>
        <v>66.90647482014387</v>
      </c>
      <c r="FM23" s="413" t="str">
        <f t="shared" si="72"/>
        <v>T-D</v>
      </c>
      <c r="FN23" s="404">
        <f t="shared" si="73"/>
        <v>41.414141414141412</v>
      </c>
      <c r="FO23" s="414" t="str">
        <f t="shared" si="74"/>
        <v>T-D</v>
      </c>
      <c r="FQ23" s="135">
        <f t="shared" si="51"/>
        <v>87.267803525924677</v>
      </c>
      <c r="FR23" s="21">
        <f t="shared" si="12"/>
        <v>87.267803525924677</v>
      </c>
      <c r="FS23" s="21">
        <f t="shared" si="13"/>
        <v>86.2</v>
      </c>
      <c r="FT23" s="182">
        <f t="shared" si="14"/>
        <v>86.625</v>
      </c>
      <c r="FU23" s="141">
        <f t="shared" si="52"/>
        <v>1060.9354642391204</v>
      </c>
      <c r="FV23" s="118">
        <f t="shared" si="15"/>
        <v>1062</v>
      </c>
      <c r="FW23" s="118">
        <f t="shared" si="16"/>
        <v>1048.75</v>
      </c>
      <c r="FX23" s="181">
        <f t="shared" si="17"/>
        <v>1054.8</v>
      </c>
    </row>
    <row r="24" spans="1:180" x14ac:dyDescent="0.3">
      <c r="A24" s="100">
        <f>90-A16</f>
        <v>7.5</v>
      </c>
      <c r="B24" s="35">
        <f t="shared" si="86"/>
        <v>4.1666666666666664E-2</v>
      </c>
      <c r="C24" s="36">
        <f t="shared" ca="1" si="81"/>
        <v>2965.2258453336281</v>
      </c>
      <c r="D24" s="37" t="s">
        <v>37</v>
      </c>
      <c r="E24" s="270">
        <f t="shared" ca="1" si="82"/>
        <v>93848.551076888907</v>
      </c>
      <c r="F24" s="265">
        <f t="shared" ca="1" si="83"/>
        <v>93601.826785754587</v>
      </c>
      <c r="G24" s="37" t="s">
        <v>36</v>
      </c>
      <c r="H24" s="36">
        <f t="shared" ca="1" si="84"/>
        <v>2956.157141889762</v>
      </c>
      <c r="I24" s="35">
        <f t="shared" si="85"/>
        <v>4.1666666666666664E-2</v>
      </c>
      <c r="J24" s="101">
        <f>90-J16</f>
        <v>7.5</v>
      </c>
      <c r="L24" s="283">
        <f t="shared" si="40"/>
        <v>21</v>
      </c>
      <c r="M24" s="290">
        <f>'[6]ASHOKLEY-I'!C40</f>
        <v>42823</v>
      </c>
      <c r="N24" s="7">
        <f>'[6]ASHOKLEY-I'!D40</f>
        <v>86.45</v>
      </c>
      <c r="O24" s="7">
        <f>'[6]ASHOKLEY-I'!E40</f>
        <v>87.5</v>
      </c>
      <c r="P24" s="7">
        <f>'[6]ASHOKLEY-I'!F40</f>
        <v>80.75</v>
      </c>
      <c r="Q24" s="7">
        <f>'[6]ASHOKLEY-I'!G40</f>
        <v>84.2</v>
      </c>
      <c r="R24" s="11">
        <f>'[6]ASHOKLEY-I'!H40</f>
        <v>11989</v>
      </c>
      <c r="S24" s="291">
        <f>'[7]ASIANPAINT-I'!C40</f>
        <v>42823</v>
      </c>
      <c r="T24" s="9">
        <f>'[7]ASIANPAINT-I'!D40</f>
        <v>1061.2</v>
      </c>
      <c r="U24" s="9">
        <f>'[7]ASIANPAINT-I'!E40</f>
        <v>1080.5</v>
      </c>
      <c r="V24" s="9">
        <f>'[7]ASIANPAINT-I'!F40</f>
        <v>1061.0999999999999</v>
      </c>
      <c r="W24" s="9">
        <f>'[7]ASIANPAINT-I'!G40</f>
        <v>1068.1500000000001</v>
      </c>
      <c r="X24" s="12">
        <f>'[7]ASIANPAINT-I'!H40</f>
        <v>4674</v>
      </c>
      <c r="Y24" s="115"/>
      <c r="Z24" s="122">
        <f t="shared" si="18"/>
        <v>-2.6026604973973393E-2</v>
      </c>
      <c r="AA24" s="19">
        <f t="shared" si="19"/>
        <v>7.9739548928942586E-3</v>
      </c>
      <c r="AB24" s="305">
        <v>0</v>
      </c>
      <c r="AC24" s="306">
        <v>0</v>
      </c>
      <c r="AD24" s="466">
        <f t="shared" si="20"/>
        <v>-2.6371290881018424E-2</v>
      </c>
      <c r="AE24" s="17">
        <f t="shared" si="41"/>
        <v>1.0344773509793728E-2</v>
      </c>
      <c r="AF24" s="17">
        <f t="shared" si="42"/>
        <v>1.1929802076927822E-2</v>
      </c>
      <c r="AG24" s="314">
        <f t="shared" si="43"/>
        <v>0.22791854865731101</v>
      </c>
      <c r="AH24" s="467">
        <f t="shared" si="21"/>
        <v>7.9423309154532384E-3</v>
      </c>
      <c r="AI24" s="18">
        <f t="shared" si="53"/>
        <v>1.0581136219910137E-2</v>
      </c>
      <c r="AJ24" s="18">
        <f t="shared" si="22"/>
        <v>1.0441630825894506E-2</v>
      </c>
      <c r="AK24" s="385">
        <f t="shared" si="44"/>
        <v>0.19948707682719372</v>
      </c>
      <c r="AL24" s="10">
        <f t="shared" si="23"/>
        <v>8.028083126080289E-2</v>
      </c>
      <c r="AM24" s="17">
        <f t="shared" si="45"/>
        <v>1.6552831064987457E-2</v>
      </c>
      <c r="AN24" s="17">
        <f t="shared" si="46"/>
        <v>2.5382221245698403E-2</v>
      </c>
      <c r="AO24" s="314">
        <f t="shared" si="47"/>
        <v>0.48492665600937829</v>
      </c>
      <c r="AP24" s="448">
        <f t="shared" si="24"/>
        <v>1.811779106739609E-2</v>
      </c>
      <c r="AQ24" s="18">
        <f t="shared" si="54"/>
        <v>1.3566746383252433E-2</v>
      </c>
      <c r="AR24" s="18">
        <f t="shared" si="25"/>
        <v>1.3881947708140685E-2</v>
      </c>
      <c r="AS24" s="385">
        <f t="shared" si="48"/>
        <v>0.26521423857443366</v>
      </c>
      <c r="AT24" s="6">
        <f t="shared" si="0"/>
        <v>1036449.05</v>
      </c>
      <c r="AU24" s="319">
        <v>0</v>
      </c>
      <c r="AV24" s="140">
        <f t="shared" si="1"/>
        <v>4960048.8</v>
      </c>
      <c r="AW24" s="481">
        <v>0</v>
      </c>
      <c r="AX24" s="135">
        <f t="shared" si="97"/>
        <v>411928.85318157886</v>
      </c>
      <c r="AY24" s="21">
        <f t="shared" si="98"/>
        <v>4692.7313474814318</v>
      </c>
      <c r="AZ24" s="319">
        <f t="shared" si="99"/>
        <v>87.78019082696035</v>
      </c>
      <c r="BA24" s="21">
        <f t="shared" si="2"/>
        <v>84.149999999999991</v>
      </c>
      <c r="BB24" s="21">
        <f t="shared" si="3"/>
        <v>1008874.3499999999</v>
      </c>
      <c r="BC24" s="21">
        <f t="shared" si="61"/>
        <v>576514.20362196385</v>
      </c>
      <c r="BD24" s="21">
        <f t="shared" si="57"/>
        <v>6756.0173080825361</v>
      </c>
      <c r="BE24" s="332">
        <f t="shared" si="58"/>
        <v>85.333440891611275</v>
      </c>
      <c r="BF24" s="141">
        <f t="shared" si="100"/>
        <v>3034084.0260266066</v>
      </c>
      <c r="BG24" s="118">
        <f t="shared" si="101"/>
        <v>2870.4468091252943</v>
      </c>
      <c r="BH24" s="329">
        <f t="shared" si="102"/>
        <v>1057.0075767929584</v>
      </c>
      <c r="BI24" s="118">
        <f t="shared" si="4"/>
        <v>1069.9166666666667</v>
      </c>
      <c r="BJ24" s="118">
        <f t="shared" si="5"/>
        <v>5000790.5</v>
      </c>
      <c r="BK24" s="118">
        <f t="shared" si="62"/>
        <v>3398145.3896562573</v>
      </c>
      <c r="BL24" s="118">
        <f t="shared" si="59"/>
        <v>3191.4673640856408</v>
      </c>
      <c r="BM24" s="325">
        <f t="shared" si="60"/>
        <v>1064.7595610396693</v>
      </c>
      <c r="BN24" s="6">
        <f t="shared" si="6"/>
        <v>1009473.8</v>
      </c>
      <c r="BO24" s="331">
        <f t="shared" si="87"/>
        <v>88.479771894700974</v>
      </c>
      <c r="BP24" s="319">
        <f t="shared" si="55"/>
        <v>85.636507191995008</v>
      </c>
      <c r="BQ24" s="331">
        <v>0</v>
      </c>
      <c r="BR24" s="332">
        <f t="shared" si="88"/>
        <v>87.472993695689212</v>
      </c>
      <c r="BS24" s="140">
        <f t="shared" si="7"/>
        <v>4992533.1000000006</v>
      </c>
      <c r="BT24" s="339">
        <f t="shared" si="89"/>
        <v>1065.8406413701382</v>
      </c>
      <c r="BU24" s="329">
        <f t="shared" si="56"/>
        <v>1061.2469599109131</v>
      </c>
      <c r="BV24" s="339">
        <v>0</v>
      </c>
      <c r="BW24" s="325">
        <f t="shared" si="90"/>
        <v>1067.8665160274679</v>
      </c>
      <c r="BX24" s="21">
        <f t="shared" si="91"/>
        <v>416313.92005265626</v>
      </c>
      <c r="BY24" s="21">
        <f t="shared" si="92"/>
        <v>4808.1304592103716</v>
      </c>
      <c r="BZ24" s="21">
        <f t="shared" si="93"/>
        <v>86.585404365468605</v>
      </c>
      <c r="CA24" s="21">
        <v>0</v>
      </c>
      <c r="CB24" s="21">
        <v>0</v>
      </c>
      <c r="CC24" s="21">
        <v>0</v>
      </c>
      <c r="CD24" s="342">
        <v>0</v>
      </c>
      <c r="CE24" s="342">
        <v>0</v>
      </c>
      <c r="CF24" s="343">
        <v>0</v>
      </c>
      <c r="CG24" s="141">
        <f t="shared" si="94"/>
        <v>3035221.3961912496</v>
      </c>
      <c r="CH24" s="118">
        <f t="shared" si="95"/>
        <v>2862.4200413280796</v>
      </c>
      <c r="CI24" s="118">
        <f t="shared" si="96"/>
        <v>1060.368971837898</v>
      </c>
      <c r="CJ24" s="118"/>
      <c r="CK24" s="118"/>
      <c r="CL24" s="118">
        <v>0</v>
      </c>
      <c r="CM24" s="350">
        <v>0</v>
      </c>
      <c r="CN24" s="350">
        <v>0</v>
      </c>
      <c r="CO24" s="351">
        <v>0</v>
      </c>
      <c r="CP24" s="20">
        <f t="shared" si="26"/>
        <v>-2.4000000000000057</v>
      </c>
      <c r="CQ24" s="21">
        <f t="shared" si="27"/>
        <v>0</v>
      </c>
      <c r="CR24" s="21">
        <f t="shared" si="28"/>
        <v>1008874.3499999999</v>
      </c>
      <c r="CS24" s="21">
        <f t="shared" si="109"/>
        <v>121718.41628871416</v>
      </c>
      <c r="CT24" s="21">
        <f t="shared" si="109"/>
        <v>281631.97887654207</v>
      </c>
      <c r="CU24" s="21">
        <f t="shared" si="105"/>
        <v>0.43218961417045398</v>
      </c>
      <c r="CV24" s="342">
        <f t="shared" si="106"/>
        <v>30.1768431982929</v>
      </c>
      <c r="CW24" s="342">
        <v>0</v>
      </c>
      <c r="CX24" s="355">
        <v>0</v>
      </c>
      <c r="CY24" s="141">
        <f t="shared" si="29"/>
        <v>13.100000000000136</v>
      </c>
      <c r="CZ24" s="118">
        <f t="shared" si="30"/>
        <v>5000790.5</v>
      </c>
      <c r="DA24" s="118">
        <f t="shared" si="31"/>
        <v>0</v>
      </c>
      <c r="DB24" s="118">
        <f t="shared" si="110"/>
        <v>1926925.2659401498</v>
      </c>
      <c r="DC24" s="118">
        <f t="shared" si="110"/>
        <v>1072111.0047292092</v>
      </c>
      <c r="DD24" s="118">
        <f t="shared" si="107"/>
        <v>1.7973188013556927</v>
      </c>
      <c r="DE24" s="350">
        <f t="shared" si="108"/>
        <v>64.251482544093292</v>
      </c>
      <c r="DF24" s="350">
        <v>0</v>
      </c>
      <c r="DG24" s="351">
        <v>0</v>
      </c>
      <c r="DH24" s="135">
        <f t="shared" si="32"/>
        <v>6.75</v>
      </c>
      <c r="DI24" s="20">
        <f t="shared" si="33"/>
        <v>80925.75</v>
      </c>
      <c r="DJ24" s="21">
        <v>0</v>
      </c>
      <c r="DK24" s="21">
        <v>0</v>
      </c>
      <c r="DL24" s="319">
        <v>0</v>
      </c>
      <c r="DM24" s="21">
        <v>0</v>
      </c>
      <c r="DN24" s="21">
        <v>0</v>
      </c>
      <c r="DO24" s="319">
        <v>0</v>
      </c>
      <c r="DP24" s="362">
        <v>0</v>
      </c>
      <c r="DQ24" s="141">
        <f t="shared" si="34"/>
        <v>20.799999999999955</v>
      </c>
      <c r="DR24" s="143">
        <f t="shared" si="35"/>
        <v>97219.199999999793</v>
      </c>
      <c r="DS24" s="118">
        <v>0</v>
      </c>
      <c r="DT24" s="118">
        <v>0</v>
      </c>
      <c r="DU24" s="329">
        <v>0</v>
      </c>
      <c r="DV24" s="118">
        <v>0</v>
      </c>
      <c r="DW24" s="118">
        <v>0</v>
      </c>
      <c r="DX24" s="329">
        <v>0</v>
      </c>
      <c r="DY24" s="374">
        <v>0</v>
      </c>
      <c r="DZ24" s="135">
        <f t="shared" si="36"/>
        <v>6.75</v>
      </c>
      <c r="EA24" s="21">
        <f t="shared" si="37"/>
        <v>80925.75</v>
      </c>
      <c r="EB24" s="21">
        <f t="shared" si="79"/>
        <v>22436.496534755672</v>
      </c>
      <c r="EC24" s="21">
        <f t="shared" si="75"/>
        <v>5584.2348024649064</v>
      </c>
      <c r="ED24" s="319">
        <f t="shared" si="76"/>
        <v>4.0178282841638575</v>
      </c>
      <c r="EE24" s="21">
        <f t="shared" si="63"/>
        <v>16071.31313665543</v>
      </c>
      <c r="EF24" s="21">
        <f>EE24*'Base Data'!$D$13</f>
        <v>12053.484852491572</v>
      </c>
      <c r="EG24" s="363">
        <f>IF(INT(('Base Data'!$D$7)/EF24)=0,0,INT(('Base Data'!$D$7)/EF24))</f>
        <v>0</v>
      </c>
      <c r="EH24" s="314">
        <f t="shared" si="64"/>
        <v>4.7717675583893795E-2</v>
      </c>
      <c r="EI24" s="143">
        <f t="shared" si="38"/>
        <v>20.799999999999955</v>
      </c>
      <c r="EJ24" s="118">
        <f t="shared" si="39"/>
        <v>97219.199999999793</v>
      </c>
      <c r="EK24" s="118">
        <f t="shared" si="80"/>
        <v>57932.073380581591</v>
      </c>
      <c r="EL24" s="118">
        <f t="shared" si="77"/>
        <v>2967.5056084535331</v>
      </c>
      <c r="EM24" s="329">
        <f t="shared" si="78"/>
        <v>19.522144529584207</v>
      </c>
      <c r="EN24" s="118">
        <f t="shared" si="65"/>
        <v>11713.286717750523</v>
      </c>
      <c r="EO24" s="118">
        <f>EN24*'Base Data'!$D$13</f>
        <v>8784.9650383128919</v>
      </c>
      <c r="EP24" s="375">
        <f>IF(INT(('Base Data'!$D$7)/EO24)=0,0,INT(('Base Data'!$D$7)/EO24))</f>
        <v>1</v>
      </c>
      <c r="EQ24" s="385">
        <f t="shared" si="66"/>
        <v>1.8276594607109679E-2</v>
      </c>
      <c r="ER24" s="396">
        <v>0</v>
      </c>
      <c r="ES24" s="403">
        <f t="shared" si="67"/>
        <v>-1.0152665515210189</v>
      </c>
      <c r="ET24" s="404">
        <v>0</v>
      </c>
      <c r="EU24" s="410">
        <f t="shared" si="68"/>
        <v>2.849328357123572E-2</v>
      </c>
      <c r="EV24" s="20">
        <f t="shared" si="8"/>
        <v>6.75</v>
      </c>
      <c r="EW24" s="17">
        <f t="shared" si="9"/>
        <v>7.8079814921920176E-2</v>
      </c>
      <c r="EX24" s="388">
        <f t="shared" si="69"/>
        <v>2.3061708711414129E-2</v>
      </c>
      <c r="EY24" s="388">
        <f t="shared" si="103"/>
        <v>2.0724571781558176E-2</v>
      </c>
      <c r="EZ24" s="314">
        <f>AVERAGE(EW4:EW24)</f>
        <v>2.3085863778456454E-2</v>
      </c>
      <c r="FA24" s="442">
        <f t="shared" si="10"/>
        <v>19.400000000000091</v>
      </c>
      <c r="FB24" s="18">
        <f t="shared" si="11"/>
        <v>1.8281191104410188E-2</v>
      </c>
      <c r="FC24" s="394">
        <f t="shared" si="70"/>
        <v>1.5005365332728464E-2</v>
      </c>
      <c r="FD24" s="394">
        <f t="shared" si="104"/>
        <v>1.6048636115871914E-2</v>
      </c>
      <c r="FE24" s="385">
        <f>AVERAGE(FB4:FB24)</f>
        <v>1.6477431429675411E-2</v>
      </c>
      <c r="FF24" s="416">
        <f t="shared" si="49"/>
        <v>2</v>
      </c>
      <c r="FG24" s="417">
        <f t="shared" si="50"/>
        <v>2</v>
      </c>
      <c r="FH24" s="415">
        <f t="shared" ref="FH24:FH67" si="111">ABS(Q24-Q4)/(MAX(O4:O24)-MIN(P4:P24))*100</f>
        <v>54.509803921568647</v>
      </c>
      <c r="FI24" s="413" t="str">
        <f>IF(AND(FH24&lt;30,FH24&gt;FH23),"C-R",IF(AND(FH24&lt;30,FH24=FH23),"C-F",IF(AND(FH24&lt;30,FH24&lt;FH23),"C-D",IF(AND(FH24&gt;=30,FH24&gt;FH23),"T-R",IF(AND(FH24&gt;=30,FH24=FH23),"T-F",IF(AND(FH24&gt;=30,FH24&lt;FH23),"T-D","Check"))))))</f>
        <v>T-R</v>
      </c>
      <c r="FJ24" s="404">
        <f t="shared" ref="FJ24:FJ67" si="112">ABS(W24-W4)/(MAX(U4:U24)-MIN(V4:V24))*100</f>
        <v>42.02334630350218</v>
      </c>
      <c r="FK24" s="414" t="str">
        <f>IF(AND(FJ24&lt;30,FJ24&gt;FJ23),"C-R",IF(AND(FJ24&lt;30,FJ24=FJ23),"C-F",IF(AND(FJ24&lt;30,FJ24&lt;FJ23),"C-D",IF(AND(FJ24&gt;=30,FJ24&gt;FJ23),"T-R",IF(AND(FJ24&gt;=30,FJ24=FJ23),"T-F",IF(AND(FJ24&gt;=30,FJ24&lt;FJ23),"T-D","Check"))))))</f>
        <v>T-R</v>
      </c>
      <c r="FL24" s="415">
        <f t="shared" si="71"/>
        <v>52.682926829268204</v>
      </c>
      <c r="FM24" s="413" t="str">
        <f t="shared" si="72"/>
        <v>T-D</v>
      </c>
      <c r="FN24" s="404">
        <f t="shared" si="73"/>
        <v>34.927697441601339</v>
      </c>
      <c r="FO24" s="414" t="str">
        <f t="shared" si="74"/>
        <v>T-D</v>
      </c>
      <c r="FQ24" s="135">
        <f t="shared" si="51"/>
        <v>86.946401762962338</v>
      </c>
      <c r="FR24" s="21">
        <f t="shared" si="12"/>
        <v>87.5</v>
      </c>
      <c r="FS24" s="21">
        <f t="shared" si="13"/>
        <v>80.75</v>
      </c>
      <c r="FT24" s="182">
        <f t="shared" si="14"/>
        <v>84.724999999999994</v>
      </c>
      <c r="FU24" s="141">
        <f t="shared" si="52"/>
        <v>1057.8677321195601</v>
      </c>
      <c r="FV24" s="118">
        <f t="shared" si="15"/>
        <v>1080.5</v>
      </c>
      <c r="FW24" s="118">
        <f t="shared" si="16"/>
        <v>1057.8677321195601</v>
      </c>
      <c r="FX24" s="181">
        <f t="shared" si="17"/>
        <v>1067.7375</v>
      </c>
    </row>
    <row r="25" spans="1:180" ht="11.15" thickBot="1" x14ac:dyDescent="0.35">
      <c r="A25" s="102">
        <f>90-A15</f>
        <v>3.75</v>
      </c>
      <c r="B25" s="103">
        <f t="shared" si="86"/>
        <v>2.0833333333333332E-2</v>
      </c>
      <c r="C25" s="104">
        <f t="shared" ca="1" si="81"/>
        <v>2962.9573673893283</v>
      </c>
      <c r="D25" s="105" t="s">
        <v>35</v>
      </c>
      <c r="E25" s="273">
        <f t="shared" ca="1" si="82"/>
        <v>93786.72827848728</v>
      </c>
      <c r="F25" s="268">
        <f t="shared" ca="1" si="83"/>
        <v>93663.366187173597</v>
      </c>
      <c r="G25" s="105" t="s">
        <v>34</v>
      </c>
      <c r="H25" s="104">
        <f t="shared" ca="1" si="84"/>
        <v>2958.4230156673948</v>
      </c>
      <c r="I25" s="103">
        <f t="shared" si="85"/>
        <v>2.0833333333333332E-2</v>
      </c>
      <c r="J25" s="106">
        <f>90-J15</f>
        <v>3.75</v>
      </c>
      <c r="L25" s="283">
        <f t="shared" si="40"/>
        <v>22</v>
      </c>
      <c r="M25" s="290">
        <f>'[6]ASHOKLEY-I'!C41</f>
        <v>42824</v>
      </c>
      <c r="N25" s="7">
        <f>'[6]ASHOKLEY-I'!D41</f>
        <v>83.5</v>
      </c>
      <c r="O25" s="7">
        <f>'[6]ASHOKLEY-I'!E41</f>
        <v>85</v>
      </c>
      <c r="P25" s="7">
        <f>'[6]ASHOKLEY-I'!F41</f>
        <v>82.7</v>
      </c>
      <c r="Q25" s="7">
        <f>'[6]ASHOKLEY-I'!G41</f>
        <v>83</v>
      </c>
      <c r="R25" s="11">
        <f>'[6]ASHOKLEY-I'!H41</f>
        <v>7143</v>
      </c>
      <c r="S25" s="291">
        <f>'[7]ASIANPAINT-I'!C41</f>
        <v>42824</v>
      </c>
      <c r="T25" s="9">
        <f>'[7]ASIANPAINT-I'!D41</f>
        <v>1069.95</v>
      </c>
      <c r="U25" s="9">
        <f>'[7]ASIANPAINT-I'!E41</f>
        <v>1073.6500000000001</v>
      </c>
      <c r="V25" s="9">
        <f>'[7]ASIANPAINT-I'!F41</f>
        <v>1063.1500000000001</v>
      </c>
      <c r="W25" s="9">
        <f>'[7]ASIANPAINT-I'!G41</f>
        <v>1070.2</v>
      </c>
      <c r="X25" s="12">
        <f>'[7]ASIANPAINT-I'!H41</f>
        <v>3669</v>
      </c>
      <c r="Y25" s="115"/>
      <c r="Z25" s="122">
        <f t="shared" si="18"/>
        <v>-1.4251781472684119E-2</v>
      </c>
      <c r="AA25" s="19">
        <f t="shared" si="19"/>
        <v>1.9192061040115662E-3</v>
      </c>
      <c r="AB25" s="305">
        <f>IF(OR(SUM(Z5:Z25)=0,SUM('BNF-Nifty'!AA5:AA25)=0),0,(_xlfn.COVARIANCE.P(Z5:Z25,'BNF-Nifty'!AA5:AA25)/_xlfn.VAR.P('BNF-Nifty'!AA5:AA25)))</f>
        <v>1.1844191684219192</v>
      </c>
      <c r="AC25" s="306">
        <f>IF(OR(SUM(AA5:AA25)=0,SUM('BNF-Nifty'!AA5:AA25)=0),0,(_xlfn.COVARIANCE.P(AA5:AA25,'BNF-Nifty'!AA5:AA25)/_xlfn.VAR.P('BNF-Nifty'!AA5:AA25)))</f>
        <v>1.8367365944602045</v>
      </c>
      <c r="AD25" s="466">
        <f t="shared" si="20"/>
        <v>-1.4354313451683167E-2</v>
      </c>
      <c r="AE25" s="17">
        <f t="shared" si="41"/>
        <v>1.1929802076927822E-2</v>
      </c>
      <c r="AF25" s="17">
        <f t="shared" si="42"/>
        <v>1.2088992754532589E-2</v>
      </c>
      <c r="AG25" s="314">
        <f t="shared" si="43"/>
        <v>0.23095988228258738</v>
      </c>
      <c r="AH25" s="467">
        <f t="shared" si="21"/>
        <v>1.917366780960822E-3</v>
      </c>
      <c r="AI25" s="18">
        <f t="shared" si="53"/>
        <v>1.0441630825894506E-2</v>
      </c>
      <c r="AJ25" s="18">
        <f t="shared" si="22"/>
        <v>1.0134425132605108E-2</v>
      </c>
      <c r="AK25" s="385">
        <f t="shared" si="44"/>
        <v>0.19361792029783295</v>
      </c>
      <c r="AL25" s="10">
        <f t="shared" si="23"/>
        <v>2.7431654460670762E-2</v>
      </c>
      <c r="AM25" s="17">
        <f t="shared" si="45"/>
        <v>2.5382221245698403E-2</v>
      </c>
      <c r="AN25" s="17">
        <f t="shared" si="46"/>
        <v>2.5509830772285153E-2</v>
      </c>
      <c r="AO25" s="314">
        <f t="shared" si="47"/>
        <v>0.48736463259163426</v>
      </c>
      <c r="AP25" s="448">
        <f t="shared" si="24"/>
        <v>9.827858960430735E-3</v>
      </c>
      <c r="AQ25" s="18">
        <f t="shared" si="54"/>
        <v>1.3881947708140685E-2</v>
      </c>
      <c r="AR25" s="18">
        <f t="shared" si="25"/>
        <v>1.3672643217243197E-2</v>
      </c>
      <c r="AS25" s="385">
        <f t="shared" si="48"/>
        <v>0.26121548189052585</v>
      </c>
      <c r="AT25" s="6">
        <f t="shared" si="0"/>
        <v>596440.5</v>
      </c>
      <c r="AU25" s="319">
        <v>0</v>
      </c>
      <c r="AV25" s="140">
        <f t="shared" si="1"/>
        <v>3925646.5500000003</v>
      </c>
      <c r="AW25" s="481">
        <v>0</v>
      </c>
      <c r="AX25" s="135">
        <f t="shared" si="97"/>
        <v>438287.65986992471</v>
      </c>
      <c r="AY25" s="21">
        <f t="shared" si="98"/>
        <v>5042.7697264126555</v>
      </c>
      <c r="AZ25" s="319">
        <f t="shared" si="99"/>
        <v>86.914073742906254</v>
      </c>
      <c r="BA25" s="21">
        <f t="shared" si="2"/>
        <v>83.566666666666663</v>
      </c>
      <c r="BB25" s="21">
        <f t="shared" si="3"/>
        <v>596916.69999999995</v>
      </c>
      <c r="BC25" s="21">
        <f t="shared" si="61"/>
        <v>583315.03574797593</v>
      </c>
      <c r="BD25" s="21">
        <f t="shared" si="57"/>
        <v>6885.0115387216911</v>
      </c>
      <c r="BE25" s="332">
        <f t="shared" si="58"/>
        <v>84.722448534382181</v>
      </c>
      <c r="BF25" s="141">
        <f t="shared" si="100"/>
        <v>3161450.1008799486</v>
      </c>
      <c r="BG25" s="118">
        <f t="shared" si="101"/>
        <v>2984.5258363931093</v>
      </c>
      <c r="BH25" s="329">
        <f t="shared" si="102"/>
        <v>1059.2805270202175</v>
      </c>
      <c r="BI25" s="118">
        <f t="shared" si="4"/>
        <v>1069</v>
      </c>
      <c r="BJ25" s="118">
        <f t="shared" si="5"/>
        <v>3922161</v>
      </c>
      <c r="BK25" s="118">
        <f t="shared" si="62"/>
        <v>3572817.2597708381</v>
      </c>
      <c r="BL25" s="118">
        <f t="shared" si="59"/>
        <v>3350.6449093904271</v>
      </c>
      <c r="BM25" s="325">
        <f t="shared" si="60"/>
        <v>1066.3073397475682</v>
      </c>
      <c r="BN25" s="6">
        <f t="shared" si="6"/>
        <v>592869</v>
      </c>
      <c r="BO25" s="331">
        <f t="shared" si="87"/>
        <v>87.732579688658262</v>
      </c>
      <c r="BP25" s="319">
        <f t="shared" si="55"/>
        <v>84.934171917191733</v>
      </c>
      <c r="BQ25" s="331">
        <v>0</v>
      </c>
      <c r="BR25" s="332">
        <f t="shared" si="88"/>
        <v>86.773260344794821</v>
      </c>
      <c r="BS25" s="140">
        <f t="shared" si="7"/>
        <v>3926563.8000000003</v>
      </c>
      <c r="BT25" s="339">
        <f t="shared" si="89"/>
        <v>1067.7574420909848</v>
      </c>
      <c r="BU25" s="329">
        <f t="shared" si="56"/>
        <v>1062.9240340835177</v>
      </c>
      <c r="BV25" s="339">
        <v>0</v>
      </c>
      <c r="BW25" s="325">
        <f t="shared" si="90"/>
        <v>1069.9099814795491</v>
      </c>
      <c r="BX25" s="21">
        <f t="shared" si="91"/>
        <v>444098.96312147839</v>
      </c>
      <c r="BY25" s="21">
        <f t="shared" si="92"/>
        <v>5167.3411577933912</v>
      </c>
      <c r="BZ25" s="21">
        <f t="shared" si="93"/>
        <v>85.94341839645864</v>
      </c>
      <c r="CA25" s="21">
        <v>0</v>
      </c>
      <c r="CB25" s="21">
        <v>0</v>
      </c>
      <c r="CC25" s="21">
        <v>0</v>
      </c>
      <c r="CD25" s="342">
        <v>0</v>
      </c>
      <c r="CE25" s="342">
        <v>0</v>
      </c>
      <c r="CF25" s="343">
        <v>0</v>
      </c>
      <c r="CG25" s="141">
        <f t="shared" si="94"/>
        <v>3171673.6429310571</v>
      </c>
      <c r="CH25" s="118">
        <f t="shared" si="95"/>
        <v>2986.5092657391442</v>
      </c>
      <c r="CI25" s="118">
        <f t="shared" si="96"/>
        <v>1062.0002687807116</v>
      </c>
      <c r="CJ25" s="118"/>
      <c r="CK25" s="118"/>
      <c r="CL25" s="118">
        <v>0</v>
      </c>
      <c r="CM25" s="350">
        <v>0</v>
      </c>
      <c r="CN25" s="350">
        <v>0</v>
      </c>
      <c r="CO25" s="351">
        <v>0</v>
      </c>
      <c r="CP25" s="20">
        <f t="shared" si="26"/>
        <v>-0.5833333333333286</v>
      </c>
      <c r="CQ25" s="21">
        <f t="shared" si="27"/>
        <v>0</v>
      </c>
      <c r="CR25" s="21">
        <f t="shared" si="28"/>
        <v>596916.69999999995</v>
      </c>
      <c r="CS25" s="21">
        <f t="shared" si="109"/>
        <v>105489.29411688561</v>
      </c>
      <c r="CT25" s="21">
        <f t="shared" si="109"/>
        <v>323669.94169300311</v>
      </c>
      <c r="CU25" s="21">
        <f t="shared" si="105"/>
        <v>0.32591625149097375</v>
      </c>
      <c r="CV25" s="342">
        <f t="shared" si="106"/>
        <v>24.580455298325631</v>
      </c>
      <c r="CW25" s="342">
        <v>0</v>
      </c>
      <c r="CX25" s="355">
        <v>0</v>
      </c>
      <c r="CY25" s="141">
        <f t="shared" si="29"/>
        <v>-0.91666666666674246</v>
      </c>
      <c r="CZ25" s="118">
        <f t="shared" si="30"/>
        <v>0</v>
      </c>
      <c r="DA25" s="118">
        <f t="shared" si="31"/>
        <v>3922161</v>
      </c>
      <c r="DB25" s="118">
        <f t="shared" si="110"/>
        <v>1670001.8971481298</v>
      </c>
      <c r="DC25" s="118">
        <f t="shared" si="110"/>
        <v>1452117.6707653147</v>
      </c>
      <c r="DD25" s="118">
        <f t="shared" si="107"/>
        <v>1.15004584736441</v>
      </c>
      <c r="DE25" s="350">
        <f t="shared" si="108"/>
        <v>53.489363902363777</v>
      </c>
      <c r="DF25" s="350">
        <v>0</v>
      </c>
      <c r="DG25" s="351">
        <v>0</v>
      </c>
      <c r="DH25" s="135">
        <f t="shared" si="32"/>
        <v>2.2999999999999972</v>
      </c>
      <c r="DI25" s="20">
        <f t="shared" si="33"/>
        <v>16428.89999999998</v>
      </c>
      <c r="DJ25" s="21">
        <f>AVERAGE(DI5:DI25)</f>
        <v>10437.164285714287</v>
      </c>
      <c r="DK25" s="21">
        <f>AVERAGE(R5:R25)</f>
        <v>3760.9523809523807</v>
      </c>
      <c r="DL25" s="319">
        <f>DJ25/DK25</f>
        <v>2.7751386426943534</v>
      </c>
      <c r="DM25" s="21">
        <f>DL25*$F$4</f>
        <v>11100.554570777414</v>
      </c>
      <c r="DN25" s="21">
        <f>DM25*'Base Data'!$D$10</f>
        <v>22201.109141554829</v>
      </c>
      <c r="DO25" s="363">
        <f>IF(INT(('Base Data'!$D$7)/DN25)=0,0,INT(('Base Data'!$D$7)/DN25))</f>
        <v>0</v>
      </c>
      <c r="DP25" s="364">
        <f t="shared" ref="DP25:DP67" si="113">(DL25/Q25)</f>
        <v>3.3435405333666908E-2</v>
      </c>
      <c r="DQ25" s="141">
        <f t="shared" si="34"/>
        <v>10.5</v>
      </c>
      <c r="DR25" s="143">
        <f t="shared" si="35"/>
        <v>38524.5</v>
      </c>
      <c r="DS25" s="118">
        <f>AVERAGE(DR5:DR25)</f>
        <v>54786.354761904746</v>
      </c>
      <c r="DT25" s="118">
        <f>AVERAGE(X5:X25)</f>
        <v>2811.9047619047619</v>
      </c>
      <c r="DU25" s="329">
        <f>DS25/DT25</f>
        <v>19.483716342082975</v>
      </c>
      <c r="DV25" s="118">
        <f t="shared" ref="DV25:DV67" si="114">DU25*$G$4</f>
        <v>11690.229805249784</v>
      </c>
      <c r="DW25" s="118">
        <f>DV25*'Base Data'!$D$10</f>
        <v>23380.459610499569</v>
      </c>
      <c r="DX25" s="375">
        <f>IF(INT(('Base Data'!$D$7)/DW25)=0,0,INT(('Base Data'!$D$7)/DW25))</f>
        <v>0</v>
      </c>
      <c r="DY25" s="376">
        <f t="shared" ref="DY25:DY67" si="115">(DU25/W25)</f>
        <v>1.8205677763112479E-2</v>
      </c>
      <c r="DZ25" s="135">
        <f t="shared" si="36"/>
        <v>2.2999999999999972</v>
      </c>
      <c r="EA25" s="21">
        <f t="shared" si="37"/>
        <v>16428.89999999998</v>
      </c>
      <c r="EB25" s="21">
        <f t="shared" si="79"/>
        <v>21101.475082587742</v>
      </c>
      <c r="EC25" s="21">
        <f t="shared" si="75"/>
        <v>5930.6270685838163</v>
      </c>
      <c r="ED25" s="319">
        <f t="shared" si="76"/>
        <v>3.5580512547093264</v>
      </c>
      <c r="EE25" s="21">
        <f t="shared" si="63"/>
        <v>14232.205018837305</v>
      </c>
      <c r="EF25" s="21">
        <f>EE25*'Base Data'!$D$13</f>
        <v>10674.153764127979</v>
      </c>
      <c r="EG25" s="363">
        <f>IF(INT(('Base Data'!$D$7)/EF25)=0,0,INT(('Base Data'!$D$7)/EF25))</f>
        <v>0</v>
      </c>
      <c r="EH25" s="314">
        <f t="shared" si="64"/>
        <v>4.2868087406136464E-2</v>
      </c>
      <c r="EI25" s="143">
        <f t="shared" si="38"/>
        <v>10.5</v>
      </c>
      <c r="EJ25" s="118">
        <f t="shared" si="39"/>
        <v>38524.5</v>
      </c>
      <c r="EK25" s="118">
        <f t="shared" si="80"/>
        <v>53619.279296007902</v>
      </c>
      <c r="EL25" s="118">
        <f t="shared" si="77"/>
        <v>3123.3932510194145</v>
      </c>
      <c r="EM25" s="329">
        <f t="shared" si="78"/>
        <v>17.166995951760995</v>
      </c>
      <c r="EN25" s="118">
        <f t="shared" si="65"/>
        <v>10300.197571056597</v>
      </c>
      <c r="EO25" s="118">
        <f>EN25*'Base Data'!$D$13</f>
        <v>7725.1481782924475</v>
      </c>
      <c r="EP25" s="375">
        <f>IF(INT(('Base Data'!$D$7)/EO25)=0,0,INT(('Base Data'!$D$7)/EO25))</f>
        <v>1</v>
      </c>
      <c r="EQ25" s="385">
        <f t="shared" si="66"/>
        <v>1.6040923146851984E-2</v>
      </c>
      <c r="ER25" s="397">
        <f t="shared" ref="ER25:ER67" si="116">(Q25-AVERAGE(BA4:BA24))/DL25</f>
        <v>-2.321920315806179</v>
      </c>
      <c r="ES25" s="403">
        <f t="shared" si="67"/>
        <v>-1.2266780383100162</v>
      </c>
      <c r="ET25" s="405">
        <f t="shared" ref="ET25:ET67" si="117">(W25-AVERAGE(BI4:BI24))/DU25</f>
        <v>0.89794153169074253</v>
      </c>
      <c r="EU25" s="410">
        <f t="shared" si="68"/>
        <v>0.24732535297754615</v>
      </c>
      <c r="EV25" s="20">
        <f t="shared" si="8"/>
        <v>2.2999999999999972</v>
      </c>
      <c r="EW25" s="17">
        <f t="shared" si="9"/>
        <v>2.7544910179640683E-2</v>
      </c>
      <c r="EX25" s="388">
        <f t="shared" si="69"/>
        <v>2.4237092962153976E-2</v>
      </c>
      <c r="EY25" s="388">
        <f t="shared" si="103"/>
        <v>2.1871306207887249E-2</v>
      </c>
      <c r="EZ25" s="314">
        <f t="shared" ref="EZ25:EZ67" si="118">AVERAGE(EW5:EW25)</f>
        <v>2.3332818563289087E-2</v>
      </c>
      <c r="FA25" s="442">
        <f t="shared" si="10"/>
        <v>10.5</v>
      </c>
      <c r="FB25" s="18">
        <f t="shared" si="11"/>
        <v>9.8135426889106956E-3</v>
      </c>
      <c r="FC25" s="394">
        <f t="shared" si="70"/>
        <v>1.4426084563841155E-2</v>
      </c>
      <c r="FD25" s="394">
        <f t="shared" si="104"/>
        <v>1.6092781437096325E-2</v>
      </c>
      <c r="FE25" s="385">
        <f t="shared" ref="FE25:FE67" si="119">AVERAGE(FB5:FB25)</f>
        <v>1.5534175782332113E-2</v>
      </c>
      <c r="FF25" s="416">
        <f t="shared" si="49"/>
        <v>1</v>
      </c>
      <c r="FG25" s="417">
        <f t="shared" si="50"/>
        <v>2</v>
      </c>
      <c r="FH25" s="415">
        <f t="shared" si="111"/>
        <v>53.333333333333307</v>
      </c>
      <c r="FI25" s="413" t="str">
        <f t="shared" ref="FI25:FI67" si="120">IF(AND(FH25&lt;30,FH25&gt;FH24),"C-R",IF(AND(FH25&lt;30,FH25=FH24),"C-F",IF(AND(FH25&lt;30,FH25&lt;FH24),"C-D",IF(AND(FH25&gt;=30,FH25&gt;FH24),"T-R",IF(AND(FH25&gt;=30,FH25=FH24),"T-F",IF(AND(FH25&gt;=30,FH25&lt;FH24),"T-D","Check"))))))</f>
        <v>T-D</v>
      </c>
      <c r="FJ25" s="404">
        <f t="shared" si="112"/>
        <v>40.096618357487998</v>
      </c>
      <c r="FK25" s="414" t="str">
        <f t="shared" ref="FK25:FK67" si="121">IF(AND(FJ25&lt;30,FJ25&gt;FJ24),"C-R",IF(AND(FJ25&lt;30,FJ25=FJ24),"C-F",IF(AND(FJ25&lt;30,FJ25&lt;FJ24),"C-D",IF(AND(FJ25&gt;=30,FJ25&gt;FJ24),"T-R",IF(AND(FJ25&gt;=30,FJ25=FJ24),"T-F",IF(AND(FJ25&gt;=30,FJ25&lt;FJ24),"T-D","Check"))))))</f>
        <v>T-D</v>
      </c>
      <c r="FL25" s="415">
        <f t="shared" si="71"/>
        <v>70.930232558139522</v>
      </c>
      <c r="FM25" s="413" t="str">
        <f t="shared" si="72"/>
        <v>T-R</v>
      </c>
      <c r="FN25" s="404">
        <f t="shared" si="73"/>
        <v>4.1156840934369461</v>
      </c>
      <c r="FO25" s="414" t="str">
        <f t="shared" si="74"/>
        <v>C-D</v>
      </c>
      <c r="FQ25" s="135">
        <f t="shared" si="51"/>
        <v>85.835700881481159</v>
      </c>
      <c r="FR25" s="21">
        <f t="shared" si="12"/>
        <v>85.835700881481159</v>
      </c>
      <c r="FS25" s="21">
        <f t="shared" si="13"/>
        <v>82.7</v>
      </c>
      <c r="FT25" s="182">
        <f t="shared" si="14"/>
        <v>83.55</v>
      </c>
      <c r="FU25" s="141">
        <f t="shared" si="52"/>
        <v>1062.8026160597801</v>
      </c>
      <c r="FV25" s="118">
        <f t="shared" si="15"/>
        <v>1073.6500000000001</v>
      </c>
      <c r="FW25" s="118">
        <f t="shared" si="16"/>
        <v>1062.8026160597801</v>
      </c>
      <c r="FX25" s="181">
        <f t="shared" si="17"/>
        <v>1069.2375000000002</v>
      </c>
    </row>
    <row r="26" spans="1:180" ht="11.15" thickBot="1" x14ac:dyDescent="0.35">
      <c r="E26" s="22"/>
      <c r="F26" s="22"/>
      <c r="G26" s="23"/>
      <c r="H26" s="23"/>
      <c r="I26" s="23"/>
      <c r="J26" s="23"/>
      <c r="L26" s="283">
        <f t="shared" si="40"/>
        <v>23</v>
      </c>
      <c r="M26" s="290">
        <f>'[6]ASHOKLEY-I'!C42</f>
        <v>42825</v>
      </c>
      <c r="N26" s="7">
        <f>'[6]ASHOKLEY-I'!D42</f>
        <v>83.95</v>
      </c>
      <c r="O26" s="7">
        <f>'[6]ASHOKLEY-I'!E42</f>
        <v>85.3</v>
      </c>
      <c r="P26" s="7">
        <f>'[6]ASHOKLEY-I'!F42</f>
        <v>83.55</v>
      </c>
      <c r="Q26" s="7">
        <f>'[6]ASHOKLEY-I'!G42</f>
        <v>84.8</v>
      </c>
      <c r="R26" s="11">
        <f>'[6]ASHOKLEY-I'!H42</f>
        <v>3166</v>
      </c>
      <c r="S26" s="291">
        <f>'[7]ASIANPAINT-I'!C42</f>
        <v>42825</v>
      </c>
      <c r="T26" s="9">
        <f>'[7]ASIANPAINT-I'!D42</f>
        <v>1072.1500000000001</v>
      </c>
      <c r="U26" s="9">
        <f>'[7]ASIANPAINT-I'!E42</f>
        <v>1081.8</v>
      </c>
      <c r="V26" s="9">
        <f>'[7]ASIANPAINT-I'!F42</f>
        <v>1070.3499999999999</v>
      </c>
      <c r="W26" s="9">
        <f>'[7]ASIANPAINT-I'!G42</f>
        <v>1077.7</v>
      </c>
      <c r="X26" s="12">
        <f>'[7]ASIANPAINT-I'!H42</f>
        <v>2032</v>
      </c>
      <c r="Y26" s="115"/>
      <c r="Z26" s="122">
        <f t="shared" si="18"/>
        <v>2.1686746987951772E-2</v>
      </c>
      <c r="AA26" s="19">
        <f t="shared" si="19"/>
        <v>7.0080358811437111E-3</v>
      </c>
      <c r="AB26" s="305">
        <f>IF(OR(SUM(Z6:Z26)=0,SUM('BNF-Nifty'!AA6:AA26)=0),0,(_xlfn.COVARIANCE.P(Z6:Z26,'BNF-Nifty'!AA6:AA26)/_xlfn.VAR.P('BNF-Nifty'!AA6:AA26)))</f>
        <v>1.4348277843428976</v>
      </c>
      <c r="AC26" s="306">
        <f>IF(OR(SUM(AA6:AA26)=0,SUM('BNF-Nifty'!AA6:AA26)=0),0,(_xlfn.COVARIANCE.P(AA6:AA26,'BNF-Nifty'!AA6:AA26)/_xlfn.VAR.P('BNF-Nifty'!AA6:AA26)))</f>
        <v>1.9122210271226996</v>
      </c>
      <c r="AD26" s="466">
        <f t="shared" si="20"/>
        <v>2.1454935001259466E-2</v>
      </c>
      <c r="AE26" s="17">
        <f t="shared" si="41"/>
        <v>1.2088992754532589E-2</v>
      </c>
      <c r="AF26" s="17">
        <f t="shared" si="42"/>
        <v>1.2844998062455636E-2</v>
      </c>
      <c r="AG26" s="314">
        <f t="shared" si="43"/>
        <v>0.24540334341026915</v>
      </c>
      <c r="AH26" s="467">
        <f t="shared" si="21"/>
        <v>6.9835937255818036E-3</v>
      </c>
      <c r="AI26" s="18">
        <f t="shared" si="53"/>
        <v>1.0134425132605108E-2</v>
      </c>
      <c r="AJ26" s="18">
        <f t="shared" si="22"/>
        <v>9.9734855131851721E-3</v>
      </c>
      <c r="AK26" s="385">
        <f t="shared" si="44"/>
        <v>0.19054317318609393</v>
      </c>
      <c r="AL26" s="10">
        <f t="shared" si="23"/>
        <v>2.0729199456230682E-2</v>
      </c>
      <c r="AM26" s="17">
        <f t="shared" si="45"/>
        <v>2.5509830772285153E-2</v>
      </c>
      <c r="AN26" s="17">
        <f t="shared" si="46"/>
        <v>2.52485318518634E-2</v>
      </c>
      <c r="AO26" s="314">
        <f t="shared" si="47"/>
        <v>0.48237252372643968</v>
      </c>
      <c r="AP26" s="448">
        <f t="shared" si="24"/>
        <v>1.0640622664095146E-2</v>
      </c>
      <c r="AQ26" s="18">
        <f t="shared" si="54"/>
        <v>1.3672643217243197E-2</v>
      </c>
      <c r="AR26" s="18">
        <f t="shared" si="25"/>
        <v>1.3509924989948839E-2</v>
      </c>
      <c r="AS26" s="385">
        <f t="shared" si="48"/>
        <v>0.25810675452305798</v>
      </c>
      <c r="AT26" s="6">
        <f t="shared" si="0"/>
        <v>265785.7</v>
      </c>
      <c r="AU26" s="319">
        <v>0</v>
      </c>
      <c r="AV26" s="140">
        <f t="shared" si="1"/>
        <v>2178608.8000000003</v>
      </c>
      <c r="AW26" s="481">
        <v>0</v>
      </c>
      <c r="AX26" s="135">
        <f t="shared" si="97"/>
        <v>413644.52274564974</v>
      </c>
      <c r="AY26" s="21">
        <f t="shared" si="98"/>
        <v>4774.6597654965617</v>
      </c>
      <c r="AZ26" s="319">
        <f t="shared" si="99"/>
        <v>86.633298090640167</v>
      </c>
      <c r="BA26" s="21">
        <f t="shared" si="2"/>
        <v>84.55</v>
      </c>
      <c r="BB26" s="21">
        <f t="shared" si="3"/>
        <v>267685.3</v>
      </c>
      <c r="BC26" s="21">
        <f t="shared" si="61"/>
        <v>478105.12383198395</v>
      </c>
      <c r="BD26" s="21">
        <f t="shared" si="57"/>
        <v>5645.3410258144613</v>
      </c>
      <c r="BE26" s="332">
        <f t="shared" si="58"/>
        <v>84.690211210580856</v>
      </c>
      <c r="BF26" s="141">
        <f t="shared" si="100"/>
        <v>3021044.2007542416</v>
      </c>
      <c r="BG26" s="118">
        <f t="shared" si="101"/>
        <v>2848.4507169083795</v>
      </c>
      <c r="BH26" s="329">
        <f t="shared" si="102"/>
        <v>1060.5920554711895</v>
      </c>
      <c r="BI26" s="118">
        <f t="shared" si="4"/>
        <v>1076.6166666666666</v>
      </c>
      <c r="BJ26" s="118">
        <f t="shared" si="5"/>
        <v>2187685.0666666664</v>
      </c>
      <c r="BK26" s="118">
        <f t="shared" si="62"/>
        <v>3111106.528736114</v>
      </c>
      <c r="BL26" s="118">
        <f t="shared" si="59"/>
        <v>2911.0966062602847</v>
      </c>
      <c r="BM26" s="325">
        <f t="shared" si="60"/>
        <v>1068.7060408939058</v>
      </c>
      <c r="BN26" s="6">
        <f t="shared" si="6"/>
        <v>268476.79999999999</v>
      </c>
      <c r="BO26" s="331">
        <f t="shared" si="87"/>
        <v>87.349278206678449</v>
      </c>
      <c r="BP26" s="319">
        <f t="shared" si="55"/>
        <v>84.632733978086549</v>
      </c>
      <c r="BQ26" s="331">
        <v>0</v>
      </c>
      <c r="BR26" s="332">
        <f t="shared" si="88"/>
        <v>86.490529253092745</v>
      </c>
      <c r="BS26" s="140">
        <f t="shared" si="7"/>
        <v>2189886.4</v>
      </c>
      <c r="BT26" s="339">
        <f t="shared" si="89"/>
        <v>1069.6130619649641</v>
      </c>
      <c r="BU26" s="329">
        <f t="shared" si="56"/>
        <v>1064.4305812417435</v>
      </c>
      <c r="BV26" s="339">
        <v>0</v>
      </c>
      <c r="BW26" s="325">
        <f t="shared" si="90"/>
        <v>1069.905633822779</v>
      </c>
      <c r="BX26" s="21">
        <f t="shared" si="91"/>
        <v>416958.39956432785</v>
      </c>
      <c r="BY26" s="21">
        <f t="shared" si="92"/>
        <v>4859.4425181328697</v>
      </c>
      <c r="BZ26" s="21">
        <f t="shared" si="93"/>
        <v>85.803751769561956</v>
      </c>
      <c r="CA26" s="21">
        <v>0</v>
      </c>
      <c r="CB26" s="21">
        <v>0</v>
      </c>
      <c r="CC26" s="21">
        <v>0</v>
      </c>
      <c r="CD26" s="342">
        <v>0</v>
      </c>
      <c r="CE26" s="342">
        <v>0</v>
      </c>
      <c r="CF26" s="343">
        <v>0</v>
      </c>
      <c r="CG26" s="141">
        <f t="shared" si="94"/>
        <v>3020290.7850442277</v>
      </c>
      <c r="CH26" s="118">
        <f t="shared" si="95"/>
        <v>2839.6616863946606</v>
      </c>
      <c r="CI26" s="118">
        <f t="shared" si="96"/>
        <v>1063.6093727344332</v>
      </c>
      <c r="CJ26" s="118"/>
      <c r="CK26" s="118"/>
      <c r="CL26" s="118">
        <v>0</v>
      </c>
      <c r="CM26" s="350">
        <v>0</v>
      </c>
      <c r="CN26" s="350">
        <v>0</v>
      </c>
      <c r="CO26" s="351">
        <v>0</v>
      </c>
      <c r="CP26" s="20">
        <f t="shared" si="26"/>
        <v>0.98333333333333428</v>
      </c>
      <c r="CQ26" s="21">
        <f t="shared" si="27"/>
        <v>267685.3</v>
      </c>
      <c r="CR26" s="21">
        <f t="shared" si="28"/>
        <v>0</v>
      </c>
      <c r="CS26" s="21">
        <f t="shared" si="109"/>
        <v>127115.42823463419</v>
      </c>
      <c r="CT26" s="21">
        <f t="shared" si="109"/>
        <v>280513.94946726935</v>
      </c>
      <c r="CU26" s="21">
        <f t="shared" si="105"/>
        <v>0.45315189663844557</v>
      </c>
      <c r="CV26" s="342">
        <f t="shared" si="106"/>
        <v>31.184069448398006</v>
      </c>
      <c r="CW26" s="342">
        <v>0</v>
      </c>
      <c r="CX26" s="355">
        <v>0</v>
      </c>
      <c r="CY26" s="141">
        <f t="shared" si="29"/>
        <v>7.6166666666665606</v>
      </c>
      <c r="CZ26" s="118">
        <f t="shared" si="30"/>
        <v>2187685.0666666664</v>
      </c>
      <c r="DA26" s="118">
        <f t="shared" si="31"/>
        <v>0</v>
      </c>
      <c r="DB26" s="118">
        <f t="shared" si="110"/>
        <v>1739026.3197506014</v>
      </c>
      <c r="DC26" s="118">
        <f t="shared" si="110"/>
        <v>1258501.9813299393</v>
      </c>
      <c r="DD26" s="118">
        <f t="shared" si="107"/>
        <v>1.3818224727090707</v>
      </c>
      <c r="DE26" s="350">
        <f t="shared" si="108"/>
        <v>58.015342811733319</v>
      </c>
      <c r="DF26" s="350">
        <v>0</v>
      </c>
      <c r="DG26" s="351">
        <v>0</v>
      </c>
      <c r="DH26" s="135">
        <f t="shared" si="32"/>
        <v>2.2999999999999972</v>
      </c>
      <c r="DI26" s="20">
        <f t="shared" si="33"/>
        <v>7281.7999999999911</v>
      </c>
      <c r="DJ26" s="21">
        <f>((DI26-DJ25)*(2/(1+21)))+DJ25</f>
        <v>10150.312987012987</v>
      </c>
      <c r="DK26" s="21">
        <f t="shared" ref="DK26:DK67" si="122">((R26-DK25)*(2/(1+21)))+DK25</f>
        <v>3706.8658008658008</v>
      </c>
      <c r="DL26" s="319">
        <f t="shared" ref="DL26:DL67" si="123">DJ26/DK26</f>
        <v>2.7382466839350403</v>
      </c>
      <c r="DM26" s="21">
        <f t="shared" ref="DM26:DM67" si="124">DL26*$F$4</f>
        <v>10952.986735740162</v>
      </c>
      <c r="DN26" s="21">
        <f>DM26*'Base Data'!$D$10</f>
        <v>21905.973471480323</v>
      </c>
      <c r="DO26" s="363">
        <f>IF(INT(('Base Data'!$D$7)/DN26)=0,0,INT(('Base Data'!$D$7)/DN26))</f>
        <v>0</v>
      </c>
      <c r="DP26" s="364">
        <f t="shared" si="113"/>
        <v>3.2290644857724531E-2</v>
      </c>
      <c r="DQ26" s="141">
        <f t="shared" si="34"/>
        <v>11.599999999999909</v>
      </c>
      <c r="DR26" s="143">
        <f t="shared" si="35"/>
        <v>23571.199999999815</v>
      </c>
      <c r="DS26" s="118">
        <f>((DR26-DS25)*(2/(1+21)))+DS25</f>
        <v>51948.613419913388</v>
      </c>
      <c r="DT26" s="118">
        <f t="shared" ref="DT26:DT67" si="125">((X26-DT25)*(2/(1+21)))+DT25</f>
        <v>2741.0043290043291</v>
      </c>
      <c r="DU26" s="329">
        <f t="shared" ref="DU26:DU67" si="126">DS26/DT26</f>
        <v>18.952401085329093</v>
      </c>
      <c r="DV26" s="118">
        <f t="shared" si="114"/>
        <v>11371.440651197456</v>
      </c>
      <c r="DW26" s="118">
        <f>DV26*'Base Data'!$D$10</f>
        <v>22742.881302394911</v>
      </c>
      <c r="DX26" s="375">
        <f>IF(INT(('Base Data'!$D$7)/DW26)=0,0,INT(('Base Data'!$D$7)/DW26))</f>
        <v>0</v>
      </c>
      <c r="DY26" s="376">
        <f t="shared" si="115"/>
        <v>1.7585971128634213E-2</v>
      </c>
      <c r="DZ26" s="135">
        <f t="shared" si="36"/>
        <v>2.2999999999999972</v>
      </c>
      <c r="EA26" s="21">
        <f t="shared" si="37"/>
        <v>7281.7999999999911</v>
      </c>
      <c r="EB26" s="21">
        <f t="shared" si="79"/>
        <v>18030.436175346018</v>
      </c>
      <c r="EC26" s="21">
        <f t="shared" si="75"/>
        <v>5316.2654977874126</v>
      </c>
      <c r="ED26" s="319">
        <f t="shared" si="76"/>
        <v>3.3915605198517911</v>
      </c>
      <c r="EE26" s="21">
        <f t="shared" si="63"/>
        <v>13566.242079407164</v>
      </c>
      <c r="EF26" s="21">
        <f>EE26*'Base Data'!$D$13</f>
        <v>10174.681559555373</v>
      </c>
      <c r="EG26" s="363">
        <f>IF(INT(('Base Data'!$D$7)/EF26)=0,0,INT(('Base Data'!$D$7)/EF26))</f>
        <v>1</v>
      </c>
      <c r="EH26" s="314">
        <f t="shared" si="64"/>
        <v>3.9994817451082444E-2</v>
      </c>
      <c r="EI26" s="143">
        <f t="shared" si="38"/>
        <v>11.599999999999909</v>
      </c>
      <c r="EJ26" s="118">
        <f t="shared" si="39"/>
        <v>23571.199999999815</v>
      </c>
      <c r="EK26" s="118">
        <f t="shared" si="80"/>
        <v>46941.928341339437</v>
      </c>
      <c r="EL26" s="118">
        <f t="shared" si="77"/>
        <v>2880.8614174595446</v>
      </c>
      <c r="EM26" s="329">
        <f t="shared" si="78"/>
        <v>16.294406963433406</v>
      </c>
      <c r="EN26" s="118">
        <f t="shared" si="65"/>
        <v>9776.6441780600435</v>
      </c>
      <c r="EO26" s="118">
        <f>EN26*'Base Data'!$D$13</f>
        <v>7332.4831335450326</v>
      </c>
      <c r="EP26" s="375">
        <f>IF(INT(('Base Data'!$D$7)/EO26)=0,0,INT(('Base Data'!$D$7)/EO26))</f>
        <v>1</v>
      </c>
      <c r="EQ26" s="385">
        <f t="shared" si="66"/>
        <v>1.5119613030930134E-2</v>
      </c>
      <c r="ER26" s="397">
        <f t="shared" si="116"/>
        <v>-1.5726666379672938</v>
      </c>
      <c r="ES26" s="403">
        <f t="shared" si="67"/>
        <v>-0.51967228350594874</v>
      </c>
      <c r="ET26" s="405">
        <f t="shared" si="117"/>
        <v>1.2002499812663636</v>
      </c>
      <c r="EU26" s="410">
        <f t="shared" si="68"/>
        <v>0.80715323747886247</v>
      </c>
      <c r="EV26" s="20">
        <f t="shared" si="8"/>
        <v>1.75</v>
      </c>
      <c r="EW26" s="17">
        <f t="shared" si="9"/>
        <v>2.084574151280524E-2</v>
      </c>
      <c r="EX26" s="388">
        <f t="shared" si="69"/>
        <v>2.5583012219003807E-2</v>
      </c>
      <c r="EY26" s="388">
        <f t="shared" si="103"/>
        <v>2.1844390003186647E-2</v>
      </c>
      <c r="EZ26" s="314">
        <f t="shared" si="118"/>
        <v>2.2894299358720612E-2</v>
      </c>
      <c r="FA26" s="442">
        <f t="shared" si="10"/>
        <v>11.450000000000045</v>
      </c>
      <c r="FB26" s="18">
        <f t="shared" si="11"/>
        <v>1.0679475819614833E-2</v>
      </c>
      <c r="FC26" s="394">
        <f t="shared" si="70"/>
        <v>1.3401877078486895E-2</v>
      </c>
      <c r="FD26" s="394">
        <f t="shared" si="104"/>
        <v>1.4337194522340032E-2</v>
      </c>
      <c r="FE26" s="385">
        <f t="shared" si="119"/>
        <v>1.5321675280518577E-2</v>
      </c>
      <c r="FF26" s="416">
        <f t="shared" si="49"/>
        <v>1</v>
      </c>
      <c r="FG26" s="417">
        <f t="shared" si="50"/>
        <v>2</v>
      </c>
      <c r="FH26" s="415">
        <f t="shared" si="111"/>
        <v>22.352941176470654</v>
      </c>
      <c r="FI26" s="413" t="str">
        <f t="shared" si="120"/>
        <v>C-D</v>
      </c>
      <c r="FJ26" s="404">
        <f t="shared" si="112"/>
        <v>56.159420289855099</v>
      </c>
      <c r="FK26" s="414" t="str">
        <f t="shared" si="121"/>
        <v>T-R</v>
      </c>
      <c r="FL26" s="415">
        <f t="shared" si="71"/>
        <v>33.333333333333393</v>
      </c>
      <c r="FM26" s="413" t="str">
        <f t="shared" si="72"/>
        <v>T-D</v>
      </c>
      <c r="FN26" s="404">
        <f t="shared" si="73"/>
        <v>45.161290322580641</v>
      </c>
      <c r="FO26" s="414" t="str">
        <f t="shared" si="74"/>
        <v>T-R</v>
      </c>
      <c r="FQ26" s="135">
        <f t="shared" si="51"/>
        <v>84.692850440740585</v>
      </c>
      <c r="FR26" s="21">
        <f t="shared" si="12"/>
        <v>85.3</v>
      </c>
      <c r="FS26" s="21">
        <f t="shared" si="13"/>
        <v>83.55</v>
      </c>
      <c r="FT26" s="182">
        <f t="shared" si="14"/>
        <v>84.4</v>
      </c>
      <c r="FU26" s="141">
        <f t="shared" si="52"/>
        <v>1066.0200580298902</v>
      </c>
      <c r="FV26" s="118">
        <f t="shared" si="15"/>
        <v>1081.8</v>
      </c>
      <c r="FW26" s="118">
        <f t="shared" si="16"/>
        <v>1066.0200580298902</v>
      </c>
      <c r="FX26" s="181">
        <f t="shared" si="17"/>
        <v>1075.5</v>
      </c>
    </row>
    <row r="27" spans="1:180" ht="11.15" thickBot="1" x14ac:dyDescent="0.35">
      <c r="A27" s="151" t="s">
        <v>7</v>
      </c>
      <c r="B27" s="152" t="s">
        <v>45</v>
      </c>
      <c r="C27" s="152" t="s">
        <v>46</v>
      </c>
      <c r="D27" s="152" t="s">
        <v>47</v>
      </c>
      <c r="E27" s="152" t="s">
        <v>48</v>
      </c>
      <c r="F27" s="152" t="s">
        <v>49</v>
      </c>
      <c r="G27" s="152" t="s">
        <v>50</v>
      </c>
      <c r="H27" s="152" t="s">
        <v>51</v>
      </c>
      <c r="I27" s="152" t="s">
        <v>52</v>
      </c>
      <c r="J27" s="153" t="s">
        <v>53</v>
      </c>
      <c r="L27" s="283">
        <f t="shared" si="40"/>
        <v>24</v>
      </c>
      <c r="M27" s="290">
        <f>'[6]ASHOKLEY-I'!C43</f>
        <v>42828</v>
      </c>
      <c r="N27" s="7">
        <f>'[6]ASHOKLEY-I'!D43</f>
        <v>85.35</v>
      </c>
      <c r="O27" s="7">
        <f>'[6]ASHOKLEY-I'!E43</f>
        <v>85.75</v>
      </c>
      <c r="P27" s="7">
        <f>'[6]ASHOKLEY-I'!F43</f>
        <v>84.1</v>
      </c>
      <c r="Q27" s="7">
        <f>'[6]ASHOKLEY-I'!G43</f>
        <v>84.55</v>
      </c>
      <c r="R27" s="11">
        <f>'[6]ASHOKLEY-I'!H43</f>
        <v>2684</v>
      </c>
      <c r="S27" s="291">
        <f>'[7]ASIANPAINT-I'!C43</f>
        <v>42828</v>
      </c>
      <c r="T27" s="9">
        <f>'[7]ASIANPAINT-I'!D43</f>
        <v>1080.0999999999999</v>
      </c>
      <c r="U27" s="9">
        <f>'[7]ASIANPAINT-I'!E43</f>
        <v>1097</v>
      </c>
      <c r="V27" s="9">
        <f>'[7]ASIANPAINT-I'!F43</f>
        <v>1071.0999999999999</v>
      </c>
      <c r="W27" s="9">
        <f>'[7]ASIANPAINT-I'!G43</f>
        <v>1091.5999999999999</v>
      </c>
      <c r="X27" s="12">
        <f>'[7]ASIANPAINT-I'!H43</f>
        <v>3005</v>
      </c>
      <c r="Y27" s="115"/>
      <c r="Z27" s="122">
        <f t="shared" si="18"/>
        <v>-2.94811320754717E-3</v>
      </c>
      <c r="AA27" s="19">
        <f t="shared" si="19"/>
        <v>1.2897837988308307E-2</v>
      </c>
      <c r="AB27" s="305">
        <f>IF(OR(SUM(Z7:Z27)=0,SUM('BNF-Nifty'!AA7:AA27)=0),0,(_xlfn.COVARIANCE.P(Z7:Z27,'BNF-Nifty'!AA7:AA27)/_xlfn.VAR.P('BNF-Nifty'!AA7:AA27)))</f>
        <v>1.2026060149738915</v>
      </c>
      <c r="AC27" s="306">
        <f>IF(OR(SUM(AA7:AA27)=0,SUM('BNF-Nifty'!AA7:AA27)=0),0,(_xlfn.COVARIANCE.P(AA7:AA27,'BNF-Nifty'!AA7:AA27)/_xlfn.VAR.P('BNF-Nifty'!AA7:AA27)))</f>
        <v>2.0163201791843592</v>
      </c>
      <c r="AD27" s="466">
        <f t="shared" si="20"/>
        <v>-2.9524674532680891E-3</v>
      </c>
      <c r="AE27" s="17">
        <f t="shared" si="41"/>
        <v>1.2844998062455636E-2</v>
      </c>
      <c r="AF27" s="17">
        <f t="shared" si="42"/>
        <v>1.2474668755312749E-2</v>
      </c>
      <c r="AG27" s="314">
        <f t="shared" si="43"/>
        <v>0.23832821193155729</v>
      </c>
      <c r="AH27" s="467">
        <f t="shared" si="21"/>
        <v>1.2815369231397183E-2</v>
      </c>
      <c r="AI27" s="18">
        <f t="shared" si="53"/>
        <v>9.9734855131851721E-3</v>
      </c>
      <c r="AJ27" s="18">
        <f t="shared" si="22"/>
        <v>1.0166425615575719E-2</v>
      </c>
      <c r="AK27" s="385">
        <f t="shared" si="44"/>
        <v>0.19422928866655886</v>
      </c>
      <c r="AL27" s="10">
        <f t="shared" si="23"/>
        <v>1.942951906714693E-2</v>
      </c>
      <c r="AM27" s="17">
        <f t="shared" si="45"/>
        <v>2.52485318518634E-2</v>
      </c>
      <c r="AN27" s="17">
        <f t="shared" si="46"/>
        <v>2.4937711035797266E-2</v>
      </c>
      <c r="AO27" s="314">
        <f t="shared" si="47"/>
        <v>0.47643430037340667</v>
      </c>
      <c r="AP27" s="448">
        <f t="shared" si="24"/>
        <v>2.3893023504646255E-2</v>
      </c>
      <c r="AQ27" s="18">
        <f t="shared" si="54"/>
        <v>1.3509924989948839E-2</v>
      </c>
      <c r="AR27" s="18">
        <f t="shared" si="25"/>
        <v>1.4346413599628871E-2</v>
      </c>
      <c r="AS27" s="385">
        <f t="shared" si="48"/>
        <v>0.2740878469718056</v>
      </c>
      <c r="AT27" s="6">
        <f t="shared" si="0"/>
        <v>229079.4</v>
      </c>
      <c r="AU27" s="319">
        <v>0</v>
      </c>
      <c r="AV27" s="140">
        <f t="shared" si="1"/>
        <v>3245700.4999999995</v>
      </c>
      <c r="AW27" s="481">
        <v>0</v>
      </c>
      <c r="AX27" s="135">
        <f t="shared" si="97"/>
        <v>387278.07663912833</v>
      </c>
      <c r="AY27" s="21">
        <f t="shared" si="98"/>
        <v>4475.9940847113385</v>
      </c>
      <c r="AZ27" s="319">
        <f t="shared" si="99"/>
        <v>86.523366499065489</v>
      </c>
      <c r="BA27" s="21">
        <f t="shared" si="2"/>
        <v>84.8</v>
      </c>
      <c r="BB27" s="21">
        <f t="shared" si="3"/>
        <v>227603.19999999998</v>
      </c>
      <c r="BC27" s="21">
        <f t="shared" si="61"/>
        <v>394604.48255465599</v>
      </c>
      <c r="BD27" s="21">
        <f t="shared" si="57"/>
        <v>4658.2273505429739</v>
      </c>
      <c r="BE27" s="332">
        <f t="shared" si="58"/>
        <v>84.711297422754598</v>
      </c>
      <c r="BF27" s="141">
        <f t="shared" si="100"/>
        <v>3053137.9577893498</v>
      </c>
      <c r="BG27" s="118">
        <f t="shared" si="101"/>
        <v>2870.8149002071823</v>
      </c>
      <c r="BH27" s="329">
        <f t="shared" si="102"/>
        <v>1063.5091651394903</v>
      </c>
      <c r="BI27" s="118">
        <f t="shared" si="4"/>
        <v>1086.5666666666666</v>
      </c>
      <c r="BJ27" s="118">
        <f t="shared" si="5"/>
        <v>3265132.833333333</v>
      </c>
      <c r="BK27" s="118">
        <f t="shared" si="62"/>
        <v>3162448.6302685202</v>
      </c>
      <c r="BL27" s="118">
        <f t="shared" si="59"/>
        <v>2942.3977375068566</v>
      </c>
      <c r="BM27" s="325">
        <f t="shared" si="60"/>
        <v>1074.7862499881189</v>
      </c>
      <c r="BN27" s="6">
        <f t="shared" si="6"/>
        <v>226932.19999999998</v>
      </c>
      <c r="BO27" s="331">
        <f t="shared" si="87"/>
        <v>87.116646441245152</v>
      </c>
      <c r="BP27" s="319">
        <f t="shared" si="55"/>
        <v>84.366161480235505</v>
      </c>
      <c r="BQ27" s="331">
        <v>0</v>
      </c>
      <c r="BR27" s="332">
        <f t="shared" si="88"/>
        <v>86.205758729108069</v>
      </c>
      <c r="BS27" s="140">
        <f t="shared" si="7"/>
        <v>3280257.9999999995</v>
      </c>
      <c r="BT27" s="339">
        <f t="shared" si="89"/>
        <v>1070.624592779177</v>
      </c>
      <c r="BU27" s="329">
        <f t="shared" si="56"/>
        <v>1072.8231090602981</v>
      </c>
      <c r="BV27" s="339">
        <v>0</v>
      </c>
      <c r="BW27" s="325">
        <f t="shared" si="90"/>
        <v>1071.8270584942627</v>
      </c>
      <c r="BX27" s="21">
        <f t="shared" si="91"/>
        <v>387826.83040058508</v>
      </c>
      <c r="BY27" s="21">
        <f t="shared" si="92"/>
        <v>4524.7590538047361</v>
      </c>
      <c r="BZ27" s="21">
        <f t="shared" si="93"/>
        <v>85.712150810433315</v>
      </c>
      <c r="CA27" s="21">
        <v>0</v>
      </c>
      <c r="CB27" s="21">
        <v>0</v>
      </c>
      <c r="CC27" s="21">
        <v>0</v>
      </c>
      <c r="CD27" s="342">
        <v>0</v>
      </c>
      <c r="CE27" s="342">
        <v>0</v>
      </c>
      <c r="CF27" s="343">
        <v>0</v>
      </c>
      <c r="CG27" s="141">
        <f t="shared" si="94"/>
        <v>3057958.7924733208</v>
      </c>
      <c r="CH27" s="118">
        <f t="shared" si="95"/>
        <v>2865.0983500262514</v>
      </c>
      <c r="CI27" s="118">
        <f t="shared" si="96"/>
        <v>1067.3137250053919</v>
      </c>
      <c r="CJ27" s="118"/>
      <c r="CK27" s="118"/>
      <c r="CL27" s="118">
        <v>0</v>
      </c>
      <c r="CM27" s="350">
        <v>0</v>
      </c>
      <c r="CN27" s="350">
        <v>0</v>
      </c>
      <c r="CO27" s="351">
        <v>0</v>
      </c>
      <c r="CP27" s="20">
        <f t="shared" si="26"/>
        <v>0.25</v>
      </c>
      <c r="CQ27" s="21">
        <f t="shared" si="27"/>
        <v>227603.19999999998</v>
      </c>
      <c r="CR27" s="21">
        <f t="shared" si="28"/>
        <v>0</v>
      </c>
      <c r="CS27" s="21">
        <f t="shared" si="109"/>
        <v>140513.79780334962</v>
      </c>
      <c r="CT27" s="21">
        <f t="shared" si="109"/>
        <v>243112.08953830012</v>
      </c>
      <c r="CU27" s="21">
        <f t="shared" si="105"/>
        <v>0.57797947469499633</v>
      </c>
      <c r="CV27" s="342">
        <f t="shared" si="106"/>
        <v>36.627819560625937</v>
      </c>
      <c r="CW27" s="342">
        <v>0</v>
      </c>
      <c r="CX27" s="355">
        <v>0</v>
      </c>
      <c r="CY27" s="141">
        <f t="shared" si="29"/>
        <v>9.9500000000000455</v>
      </c>
      <c r="CZ27" s="118">
        <f t="shared" si="30"/>
        <v>3265132.833333333</v>
      </c>
      <c r="DA27" s="118">
        <f t="shared" si="31"/>
        <v>0</v>
      </c>
      <c r="DB27" s="118">
        <f t="shared" si="110"/>
        <v>1942507.1882282989</v>
      </c>
      <c r="DC27" s="118">
        <f t="shared" si="110"/>
        <v>1090701.7171526141</v>
      </c>
      <c r="DD27" s="118">
        <f t="shared" si="107"/>
        <v>1.7809701384714127</v>
      </c>
      <c r="DE27" s="350">
        <f t="shared" si="108"/>
        <v>64.041325501263401</v>
      </c>
      <c r="DF27" s="350">
        <v>0</v>
      </c>
      <c r="DG27" s="351">
        <v>0</v>
      </c>
      <c r="DH27" s="135">
        <f t="shared" si="32"/>
        <v>1.6500000000000057</v>
      </c>
      <c r="DI27" s="20">
        <f t="shared" si="33"/>
        <v>4428.6000000000149</v>
      </c>
      <c r="DJ27" s="21">
        <f t="shared" ref="DJ27:DJ67" si="127">((DI27-DJ26)*(2/(1+21)))+DJ26</f>
        <v>9630.1572609208979</v>
      </c>
      <c r="DK27" s="21">
        <f t="shared" si="122"/>
        <v>3613.8780007870914</v>
      </c>
      <c r="DL27" s="319">
        <f t="shared" si="123"/>
        <v>2.6647709908368462</v>
      </c>
      <c r="DM27" s="21">
        <f t="shared" si="124"/>
        <v>10659.083963347384</v>
      </c>
      <c r="DN27" s="21">
        <f>DM27*'Base Data'!$D$10</f>
        <v>21318.167926694769</v>
      </c>
      <c r="DO27" s="363">
        <f>IF(INT(('Base Data'!$D$7)/DN27)=0,0,INT(('Base Data'!$D$7)/DN27))</f>
        <v>0</v>
      </c>
      <c r="DP27" s="364">
        <f t="shared" si="113"/>
        <v>3.1517102197952056E-2</v>
      </c>
      <c r="DQ27" s="141">
        <f t="shared" si="34"/>
        <v>25.900000000000091</v>
      </c>
      <c r="DR27" s="143">
        <f t="shared" si="35"/>
        <v>77829.500000000276</v>
      </c>
      <c r="DS27" s="118">
        <f t="shared" ref="DS27:DS67" si="128">((DR27-DS26)*(2/(1+21)))+DS26</f>
        <v>54301.421290830382</v>
      </c>
      <c r="DT27" s="118">
        <f t="shared" si="125"/>
        <v>2765.003935458481</v>
      </c>
      <c r="DU27" s="329">
        <f t="shared" si="126"/>
        <v>19.638822424253206</v>
      </c>
      <c r="DV27" s="118">
        <f t="shared" si="114"/>
        <v>11783.293454551924</v>
      </c>
      <c r="DW27" s="118">
        <f>DV27*'Base Data'!$D$10</f>
        <v>23566.586909103848</v>
      </c>
      <c r="DX27" s="375">
        <f>IF(INT(('Base Data'!$D$7)/DW27)=0,0,INT(('Base Data'!$D$7)/DW27))</f>
        <v>0</v>
      </c>
      <c r="DY27" s="376">
        <f t="shared" si="115"/>
        <v>1.7990859677769519E-2</v>
      </c>
      <c r="DZ27" s="135">
        <f t="shared" si="36"/>
        <v>1.6500000000000057</v>
      </c>
      <c r="EA27" s="21">
        <f t="shared" si="37"/>
        <v>4428.6000000000149</v>
      </c>
      <c r="EB27" s="21">
        <f t="shared" si="79"/>
        <v>15007.805914158018</v>
      </c>
      <c r="EC27" s="21">
        <f t="shared" si="75"/>
        <v>4731.3176093902102</v>
      </c>
      <c r="ED27" s="319">
        <f t="shared" si="76"/>
        <v>3.1720140462293505</v>
      </c>
      <c r="EE27" s="21">
        <f t="shared" si="63"/>
        <v>12688.056184917401</v>
      </c>
      <c r="EF27" s="21">
        <f>EE27*'Base Data'!$D$13</f>
        <v>9516.0421386880516</v>
      </c>
      <c r="EG27" s="363">
        <f>IF(INT(('Base Data'!$D$7)/EF27)=0,0,INT(('Base Data'!$D$7)/EF27))</f>
        <v>1</v>
      </c>
      <c r="EH27" s="314">
        <f t="shared" si="64"/>
        <v>3.7516428695793622E-2</v>
      </c>
      <c r="EI27" s="143">
        <f t="shared" si="38"/>
        <v>25.900000000000091</v>
      </c>
      <c r="EJ27" s="118">
        <f t="shared" si="39"/>
        <v>77829.500000000276</v>
      </c>
      <c r="EK27" s="118">
        <f t="shared" si="80"/>
        <v>53805.833154375177</v>
      </c>
      <c r="EL27" s="118">
        <f t="shared" si="77"/>
        <v>2908.4477691352013</v>
      </c>
      <c r="EM27" s="329">
        <f t="shared" si="78"/>
        <v>18.499845080722842</v>
      </c>
      <c r="EN27" s="118">
        <f t="shared" si="65"/>
        <v>11099.907048433706</v>
      </c>
      <c r="EO27" s="118">
        <f>EN27*'Base Data'!$D$13</f>
        <v>8324.9302863252797</v>
      </c>
      <c r="EP27" s="375">
        <f>IF(INT(('Base Data'!$D$7)/EO27)=0,0,INT(('Base Data'!$D$7)/EO27))</f>
        <v>1</v>
      </c>
      <c r="EQ27" s="385">
        <f t="shared" si="66"/>
        <v>1.6947457933971091E-2</v>
      </c>
      <c r="ER27" s="397">
        <f t="shared" si="116"/>
        <v>-1.6032230300137682</v>
      </c>
      <c r="ES27" s="403">
        <f t="shared" si="67"/>
        <v>-0.46040674643376578</v>
      </c>
      <c r="ET27" s="405">
        <f t="shared" si="117"/>
        <v>1.7699797222765061</v>
      </c>
      <c r="EU27" s="410">
        <f t="shared" si="68"/>
        <v>1.457106796428735</v>
      </c>
      <c r="EV27" s="20">
        <f t="shared" si="8"/>
        <v>1.6500000000000057</v>
      </c>
      <c r="EW27" s="17">
        <f t="shared" si="9"/>
        <v>1.9332161687170543E-2</v>
      </c>
      <c r="EX27" s="388">
        <f t="shared" si="69"/>
        <v>2.5594325865101027E-2</v>
      </c>
      <c r="EY27" s="388">
        <f t="shared" si="103"/>
        <v>2.2062121658736961E-2</v>
      </c>
      <c r="EZ27" s="314">
        <f t="shared" si="118"/>
        <v>2.201593668773932E-2</v>
      </c>
      <c r="FA27" s="442">
        <f t="shared" si="10"/>
        <v>25.900000000000091</v>
      </c>
      <c r="FB27" s="18">
        <f t="shared" si="11"/>
        <v>2.3979261179520501E-2</v>
      </c>
      <c r="FC27" s="394">
        <f t="shared" si="70"/>
        <v>1.4695837750871545E-2</v>
      </c>
      <c r="FD27" s="394">
        <f t="shared" si="104"/>
        <v>1.5133587903950824E-2</v>
      </c>
      <c r="FE27" s="385">
        <f t="shared" si="119"/>
        <v>1.5631140243057902E-2</v>
      </c>
      <c r="FF27" s="416">
        <f t="shared" si="49"/>
        <v>2</v>
      </c>
      <c r="FG27" s="417">
        <f t="shared" si="50"/>
        <v>2</v>
      </c>
      <c r="FH27" s="415">
        <f t="shared" si="111"/>
        <v>25.490196078431371</v>
      </c>
      <c r="FI27" s="413" t="str">
        <f t="shared" si="120"/>
        <v>C-R</v>
      </c>
      <c r="FJ27" s="404">
        <f t="shared" si="112"/>
        <v>82.979942693409583</v>
      </c>
      <c r="FK27" s="414" t="str">
        <f t="shared" si="121"/>
        <v>T-R</v>
      </c>
      <c r="FL27" s="415">
        <f t="shared" si="71"/>
        <v>36.07594936708869</v>
      </c>
      <c r="FM27" s="413" t="str">
        <f t="shared" si="72"/>
        <v>T-R</v>
      </c>
      <c r="FN27" s="404">
        <f t="shared" si="73"/>
        <v>48.841519925857064</v>
      </c>
      <c r="FO27" s="414" t="str">
        <f t="shared" si="74"/>
        <v>T-R</v>
      </c>
      <c r="FQ27" s="135">
        <f t="shared" si="51"/>
        <v>84.546425220370296</v>
      </c>
      <c r="FR27" s="21">
        <f t="shared" si="12"/>
        <v>85.75</v>
      </c>
      <c r="FS27" s="21">
        <f t="shared" si="13"/>
        <v>84.1</v>
      </c>
      <c r="FT27" s="182">
        <f t="shared" si="14"/>
        <v>84.9375</v>
      </c>
      <c r="FU27" s="141">
        <f t="shared" si="52"/>
        <v>1070.7600290149451</v>
      </c>
      <c r="FV27" s="118">
        <f t="shared" si="15"/>
        <v>1097</v>
      </c>
      <c r="FW27" s="118">
        <f t="shared" si="16"/>
        <v>1070.7600290149451</v>
      </c>
      <c r="FX27" s="181">
        <f t="shared" si="17"/>
        <v>1084.9499999999998</v>
      </c>
    </row>
    <row r="28" spans="1:180" x14ac:dyDescent="0.3">
      <c r="A28" s="112" t="s">
        <v>54</v>
      </c>
      <c r="B28" s="427">
        <f ca="1">IF($H$11=0,IF($AG$69&gt;=50%,F20,F23),IF($AG$69&gt;=50%,F20/1000,F23/1000))</f>
        <v>93.479031000124905</v>
      </c>
      <c r="C28" s="428">
        <f ca="1">IF($H$11=0,IF($AG$69&gt;=50%,E20,E23),IF($AG$69&gt;=50%,E20/1000,E23/1000))</f>
        <v>93.972480450449069</v>
      </c>
      <c r="D28" s="428">
        <f ca="1">IF($H$11=0,IF($AG$69&gt;=50%,E19,E21),IF($AG$69&gt;=50%,E19/1000,E21/1000))</f>
        <v>94.15908476648373</v>
      </c>
      <c r="E28" s="428">
        <f ca="1">IF($H$11=0,IF($AG$69&gt;=50%,E18,E20),IF($AG$69&gt;=50%,E18/1000,E20/1000))</f>
        <v>94.471989591958049</v>
      </c>
      <c r="F28" s="428">
        <f ca="1">IF($H$11=0,IF($AG$69&gt;=50%,E17,E19),IF($AG$69&gt;=50%,E17/1000,E19/1000))</f>
        <v>94.787272334995862</v>
      </c>
      <c r="G28" s="428">
        <f ca="1">IF($H$11=0,IF($AG$69&gt;=50%,E16,E18),IF($AG$69&gt;=50%,E16/1000,E18/1000))</f>
        <v>94.914052768226</v>
      </c>
      <c r="H28" s="428">
        <f ca="1">IF($H$11=0,IF($AG$69&gt;=50%,E15,E17),IF($AG$69&gt;=50%,E15/1000,E17/1000))</f>
        <v>94.977586202429592</v>
      </c>
      <c r="I28" s="428">
        <f ca="1">IF($H$11=0,IF($AG$69&gt;=50%,0,E16),IF($AG$69&gt;=50%,0,E16/1000))</f>
        <v>95.104939777281217</v>
      </c>
      <c r="J28" s="429">
        <f ca="1">IF($H$11=0,IF($AG$69&gt;=50%,0,E15),IF($AG$69&gt;=50%,0,E15/1000))</f>
        <v>95.168760026436189</v>
      </c>
      <c r="L28" s="283">
        <f t="shared" si="40"/>
        <v>25</v>
      </c>
      <c r="M28" s="290">
        <f>'[6]ASHOKLEY-I'!C44</f>
        <v>42830</v>
      </c>
      <c r="N28" s="7">
        <f>'[6]ASHOKLEY-I'!D44</f>
        <v>85.9</v>
      </c>
      <c r="O28" s="7">
        <f>'[6]ASHOKLEY-I'!E44</f>
        <v>86.65</v>
      </c>
      <c r="P28" s="7">
        <f>'[6]ASHOKLEY-I'!F44</f>
        <v>85.1</v>
      </c>
      <c r="Q28" s="7">
        <f>'[6]ASHOKLEY-I'!G44</f>
        <v>85.4</v>
      </c>
      <c r="R28" s="11">
        <f>'[6]ASHOKLEY-I'!H44</f>
        <v>2805</v>
      </c>
      <c r="S28" s="291">
        <f>'[7]ASIANPAINT-I'!C44</f>
        <v>42830</v>
      </c>
      <c r="T28" s="9">
        <f>'[7]ASIANPAINT-I'!D44</f>
        <v>1095.2</v>
      </c>
      <c r="U28" s="9">
        <f>'[7]ASIANPAINT-I'!E44</f>
        <v>1095.6500000000001</v>
      </c>
      <c r="V28" s="9">
        <f>'[7]ASIANPAINT-I'!F44</f>
        <v>1075.0999999999999</v>
      </c>
      <c r="W28" s="9">
        <f>'[7]ASIANPAINT-I'!G44</f>
        <v>1086.05</v>
      </c>
      <c r="X28" s="12">
        <f>'[7]ASIANPAINT-I'!H44</f>
        <v>2427</v>
      </c>
      <c r="Y28" s="115"/>
      <c r="Z28" s="122">
        <f t="shared" si="18"/>
        <v>1.0053222945003057E-2</v>
      </c>
      <c r="AA28" s="19">
        <f t="shared" si="19"/>
        <v>-5.0842799560278078E-3</v>
      </c>
      <c r="AB28" s="305">
        <f>IF(OR(SUM(Z8:Z28)=0,SUM('BNF-Nifty'!AA8:AA28)=0),0,(_xlfn.COVARIANCE.P(Z8:Z28,'BNF-Nifty'!AA8:AA28)/_xlfn.VAR.P('BNF-Nifty'!AA8:AA28)))</f>
        <v>1.2248479562166654</v>
      </c>
      <c r="AC28" s="306">
        <f>IF(OR(SUM(AA8:AA28)=0,SUM('BNF-Nifty'!AA8:AA28)=0),0,(_xlfn.COVARIANCE.P(AA8:AA28,'BNF-Nifty'!AA8:AA28)/_xlfn.VAR.P('BNF-Nifty'!AA8:AA28)))</f>
        <v>1.9794392104662355</v>
      </c>
      <c r="AD28" s="466">
        <f t="shared" si="20"/>
        <v>1.0003025449934911E-2</v>
      </c>
      <c r="AE28" s="17">
        <f t="shared" si="41"/>
        <v>1.2474668755312749E-2</v>
      </c>
      <c r="AF28" s="17">
        <f t="shared" si="42"/>
        <v>1.234033832642413E-2</v>
      </c>
      <c r="AG28" s="314">
        <f t="shared" si="43"/>
        <v>0.23576183269111539</v>
      </c>
      <c r="AH28" s="467">
        <f t="shared" si="21"/>
        <v>-5.0972488844808267E-3</v>
      </c>
      <c r="AI28" s="18">
        <f t="shared" si="53"/>
        <v>1.0166425615575719E-2</v>
      </c>
      <c r="AJ28" s="18">
        <f t="shared" si="22"/>
        <v>9.9354795546381432E-3</v>
      </c>
      <c r="AK28" s="385">
        <f t="shared" si="44"/>
        <v>0.18981707036758017</v>
      </c>
      <c r="AL28" s="10">
        <f t="shared" si="23"/>
        <v>1.8049980582286757E-2</v>
      </c>
      <c r="AM28" s="17">
        <f t="shared" si="45"/>
        <v>2.4937711035797266E-2</v>
      </c>
      <c r="AN28" s="17">
        <f t="shared" si="46"/>
        <v>2.4578937604052071E-2</v>
      </c>
      <c r="AO28" s="314">
        <f t="shared" si="47"/>
        <v>0.4695799435841761</v>
      </c>
      <c r="AP28" s="448">
        <f t="shared" si="24"/>
        <v>1.8934113950230338E-2</v>
      </c>
      <c r="AQ28" s="18">
        <f t="shared" si="54"/>
        <v>1.4346413599628871E-2</v>
      </c>
      <c r="AR28" s="18">
        <f t="shared" si="25"/>
        <v>1.4662211581004336E-2</v>
      </c>
      <c r="AS28" s="385">
        <f t="shared" si="48"/>
        <v>0.28012115893455863</v>
      </c>
      <c r="AT28" s="6">
        <f t="shared" si="0"/>
        <v>240949.50000000003</v>
      </c>
      <c r="AU28" s="319">
        <v>0</v>
      </c>
      <c r="AV28" s="140">
        <f t="shared" si="1"/>
        <v>2658050.4</v>
      </c>
      <c r="AW28" s="481">
        <v>0</v>
      </c>
      <c r="AX28" s="135">
        <f t="shared" si="97"/>
        <v>366373.99426210998</v>
      </c>
      <c r="AY28" s="21">
        <f t="shared" si="98"/>
        <v>4237.2806440382901</v>
      </c>
      <c r="AZ28" s="319">
        <f t="shared" si="99"/>
        <v>86.46441551554669</v>
      </c>
      <c r="BA28" s="21">
        <f t="shared" si="2"/>
        <v>85.716666666666654</v>
      </c>
      <c r="BB28" s="21">
        <f t="shared" si="3"/>
        <v>240435.24999999997</v>
      </c>
      <c r="BC28" s="21">
        <f t="shared" si="61"/>
        <v>343214.73836977064</v>
      </c>
      <c r="BD28" s="21">
        <f t="shared" si="57"/>
        <v>4040.4849003619829</v>
      </c>
      <c r="BE28" s="332">
        <f t="shared" si="58"/>
        <v>84.94394777691717</v>
      </c>
      <c r="BF28" s="141">
        <f t="shared" si="100"/>
        <v>2996696.8781051571</v>
      </c>
      <c r="BG28" s="118">
        <f t="shared" si="101"/>
        <v>2807.4127716061562</v>
      </c>
      <c r="BH28" s="329">
        <f t="shared" si="102"/>
        <v>1067.4229697938963</v>
      </c>
      <c r="BI28" s="118">
        <f t="shared" si="4"/>
        <v>1085.6000000000001</v>
      </c>
      <c r="BJ28" s="118">
        <f t="shared" si="5"/>
        <v>2634751.2000000002</v>
      </c>
      <c r="BK28" s="118">
        <f t="shared" si="62"/>
        <v>2986549.48684568</v>
      </c>
      <c r="BL28" s="118">
        <f t="shared" si="59"/>
        <v>2770.5984916712378</v>
      </c>
      <c r="BM28" s="325">
        <f t="shared" si="60"/>
        <v>1077.9438073844397</v>
      </c>
      <c r="BN28" s="6">
        <f t="shared" si="6"/>
        <v>239547.00000000003</v>
      </c>
      <c r="BO28" s="331">
        <f t="shared" si="87"/>
        <v>86.721852133863251</v>
      </c>
      <c r="BP28" s="319">
        <f t="shared" si="55"/>
        <v>84.114830676215519</v>
      </c>
      <c r="BQ28" s="331">
        <v>0</v>
      </c>
      <c r="BR28" s="332">
        <f t="shared" si="88"/>
        <v>85.785087100248845</v>
      </c>
      <c r="BS28" s="140">
        <f t="shared" si="7"/>
        <v>2635843.35</v>
      </c>
      <c r="BT28" s="339">
        <f t="shared" si="89"/>
        <v>1071.7563918514427</v>
      </c>
      <c r="BU28" s="329">
        <f t="shared" si="56"/>
        <v>1077.059824761182</v>
      </c>
      <c r="BV28" s="339">
        <v>0</v>
      </c>
      <c r="BW28" s="325">
        <f t="shared" si="90"/>
        <v>1071.015173926942</v>
      </c>
      <c r="BX28" s="21">
        <f t="shared" si="91"/>
        <v>365151.20264664892</v>
      </c>
      <c r="BY28" s="21">
        <f t="shared" si="92"/>
        <v>4260.1807378347767</v>
      </c>
      <c r="BZ28" s="21">
        <f t="shared" si="93"/>
        <v>85.712608247751447</v>
      </c>
      <c r="CA28" s="21">
        <v>0</v>
      </c>
      <c r="CB28" s="21">
        <v>0</v>
      </c>
      <c r="CC28" s="21">
        <v>0</v>
      </c>
      <c r="CD28" s="342">
        <v>0</v>
      </c>
      <c r="CE28" s="342">
        <v>0</v>
      </c>
      <c r="CF28" s="343">
        <v>0</v>
      </c>
      <c r="CG28" s="141">
        <f t="shared" si="94"/>
        <v>2992849.93209281</v>
      </c>
      <c r="CH28" s="118">
        <f t="shared" si="95"/>
        <v>2797.6986038683667</v>
      </c>
      <c r="CI28" s="118">
        <f t="shared" si="96"/>
        <v>1069.7542358403468</v>
      </c>
      <c r="CJ28" s="118"/>
      <c r="CK28" s="118"/>
      <c r="CL28" s="118">
        <v>0</v>
      </c>
      <c r="CM28" s="350">
        <v>0</v>
      </c>
      <c r="CN28" s="350">
        <v>0</v>
      </c>
      <c r="CO28" s="351">
        <v>0</v>
      </c>
      <c r="CP28" s="20">
        <f t="shared" si="26"/>
        <v>0.91666666666665719</v>
      </c>
      <c r="CQ28" s="21">
        <f t="shared" si="27"/>
        <v>240435.24999999997</v>
      </c>
      <c r="CR28" s="21">
        <f t="shared" si="28"/>
        <v>0</v>
      </c>
      <c r="CS28" s="21">
        <f t="shared" si="109"/>
        <v>153836.65809623632</v>
      </c>
      <c r="CT28" s="21">
        <f t="shared" si="109"/>
        <v>210697.14426652677</v>
      </c>
      <c r="CU28" s="21">
        <f t="shared" si="105"/>
        <v>0.73013167137014767</v>
      </c>
      <c r="CV28" s="342">
        <f t="shared" si="106"/>
        <v>42.200930914809078</v>
      </c>
      <c r="CW28" s="342">
        <v>0</v>
      </c>
      <c r="CX28" s="355">
        <v>0</v>
      </c>
      <c r="CY28" s="141">
        <f t="shared" si="29"/>
        <v>-0.96666666666646961</v>
      </c>
      <c r="CZ28" s="118">
        <f t="shared" si="30"/>
        <v>0</v>
      </c>
      <c r="DA28" s="118">
        <f t="shared" si="31"/>
        <v>2634751.2000000002</v>
      </c>
      <c r="DB28" s="118">
        <f t="shared" si="110"/>
        <v>1683506.229797859</v>
      </c>
      <c r="DC28" s="118">
        <f t="shared" si="110"/>
        <v>1296574.9815322657</v>
      </c>
      <c r="DD28" s="118">
        <f t="shared" si="107"/>
        <v>1.2984256628246258</v>
      </c>
      <c r="DE28" s="350">
        <f t="shared" si="108"/>
        <v>56.491958118364352</v>
      </c>
      <c r="DF28" s="350">
        <v>0</v>
      </c>
      <c r="DG28" s="351">
        <v>0</v>
      </c>
      <c r="DH28" s="135">
        <f t="shared" si="32"/>
        <v>2.1000000000000085</v>
      </c>
      <c r="DI28" s="20">
        <f t="shared" si="33"/>
        <v>5890.5000000000236</v>
      </c>
      <c r="DJ28" s="21">
        <f t="shared" si="127"/>
        <v>9290.1884190189994</v>
      </c>
      <c r="DK28" s="21">
        <f t="shared" si="122"/>
        <v>3540.3436370791742</v>
      </c>
      <c r="DL28" s="319">
        <f t="shared" si="123"/>
        <v>2.6240922835059921</v>
      </c>
      <c r="DM28" s="21">
        <f t="shared" si="124"/>
        <v>10496.369134023969</v>
      </c>
      <c r="DN28" s="21">
        <f>DM28*'Base Data'!$D$10</f>
        <v>20992.738268047939</v>
      </c>
      <c r="DO28" s="363">
        <f>IF(INT(('Base Data'!$D$7)/DN28)=0,0,INT(('Base Data'!$D$7)/DN28))</f>
        <v>0</v>
      </c>
      <c r="DP28" s="364">
        <f t="shared" si="113"/>
        <v>3.072707591927391E-2</v>
      </c>
      <c r="DQ28" s="141">
        <f t="shared" si="34"/>
        <v>20.550000000000182</v>
      </c>
      <c r="DR28" s="143">
        <f t="shared" si="35"/>
        <v>49874.850000000442</v>
      </c>
      <c r="DS28" s="118">
        <f t="shared" si="128"/>
        <v>53899.005718936751</v>
      </c>
      <c r="DT28" s="118">
        <f t="shared" si="125"/>
        <v>2734.2763049622554</v>
      </c>
      <c r="DU28" s="329">
        <f t="shared" si="126"/>
        <v>19.71234787834684</v>
      </c>
      <c r="DV28" s="118">
        <f t="shared" si="114"/>
        <v>11827.408727008104</v>
      </c>
      <c r="DW28" s="118">
        <f>DV28*'Base Data'!$D$10</f>
        <v>23654.817454016207</v>
      </c>
      <c r="DX28" s="375">
        <f>IF(INT(('Base Data'!$D$7)/DW28)=0,0,INT(('Base Data'!$D$7)/DW28))</f>
        <v>0</v>
      </c>
      <c r="DY28" s="376">
        <f t="shared" si="115"/>
        <v>1.8150497563046673E-2</v>
      </c>
      <c r="DZ28" s="135">
        <f t="shared" si="36"/>
        <v>2.1000000000000085</v>
      </c>
      <c r="EA28" s="21">
        <f t="shared" si="37"/>
        <v>5890.5000000000236</v>
      </c>
      <c r="EB28" s="21">
        <f t="shared" si="79"/>
        <v>12981.737933234019</v>
      </c>
      <c r="EC28" s="21">
        <f t="shared" si="75"/>
        <v>4303.247029525719</v>
      </c>
      <c r="ED28" s="319">
        <f t="shared" si="76"/>
        <v>3.0167308184175514</v>
      </c>
      <c r="EE28" s="21">
        <f t="shared" si="63"/>
        <v>12066.923273670205</v>
      </c>
      <c r="EF28" s="21">
        <f>EE28*'Base Data'!$D$13</f>
        <v>9050.1924552526543</v>
      </c>
      <c r="EG28" s="363">
        <f>IF(INT(('Base Data'!$D$7)/EF28)=0,0,INT(('Base Data'!$D$7)/EF28))</f>
        <v>1</v>
      </c>
      <c r="EH28" s="314">
        <f t="shared" si="64"/>
        <v>3.5324716843296855E-2</v>
      </c>
      <c r="EI28" s="143">
        <f t="shared" si="38"/>
        <v>20.550000000000182</v>
      </c>
      <c r="EJ28" s="118">
        <f t="shared" si="39"/>
        <v>49874.850000000442</v>
      </c>
      <c r="EK28" s="118">
        <f t="shared" si="80"/>
        <v>52932.281342291906</v>
      </c>
      <c r="EL28" s="118">
        <f t="shared" si="77"/>
        <v>2801.4593759940453</v>
      </c>
      <c r="EM28" s="329">
        <f t="shared" si="78"/>
        <v>18.894538252409916</v>
      </c>
      <c r="EN28" s="118">
        <f t="shared" si="65"/>
        <v>11336.72295144595</v>
      </c>
      <c r="EO28" s="118">
        <f>EN28*'Base Data'!$D$13</f>
        <v>8502.5422135844638</v>
      </c>
      <c r="EP28" s="375">
        <f>IF(INT(('Base Data'!$D$7)/EO28)=0,0,INT(('Base Data'!$D$7)/EO28))</f>
        <v>1</v>
      </c>
      <c r="EQ28" s="385">
        <f t="shared" si="66"/>
        <v>1.7397484694452296E-2</v>
      </c>
      <c r="ER28" s="397">
        <f t="shared" si="116"/>
        <v>-1.2373137245338697</v>
      </c>
      <c r="ES28" s="403">
        <f t="shared" si="67"/>
        <v>-8.1489979759699738E-2</v>
      </c>
      <c r="ET28" s="405">
        <f t="shared" si="117"/>
        <v>1.3585876500470093</v>
      </c>
      <c r="EU28" s="410">
        <f t="shared" si="68"/>
        <v>0.9586103538513191</v>
      </c>
      <c r="EV28" s="20">
        <f t="shared" si="8"/>
        <v>1.5500000000000114</v>
      </c>
      <c r="EW28" s="17">
        <f t="shared" si="9"/>
        <v>1.8044237485448325E-2</v>
      </c>
      <c r="EX28" s="388">
        <f t="shared" si="69"/>
        <v>2.6488043624176554E-2</v>
      </c>
      <c r="EY28" s="388">
        <f t="shared" si="103"/>
        <v>2.236847416156984E-2</v>
      </c>
      <c r="EZ28" s="314">
        <f t="shared" si="118"/>
        <v>2.170977969020382E-2</v>
      </c>
      <c r="FA28" s="442">
        <f t="shared" si="10"/>
        <v>20.550000000000182</v>
      </c>
      <c r="FB28" s="18">
        <f t="shared" si="11"/>
        <v>1.8763696128561158E-2</v>
      </c>
      <c r="FC28" s="394">
        <f t="shared" si="70"/>
        <v>1.5468382122092424E-2</v>
      </c>
      <c r="FD28" s="394">
        <f t="shared" si="104"/>
        <v>1.5240275318041015E-2</v>
      </c>
      <c r="FE28" s="385">
        <f t="shared" si="119"/>
        <v>1.5624736566393415E-2</v>
      </c>
      <c r="FF28" s="416">
        <f t="shared" si="49"/>
        <v>0</v>
      </c>
      <c r="FG28" s="417">
        <f t="shared" si="50"/>
        <v>2</v>
      </c>
      <c r="FH28" s="415">
        <f t="shared" si="111"/>
        <v>44.313725490196006</v>
      </c>
      <c r="FI28" s="413" t="str">
        <f t="shared" si="120"/>
        <v>T-R</v>
      </c>
      <c r="FJ28" s="404">
        <f t="shared" si="112"/>
        <v>68.606138107416669</v>
      </c>
      <c r="FK28" s="414" t="str">
        <f t="shared" si="121"/>
        <v>T-D</v>
      </c>
      <c r="FL28" s="415">
        <f t="shared" si="71"/>
        <v>25.31645569620251</v>
      </c>
      <c r="FM28" s="413" t="str">
        <f t="shared" si="72"/>
        <v>C-D</v>
      </c>
      <c r="FN28" s="404">
        <f t="shared" si="73"/>
        <v>35.403151065801467</v>
      </c>
      <c r="FO28" s="414" t="str">
        <f t="shared" si="74"/>
        <v>T-D</v>
      </c>
      <c r="FQ28" s="135">
        <f t="shared" si="51"/>
        <v>84.741962610185141</v>
      </c>
      <c r="FR28" s="21">
        <f t="shared" si="12"/>
        <v>86.65</v>
      </c>
      <c r="FS28" s="21">
        <f t="shared" si="13"/>
        <v>84.741962610185141</v>
      </c>
      <c r="FT28" s="182">
        <f t="shared" si="14"/>
        <v>85.762499999999989</v>
      </c>
      <c r="FU28" s="141">
        <f t="shared" si="52"/>
        <v>1077.8550145074723</v>
      </c>
      <c r="FV28" s="118">
        <f t="shared" si="15"/>
        <v>1095.6500000000001</v>
      </c>
      <c r="FW28" s="118">
        <f t="shared" si="16"/>
        <v>1075.0999999999999</v>
      </c>
      <c r="FX28" s="181">
        <f t="shared" si="17"/>
        <v>1088</v>
      </c>
    </row>
    <row r="29" spans="1:180" ht="11.15" thickBot="1" x14ac:dyDescent="0.35">
      <c r="A29" s="113" t="s">
        <v>55</v>
      </c>
      <c r="B29" s="430">
        <f ca="1">IF($H$11=0,IF($AG$69&gt;=50%,E20,E23),IF($AG$69&gt;=50%,E20/1000,E23/1000))</f>
        <v>93.972480450449069</v>
      </c>
      <c r="C29" s="431">
        <f ca="1">IF($H$11=0,IF($AG$69&gt;=50%,F20,F23),IF($AG$69&gt;=50%,F20/1000,F23/1000))</f>
        <v>93.479031000124905</v>
      </c>
      <c r="D29" s="431">
        <f ca="1">IF($H$11=0,IF($AG$69&gt;=50%,F19,F21),IF($AG$69&gt;=50%,F19/1000,F21/1000))</f>
        <v>93.295544050899068</v>
      </c>
      <c r="E29" s="431">
        <f ca="1">IF($H$11=0,IF($AG$69&gt;=50%,F18,F20),IF($AG$69&gt;=50%,F18/1000,F20/1000))</f>
        <v>92.991613463207756</v>
      </c>
      <c r="F29" s="431">
        <f ca="1">IF($H$11=0,IF($AG$69&gt;=50%,F17,F19),IF($AG$69&gt;=50%,F17/1000,F19/1000))</f>
        <v>92.690028240996597</v>
      </c>
      <c r="G29" s="431">
        <f ca="1">IF($H$11=0,IF($AG$69&gt;=50%,F16,F18),IF($AG$69&gt;=50%,F16/1000,F18/1000))</f>
        <v>92.570049335349381</v>
      </c>
      <c r="H29" s="431">
        <f ca="1">IF($H$11=0,IF($AG$69&gt;=50%,F15,F17),IF($AG$69&gt;=50%,F15/1000,F17/1000))</f>
        <v>92.510200061919846</v>
      </c>
      <c r="I29" s="431">
        <f ca="1">IF($H$11=0,IF($AG$69&gt;=50%,0,F16),IF($AG$69&gt;=50%,0,F16/1000))</f>
        <v>92.390781602581612</v>
      </c>
      <c r="J29" s="432">
        <f ca="1">IF($H$11=0,IF($AG$69&gt;=50%,0,F15),IF($AG$69&gt;=50%,0,F15/1000))</f>
        <v>92.331212308165945</v>
      </c>
      <c r="L29" s="283">
        <f t="shared" si="40"/>
        <v>26</v>
      </c>
      <c r="M29" s="290">
        <f>'[6]ASHOKLEY-I'!C45</f>
        <v>42831</v>
      </c>
      <c r="N29" s="7">
        <f>'[6]ASHOKLEY-I'!D45</f>
        <v>85.1</v>
      </c>
      <c r="O29" s="7">
        <f>'[6]ASHOKLEY-I'!E45</f>
        <v>85.25</v>
      </c>
      <c r="P29" s="7">
        <f>'[6]ASHOKLEY-I'!F45</f>
        <v>84.25</v>
      </c>
      <c r="Q29" s="7">
        <f>'[6]ASHOKLEY-I'!G45</f>
        <v>84.8</v>
      </c>
      <c r="R29" s="11">
        <f>'[6]ASHOKLEY-I'!H45</f>
        <v>1701</v>
      </c>
      <c r="S29" s="291">
        <f>'[7]ASIANPAINT-I'!C45</f>
        <v>42831</v>
      </c>
      <c r="T29" s="9">
        <f>'[7]ASIANPAINT-I'!D45</f>
        <v>1076.0999999999999</v>
      </c>
      <c r="U29" s="9">
        <f>'[7]ASIANPAINT-I'!E45</f>
        <v>1090.2</v>
      </c>
      <c r="V29" s="9">
        <f>'[7]ASIANPAINT-I'!F45</f>
        <v>1073</v>
      </c>
      <c r="W29" s="9">
        <f>'[7]ASIANPAINT-I'!G45</f>
        <v>1087.8</v>
      </c>
      <c r="X29" s="12">
        <f>'[7]ASIANPAINT-I'!H45</f>
        <v>1729</v>
      </c>
      <c r="Y29" s="115"/>
      <c r="Z29" s="122">
        <f t="shared" si="18"/>
        <v>-7.0257611241218796E-3</v>
      </c>
      <c r="AA29" s="19">
        <f t="shared" si="19"/>
        <v>1.6113438607798904E-3</v>
      </c>
      <c r="AB29" s="305">
        <f>IF(OR(SUM(Z9:Z29)=0,SUM('BNF-Nifty'!AA9:AA29)=0),0,(_xlfn.COVARIANCE.P(Z9:Z29,'BNF-Nifty'!AA9:AA29)/_xlfn.VAR.P('BNF-Nifty'!AA9:AA29)))</f>
        <v>0.95342792449720704</v>
      </c>
      <c r="AC29" s="306">
        <f>IF(OR(SUM(AA9:AA29)=0,SUM('BNF-Nifty'!AA9:AA29)=0),0,(_xlfn.COVARIANCE.P(AA9:AA29,'BNF-Nifty'!AA9:AA29)/_xlfn.VAR.P('BNF-Nifty'!AA9:AA29)))</f>
        <v>1.9402949068110265</v>
      </c>
      <c r="AD29" s="466">
        <f t="shared" si="20"/>
        <v>-7.0505579966669112E-3</v>
      </c>
      <c r="AE29" s="17">
        <f t="shared" si="41"/>
        <v>1.234033832642413E-2</v>
      </c>
      <c r="AF29" s="17">
        <f t="shared" si="42"/>
        <v>1.2088404985515557E-2</v>
      </c>
      <c r="AG29" s="314">
        <f t="shared" si="43"/>
        <v>0.23094865297128414</v>
      </c>
      <c r="AH29" s="467">
        <f t="shared" si="21"/>
        <v>1.6100470391578478E-3</v>
      </c>
      <c r="AI29" s="18">
        <f t="shared" si="53"/>
        <v>9.9354795546381432E-3</v>
      </c>
      <c r="AJ29" s="18">
        <f t="shared" si="22"/>
        <v>9.6408746402954874E-3</v>
      </c>
      <c r="AK29" s="385">
        <f t="shared" si="44"/>
        <v>0.18418865138197524</v>
      </c>
      <c r="AL29" s="10">
        <f t="shared" si="23"/>
        <v>1.1799546931155031E-2</v>
      </c>
      <c r="AM29" s="17">
        <f t="shared" si="45"/>
        <v>2.4578937604052071E-2</v>
      </c>
      <c r="AN29" s="17">
        <f t="shared" si="46"/>
        <v>2.4004801223631984E-2</v>
      </c>
      <c r="AO29" s="314">
        <f t="shared" si="47"/>
        <v>0.45861108343772122</v>
      </c>
      <c r="AP29" s="448">
        <f t="shared" si="24"/>
        <v>1.5902701999482051E-2</v>
      </c>
      <c r="AQ29" s="18">
        <f t="shared" si="54"/>
        <v>1.4662211581004336E-2</v>
      </c>
      <c r="AR29" s="18">
        <f t="shared" si="25"/>
        <v>1.4739585387399105E-2</v>
      </c>
      <c r="AS29" s="385">
        <f t="shared" si="48"/>
        <v>0.28159938343014296</v>
      </c>
      <c r="AT29" s="6">
        <f t="shared" si="0"/>
        <v>144755.09999999998</v>
      </c>
      <c r="AU29" s="319">
        <v>0</v>
      </c>
      <c r="AV29" s="140">
        <f t="shared" si="1"/>
        <v>1860576.9</v>
      </c>
      <c r="AW29" s="481">
        <v>0</v>
      </c>
      <c r="AX29" s="135">
        <f t="shared" si="97"/>
        <v>334714.15222466568</v>
      </c>
      <c r="AY29" s="21">
        <f t="shared" si="98"/>
        <v>3874.954837747106</v>
      </c>
      <c r="AZ29" s="319">
        <f t="shared" si="99"/>
        <v>86.378852461482637</v>
      </c>
      <c r="BA29" s="21">
        <f t="shared" si="2"/>
        <v>84.766666666666666</v>
      </c>
      <c r="BB29" s="21">
        <f t="shared" si="3"/>
        <v>144188.1</v>
      </c>
      <c r="BC29" s="21">
        <f t="shared" si="61"/>
        <v>276872.5255798471</v>
      </c>
      <c r="BD29" s="21">
        <f t="shared" si="57"/>
        <v>3260.6566002413219</v>
      </c>
      <c r="BE29" s="332">
        <f t="shared" si="58"/>
        <v>84.913120124135645</v>
      </c>
      <c r="BF29" s="141">
        <f t="shared" si="100"/>
        <v>2834394.0240901345</v>
      </c>
      <c r="BG29" s="118">
        <f t="shared" si="101"/>
        <v>2653.3538042338482</v>
      </c>
      <c r="BH29" s="329">
        <f t="shared" si="102"/>
        <v>1068.2307122282025</v>
      </c>
      <c r="BI29" s="118">
        <f t="shared" si="4"/>
        <v>1083.6666666666667</v>
      </c>
      <c r="BJ29" s="118">
        <f t="shared" si="5"/>
        <v>1873659.6666666667</v>
      </c>
      <c r="BK29" s="118">
        <f t="shared" si="62"/>
        <v>2615586.2134526754</v>
      </c>
      <c r="BL29" s="118">
        <f t="shared" si="59"/>
        <v>2423.398994447492</v>
      </c>
      <c r="BM29" s="325">
        <f t="shared" si="60"/>
        <v>1079.3048191591745</v>
      </c>
      <c r="BN29" s="6">
        <f t="shared" si="6"/>
        <v>144244.79999999999</v>
      </c>
      <c r="BO29" s="331">
        <f t="shared" si="87"/>
        <v>86.42151759737213</v>
      </c>
      <c r="BP29" s="319">
        <f t="shared" si="55"/>
        <v>84.123081318932506</v>
      </c>
      <c r="BQ29" s="331">
        <v>0</v>
      </c>
      <c r="BR29" s="332">
        <f t="shared" si="88"/>
        <v>85.526971374941354</v>
      </c>
      <c r="BS29" s="140">
        <f t="shared" si="7"/>
        <v>1880806.2</v>
      </c>
      <c r="BT29" s="339">
        <f t="shared" si="89"/>
        <v>1070.7187288310311</v>
      </c>
      <c r="BU29" s="329">
        <f t="shared" si="56"/>
        <v>1081.741389364018</v>
      </c>
      <c r="BV29" s="339">
        <v>0</v>
      </c>
      <c r="BW29" s="325">
        <f t="shared" si="90"/>
        <v>1071.278294996024</v>
      </c>
      <c r="BX29" s="21">
        <f t="shared" si="91"/>
        <v>331156.8791625491</v>
      </c>
      <c r="BY29" s="21">
        <f t="shared" si="92"/>
        <v>3866.460624321734</v>
      </c>
      <c r="BZ29" s="21">
        <f t="shared" si="93"/>
        <v>85.648584413203906</v>
      </c>
      <c r="CA29" s="21">
        <f>AVERAGE(BB4:BB29)</f>
        <v>309368.45897435903</v>
      </c>
      <c r="CB29" s="21">
        <f>AVERAGE(R4:R29)</f>
        <v>3522.1538461538462</v>
      </c>
      <c r="CC29" s="21">
        <f>CA29/CB29</f>
        <v>87.835021548586255</v>
      </c>
      <c r="CD29" s="342">
        <f>(BZ29-CC29)</f>
        <v>-2.1864371353823486</v>
      </c>
      <c r="CE29" s="342">
        <v>0</v>
      </c>
      <c r="CF29" s="343">
        <v>0</v>
      </c>
      <c r="CG29" s="141">
        <f t="shared" si="94"/>
        <v>2820666.814334942</v>
      </c>
      <c r="CH29" s="118">
        <f t="shared" si="95"/>
        <v>2633.2834340424643</v>
      </c>
      <c r="CI29" s="118">
        <f t="shared" si="96"/>
        <v>1071.1595940907955</v>
      </c>
      <c r="CJ29" s="118">
        <f>AVERAGE(BJ4:BJ29)</f>
        <v>2953694.423076923</v>
      </c>
      <c r="CK29" s="118">
        <f>AVERAGE(X4:X29)</f>
        <v>2792.5</v>
      </c>
      <c r="CL29" s="118">
        <f>CJ29/CK29</f>
        <v>1057.7240548171612</v>
      </c>
      <c r="CM29" s="350">
        <f>(CI29-CL29)</f>
        <v>13.435539273634276</v>
      </c>
      <c r="CN29" s="350">
        <v>0</v>
      </c>
      <c r="CO29" s="351">
        <v>0</v>
      </c>
      <c r="CP29" s="20">
        <f t="shared" si="26"/>
        <v>-0.94999999999998863</v>
      </c>
      <c r="CQ29" s="21">
        <f t="shared" si="27"/>
        <v>0</v>
      </c>
      <c r="CR29" s="21">
        <f t="shared" si="28"/>
        <v>144188.1</v>
      </c>
      <c r="CS29" s="21">
        <f t="shared" si="109"/>
        <v>133325.1036834048</v>
      </c>
      <c r="CT29" s="21">
        <f t="shared" si="109"/>
        <v>201829.27169765654</v>
      </c>
      <c r="CU29" s="21">
        <f t="shared" si="105"/>
        <v>0.66058358414495955</v>
      </c>
      <c r="CV29" s="342">
        <f t="shared" si="106"/>
        <v>39.780206817177245</v>
      </c>
      <c r="CW29" s="342">
        <v>0</v>
      </c>
      <c r="CX29" s="355">
        <v>0</v>
      </c>
      <c r="CY29" s="141">
        <f t="shared" si="29"/>
        <v>-1.933333333333394</v>
      </c>
      <c r="CZ29" s="118">
        <f t="shared" si="30"/>
        <v>0</v>
      </c>
      <c r="DA29" s="118">
        <f t="shared" si="31"/>
        <v>1873659.6666666667</v>
      </c>
      <c r="DB29" s="118">
        <f t="shared" si="110"/>
        <v>1459038.7324914779</v>
      </c>
      <c r="DC29" s="118">
        <f t="shared" si="110"/>
        <v>1373519.6062168526</v>
      </c>
      <c r="DD29" s="118">
        <f t="shared" si="107"/>
        <v>1.0622627634054489</v>
      </c>
      <c r="DE29" s="350">
        <f t="shared" si="108"/>
        <v>51.509573961919216</v>
      </c>
      <c r="DF29" s="350">
        <v>0</v>
      </c>
      <c r="DG29" s="351">
        <v>0</v>
      </c>
      <c r="DH29" s="135">
        <f t="shared" si="32"/>
        <v>1.1500000000000057</v>
      </c>
      <c r="DI29" s="20">
        <f t="shared" si="33"/>
        <v>1956.1500000000096</v>
      </c>
      <c r="DJ29" s="21">
        <f t="shared" si="127"/>
        <v>8623.457653653637</v>
      </c>
      <c r="DK29" s="21">
        <f t="shared" si="122"/>
        <v>3373.1305791628856</v>
      </c>
      <c r="DL29" s="319">
        <f t="shared" si="123"/>
        <v>2.5565146238108967</v>
      </c>
      <c r="DM29" s="21">
        <f t="shared" si="124"/>
        <v>10226.058495243587</v>
      </c>
      <c r="DN29" s="21">
        <f>DM29*'Base Data'!$D$10</f>
        <v>20452.116990487175</v>
      </c>
      <c r="DO29" s="363">
        <f>IF(INT(('Base Data'!$D$7)/DN29)=0,0,INT(('Base Data'!$D$7)/DN29))</f>
        <v>0</v>
      </c>
      <c r="DP29" s="364">
        <f t="shared" si="113"/>
        <v>3.0147578110977555E-2</v>
      </c>
      <c r="DQ29" s="141">
        <f t="shared" si="34"/>
        <v>17.200000000000045</v>
      </c>
      <c r="DR29" s="143">
        <f t="shared" si="35"/>
        <v>29738.800000000079</v>
      </c>
      <c r="DS29" s="118">
        <f t="shared" si="128"/>
        <v>51702.623380851597</v>
      </c>
      <c r="DT29" s="118">
        <f t="shared" si="125"/>
        <v>2642.8875499656865</v>
      </c>
      <c r="DU29" s="329">
        <f t="shared" si="126"/>
        <v>19.562929713571382</v>
      </c>
      <c r="DV29" s="118">
        <f t="shared" si="114"/>
        <v>11737.757828142829</v>
      </c>
      <c r="DW29" s="118">
        <f>DV29*'Base Data'!$D$10</f>
        <v>23475.515656285657</v>
      </c>
      <c r="DX29" s="375">
        <f>IF(INT(('Base Data'!$D$7)/DW29)=0,0,INT(('Base Data'!$D$7)/DW29))</f>
        <v>0</v>
      </c>
      <c r="DY29" s="376">
        <f t="shared" si="115"/>
        <v>1.7983939799201491E-2</v>
      </c>
      <c r="DZ29" s="135">
        <f t="shared" si="36"/>
        <v>1.1500000000000057</v>
      </c>
      <c r="EA29" s="21">
        <f t="shared" si="37"/>
        <v>1956.1500000000096</v>
      </c>
      <c r="EB29" s="21">
        <f t="shared" si="79"/>
        <v>10531.60728140424</v>
      </c>
      <c r="EC29" s="21">
        <f t="shared" si="75"/>
        <v>3724.9699118533372</v>
      </c>
      <c r="ED29" s="319">
        <f t="shared" si="76"/>
        <v>2.8272999596295532</v>
      </c>
      <c r="EE29" s="21">
        <f t="shared" si="63"/>
        <v>11309.199838518212</v>
      </c>
      <c r="EF29" s="21">
        <f>EE29*'Base Data'!$D$13</f>
        <v>8481.8998788886602</v>
      </c>
      <c r="EG29" s="363">
        <f>IF(INT(('Base Data'!$D$7)/EF29)=0,0,INT(('Base Data'!$D$7)/EF29))</f>
        <v>1</v>
      </c>
      <c r="EH29" s="314">
        <f t="shared" si="64"/>
        <v>3.3340801410725866E-2</v>
      </c>
      <c r="EI29" s="143">
        <f t="shared" si="38"/>
        <v>17.200000000000045</v>
      </c>
      <c r="EJ29" s="118">
        <f t="shared" si="39"/>
        <v>29738.800000000079</v>
      </c>
      <c r="EK29" s="118">
        <f t="shared" si="80"/>
        <v>47778.174377338168</v>
      </c>
      <c r="EL29" s="118">
        <f t="shared" si="77"/>
        <v>2563.135070217591</v>
      </c>
      <c r="EM29" s="329">
        <f t="shared" si="78"/>
        <v>18.640521497480879</v>
      </c>
      <c r="EN29" s="118">
        <f t="shared" si="65"/>
        <v>11184.312898488528</v>
      </c>
      <c r="EO29" s="118">
        <f>EN29*'Base Data'!$D$13</f>
        <v>8388.2346738663964</v>
      </c>
      <c r="EP29" s="375">
        <f>IF(INT(('Base Data'!$D$7)/EO29)=0,0,INT(('Base Data'!$D$7)/EO29))</f>
        <v>1</v>
      </c>
      <c r="EQ29" s="385">
        <f t="shared" si="66"/>
        <v>1.7135982255452178E-2</v>
      </c>
      <c r="ER29" s="397">
        <f t="shared" si="116"/>
        <v>-1.4687034722159513</v>
      </c>
      <c r="ES29" s="403">
        <f t="shared" si="67"/>
        <v>-0.22105896400249325</v>
      </c>
      <c r="ET29" s="405">
        <f t="shared" si="117"/>
        <v>1.2972381002919222</v>
      </c>
      <c r="EU29" s="410">
        <f t="shared" si="68"/>
        <v>0.92506800318490134</v>
      </c>
      <c r="EV29" s="20">
        <f t="shared" si="8"/>
        <v>1</v>
      </c>
      <c r="EW29" s="17">
        <f t="shared" si="9"/>
        <v>1.1750881316098707E-2</v>
      </c>
      <c r="EX29" s="388">
        <f t="shared" si="69"/>
        <v>2.5682884459524581E-2</v>
      </c>
      <c r="EY29" s="388">
        <f t="shared" si="103"/>
        <v>2.1693200144036653E-2</v>
      </c>
      <c r="EZ29" s="314">
        <f t="shared" si="118"/>
        <v>2.0433690570281521E-2</v>
      </c>
      <c r="FA29" s="442">
        <f t="shared" si="10"/>
        <v>17.200000000000045</v>
      </c>
      <c r="FB29" s="18">
        <f t="shared" si="11"/>
        <v>1.5983644642691242E-2</v>
      </c>
      <c r="FC29" s="394">
        <f t="shared" si="70"/>
        <v>1.6289798250309896E-2</v>
      </c>
      <c r="FD29" s="394">
        <f t="shared" si="104"/>
        <v>1.5327887932394322E-2</v>
      </c>
      <c r="FE29" s="385">
        <f t="shared" si="119"/>
        <v>1.5614769856492563E-2</v>
      </c>
      <c r="FF29" s="416">
        <f t="shared" si="49"/>
        <v>2</v>
      </c>
      <c r="FG29" s="417">
        <f t="shared" si="50"/>
        <v>1</v>
      </c>
      <c r="FH29" s="415">
        <f t="shared" si="111"/>
        <v>54.117647058823572</v>
      </c>
      <c r="FI29" s="413" t="str">
        <f t="shared" si="120"/>
        <v>T-R</v>
      </c>
      <c r="FJ29" s="404">
        <f t="shared" si="112"/>
        <v>75.959079283887249</v>
      </c>
      <c r="FK29" s="414" t="str">
        <f t="shared" si="121"/>
        <v>T-R</v>
      </c>
      <c r="FL29" s="415">
        <f t="shared" si="71"/>
        <v>17.777777777777821</v>
      </c>
      <c r="FM29" s="413" t="str">
        <f t="shared" si="72"/>
        <v>C-D</v>
      </c>
      <c r="FN29" s="404">
        <f t="shared" si="73"/>
        <v>77.57182576459661</v>
      </c>
      <c r="FO29" s="414" t="str">
        <f t="shared" si="74"/>
        <v>T-R</v>
      </c>
      <c r="FQ29" s="135">
        <f t="shared" si="51"/>
        <v>85.252231305092565</v>
      </c>
      <c r="FR29" s="21">
        <f t="shared" si="12"/>
        <v>85.252231305092565</v>
      </c>
      <c r="FS29" s="21">
        <f t="shared" si="13"/>
        <v>84.25</v>
      </c>
      <c r="FT29" s="182">
        <f t="shared" si="14"/>
        <v>84.85</v>
      </c>
      <c r="FU29" s="141">
        <f t="shared" si="52"/>
        <v>1082.9275072537362</v>
      </c>
      <c r="FV29" s="118">
        <f t="shared" si="15"/>
        <v>1090.2</v>
      </c>
      <c r="FW29" s="118">
        <f t="shared" si="16"/>
        <v>1073</v>
      </c>
      <c r="FX29" s="181">
        <f t="shared" si="17"/>
        <v>1081.7750000000001</v>
      </c>
    </row>
    <row r="30" spans="1:180" x14ac:dyDescent="0.3">
      <c r="E30" s="22"/>
      <c r="F30" s="22"/>
      <c r="G30" s="23"/>
      <c r="H30" s="23"/>
      <c r="I30" s="23"/>
      <c r="J30" s="23"/>
      <c r="L30" s="283">
        <f t="shared" si="40"/>
        <v>27</v>
      </c>
      <c r="M30" s="290">
        <f>'[6]ASHOKLEY-I'!C46</f>
        <v>42832</v>
      </c>
      <c r="N30" s="7">
        <f>'[6]ASHOKLEY-I'!D46</f>
        <v>84.5</v>
      </c>
      <c r="O30" s="7">
        <f>'[6]ASHOKLEY-I'!E46</f>
        <v>85.2</v>
      </c>
      <c r="P30" s="7">
        <f>'[6]ASHOKLEY-I'!F46</f>
        <v>83.45</v>
      </c>
      <c r="Q30" s="7">
        <f>'[6]ASHOKLEY-I'!G46</f>
        <v>83.85</v>
      </c>
      <c r="R30" s="11">
        <f>'[6]ASHOKLEY-I'!H46</f>
        <v>2590</v>
      </c>
      <c r="S30" s="291">
        <f>'[7]ASIANPAINT-I'!C46</f>
        <v>42832</v>
      </c>
      <c r="T30" s="9">
        <f>'[7]ASIANPAINT-I'!D46</f>
        <v>1077.05</v>
      </c>
      <c r="U30" s="9">
        <f>'[7]ASIANPAINT-I'!E46</f>
        <v>1091.3499999999999</v>
      </c>
      <c r="V30" s="9">
        <f>'[7]ASIANPAINT-I'!F46</f>
        <v>1076.1500000000001</v>
      </c>
      <c r="W30" s="9">
        <f>'[7]ASIANPAINT-I'!G46</f>
        <v>1084.3499999999999</v>
      </c>
      <c r="X30" s="12">
        <f>'[7]ASIANPAINT-I'!H46</f>
        <v>2377</v>
      </c>
      <c r="Y30" s="115"/>
      <c r="Z30" s="122">
        <f t="shared" si="18"/>
        <v>-1.1202830188679279E-2</v>
      </c>
      <c r="AA30" s="19">
        <f t="shared" si="19"/>
        <v>-3.1715388858246422E-3</v>
      </c>
      <c r="AB30" s="305">
        <f>IF(OR(SUM(Z10:Z30)=0,SUM('BNF-Nifty'!AA10:AA30)=0),0,(_xlfn.COVARIANCE.P(Z10:Z30,'BNF-Nifty'!AA10:AA30)/_xlfn.VAR.P('BNF-Nifty'!AA10:AA30)))</f>
        <v>0.99171333416465068</v>
      </c>
      <c r="AC30" s="306">
        <f>IF(OR(SUM(AA10:AA30)=0,SUM('BNF-Nifty'!AA10:AA30)=0),0,(_xlfn.COVARIANCE.P(AA10:AA30,'BNF-Nifty'!AA10:AA30)/_xlfn.VAR.P('BNF-Nifty'!AA10:AA30)))</f>
        <v>1.8068988504874799</v>
      </c>
      <c r="AD30" s="466">
        <f t="shared" si="20"/>
        <v>-1.1266054528639578E-2</v>
      </c>
      <c r="AE30" s="17">
        <f t="shared" si="41"/>
        <v>1.2088404985515557E-2</v>
      </c>
      <c r="AF30" s="17">
        <f t="shared" si="42"/>
        <v>1.2040647908926826E-2</v>
      </c>
      <c r="AG30" s="314">
        <f t="shared" si="43"/>
        <v>0.23003625530416186</v>
      </c>
      <c r="AH30" s="467">
        <f t="shared" si="21"/>
        <v>-3.1765788744446007E-3</v>
      </c>
      <c r="AI30" s="18">
        <f t="shared" si="53"/>
        <v>9.6408746402954874E-3</v>
      </c>
      <c r="AJ30" s="18">
        <f t="shared" si="22"/>
        <v>9.3795050616134936E-3</v>
      </c>
      <c r="AK30" s="385">
        <f t="shared" si="44"/>
        <v>0.17919519259261421</v>
      </c>
      <c r="AL30" s="10">
        <f t="shared" si="23"/>
        <v>2.0753783727426013E-2</v>
      </c>
      <c r="AM30" s="17">
        <f t="shared" si="45"/>
        <v>2.4004801223631984E-2</v>
      </c>
      <c r="AN30" s="17">
        <f t="shared" si="46"/>
        <v>2.3822254830708302E-2</v>
      </c>
      <c r="AO30" s="314">
        <f t="shared" si="47"/>
        <v>0.45512353949780471</v>
      </c>
      <c r="AP30" s="448">
        <f t="shared" si="24"/>
        <v>1.4025604774898247E-2</v>
      </c>
      <c r="AQ30" s="18">
        <f t="shared" si="54"/>
        <v>1.4739585387399105E-2</v>
      </c>
      <c r="AR30" s="18">
        <f t="shared" si="25"/>
        <v>1.4697724657476149E-2</v>
      </c>
      <c r="AS30" s="385">
        <f t="shared" si="48"/>
        <v>0.28079963530789809</v>
      </c>
      <c r="AT30" s="6">
        <f t="shared" si="0"/>
        <v>218855</v>
      </c>
      <c r="AU30" s="319">
        <v>0</v>
      </c>
      <c r="AV30" s="140">
        <f t="shared" si="1"/>
        <v>2560147.85</v>
      </c>
      <c r="AW30" s="481">
        <v>0</v>
      </c>
      <c r="AX30" s="135">
        <f t="shared" si="97"/>
        <v>318162.84476399916</v>
      </c>
      <c r="AY30" s="21">
        <f t="shared" si="98"/>
        <v>3691.3898609260909</v>
      </c>
      <c r="AZ30" s="319">
        <f t="shared" si="99"/>
        <v>86.190528974411521</v>
      </c>
      <c r="BA30" s="21">
        <f t="shared" si="2"/>
        <v>84.166666666666671</v>
      </c>
      <c r="BB30" s="21">
        <f t="shared" si="3"/>
        <v>217991.66666666669</v>
      </c>
      <c r="BC30" s="21">
        <f t="shared" si="61"/>
        <v>257245.57260878696</v>
      </c>
      <c r="BD30" s="21">
        <f t="shared" si="57"/>
        <v>3037.1044001608811</v>
      </c>
      <c r="BE30" s="332">
        <f t="shared" si="58"/>
        <v>84.700931780665883</v>
      </c>
      <c r="BF30" s="141">
        <f t="shared" si="100"/>
        <v>2795215.9992201151</v>
      </c>
      <c r="BG30" s="118">
        <f t="shared" si="101"/>
        <v>2613.8746893432985</v>
      </c>
      <c r="BH30" s="329">
        <f t="shared" si="102"/>
        <v>1069.3764359156698</v>
      </c>
      <c r="BI30" s="118">
        <f t="shared" si="4"/>
        <v>1083.95</v>
      </c>
      <c r="BJ30" s="118">
        <f t="shared" si="5"/>
        <v>2576549.15</v>
      </c>
      <c r="BK30" s="118">
        <f t="shared" si="62"/>
        <v>2602573.8589684502</v>
      </c>
      <c r="BL30" s="118">
        <f t="shared" si="59"/>
        <v>2407.9326629649945</v>
      </c>
      <c r="BM30" s="325">
        <f t="shared" si="60"/>
        <v>1080.8333218769437</v>
      </c>
      <c r="BN30" s="6">
        <f t="shared" si="6"/>
        <v>217171.49999999997</v>
      </c>
      <c r="BO30" s="331">
        <f t="shared" si="87"/>
        <v>86.151629464285733</v>
      </c>
      <c r="BP30" s="319">
        <f t="shared" si="55"/>
        <v>84.688112158195594</v>
      </c>
      <c r="BQ30" s="331">
        <v>0</v>
      </c>
      <c r="BR30" s="332">
        <f t="shared" si="88"/>
        <v>85.286698288690488</v>
      </c>
      <c r="BS30" s="140">
        <f t="shared" si="7"/>
        <v>2577499.9499999997</v>
      </c>
      <c r="BT30" s="339">
        <f t="shared" si="89"/>
        <v>1070.6431623807307</v>
      </c>
      <c r="BU30" s="329">
        <f t="shared" si="56"/>
        <v>1085.9372428694899</v>
      </c>
      <c r="BV30" s="339">
        <v>0</v>
      </c>
      <c r="BW30" s="325">
        <f t="shared" si="90"/>
        <v>1071.4675645799396</v>
      </c>
      <c r="BX30" s="21">
        <f t="shared" si="91"/>
        <v>313746.84647087485</v>
      </c>
      <c r="BY30" s="21">
        <f t="shared" si="92"/>
        <v>3670.0820667337748</v>
      </c>
      <c r="BZ30" s="21">
        <f t="shared" si="93"/>
        <v>85.487692309315818</v>
      </c>
      <c r="CA30" s="21">
        <f t="shared" ref="CA30:CA67" si="129">((BB30-CA29)*(2/(1+26)))+CA29</f>
        <v>302599.80769230775</v>
      </c>
      <c r="CB30" s="21">
        <f t="shared" ref="CB30:CB67" si="130">((R30-CB29)*(2/(1+26)))+CB29</f>
        <v>3453.1054131054129</v>
      </c>
      <c r="CC30" s="21">
        <f>CA30/CB30</f>
        <v>87.631210603610455</v>
      </c>
      <c r="CD30" s="342">
        <f t="shared" ref="CD30:CD67" si="131">(BZ30-CC30)</f>
        <v>-2.1435182942946369</v>
      </c>
      <c r="CE30" s="342">
        <v>0</v>
      </c>
      <c r="CF30" s="343">
        <v>0</v>
      </c>
      <c r="CG30" s="141">
        <f t="shared" si="94"/>
        <v>2783110.2505911049</v>
      </c>
      <c r="CH30" s="118">
        <f t="shared" si="95"/>
        <v>2593.8552134205465</v>
      </c>
      <c r="CI30" s="118">
        <f t="shared" si="96"/>
        <v>1072.9628377834497</v>
      </c>
      <c r="CJ30" s="118">
        <f t="shared" ref="CJ30:CJ67" si="132">((BJ30-CJ29)*(2/(1+26)))+CJ29</f>
        <v>2925757.7361823362</v>
      </c>
      <c r="CK30" s="118">
        <f t="shared" ref="CK30:CK67" si="133">((X30-CK29)*(2/(1+26)))+CK29</f>
        <v>2761.7222222222222</v>
      </c>
      <c r="CL30" s="118">
        <f>CJ30/CK30</f>
        <v>1059.3960944515711</v>
      </c>
      <c r="CM30" s="350">
        <f t="shared" ref="CM30:CM67" si="134">(CI30-CL30)</f>
        <v>13.56674333187857</v>
      </c>
      <c r="CN30" s="350">
        <v>0</v>
      </c>
      <c r="CO30" s="351">
        <v>0</v>
      </c>
      <c r="CP30" s="20">
        <f t="shared" si="26"/>
        <v>-0.59999999999999432</v>
      </c>
      <c r="CQ30" s="21">
        <f t="shared" si="27"/>
        <v>0</v>
      </c>
      <c r="CR30" s="21">
        <f t="shared" si="28"/>
        <v>217991.66666666669</v>
      </c>
      <c r="CS30" s="21">
        <f t="shared" si="109"/>
        <v>115548.42319228416</v>
      </c>
      <c r="CT30" s="21">
        <f t="shared" si="109"/>
        <v>203984.25769352456</v>
      </c>
      <c r="CU30" s="21">
        <f t="shared" si="105"/>
        <v>0.56645755166994061</v>
      </c>
      <c r="CV30" s="342">
        <f t="shared" si="106"/>
        <v>36.161691778118204</v>
      </c>
      <c r="CW30" s="342">
        <v>0</v>
      </c>
      <c r="CX30" s="355">
        <v>0</v>
      </c>
      <c r="CY30" s="141">
        <f t="shared" si="29"/>
        <v>0.28333333333330302</v>
      </c>
      <c r="CZ30" s="118">
        <f t="shared" si="30"/>
        <v>2576549.15</v>
      </c>
      <c r="DA30" s="118">
        <f t="shared" si="31"/>
        <v>0</v>
      </c>
      <c r="DB30" s="118">
        <f t="shared" si="110"/>
        <v>1608040.121492614</v>
      </c>
      <c r="DC30" s="118">
        <f t="shared" si="110"/>
        <v>1190383.6587212721</v>
      </c>
      <c r="DD30" s="118">
        <f t="shared" si="107"/>
        <v>1.3508586998077534</v>
      </c>
      <c r="DE30" s="350">
        <f t="shared" si="108"/>
        <v>57.462351944769068</v>
      </c>
      <c r="DF30" s="350">
        <v>0</v>
      </c>
      <c r="DG30" s="351">
        <v>0</v>
      </c>
      <c r="DH30" s="135">
        <f t="shared" si="32"/>
        <v>1.75</v>
      </c>
      <c r="DI30" s="20">
        <f t="shared" si="33"/>
        <v>4532.5</v>
      </c>
      <c r="DJ30" s="21">
        <f t="shared" si="127"/>
        <v>8251.5524124123967</v>
      </c>
      <c r="DK30" s="21">
        <f t="shared" si="122"/>
        <v>3301.936890148078</v>
      </c>
      <c r="DL30" s="319">
        <f t="shared" si="123"/>
        <v>2.499003671763802</v>
      </c>
      <c r="DM30" s="21">
        <f t="shared" si="124"/>
        <v>9996.0146870552089</v>
      </c>
      <c r="DN30" s="21">
        <f>DM30*'Base Data'!$D$10</f>
        <v>19992.029374110418</v>
      </c>
      <c r="DO30" s="363">
        <f>IF(INT(('Base Data'!$D$7)/DN30)=0,0,INT(('Base Data'!$D$7)/DN30))</f>
        <v>0</v>
      </c>
      <c r="DP30" s="364">
        <f t="shared" si="113"/>
        <v>2.9803263825447849E-2</v>
      </c>
      <c r="DQ30" s="141">
        <f t="shared" si="34"/>
        <v>15.199999999999818</v>
      </c>
      <c r="DR30" s="143">
        <f t="shared" si="35"/>
        <v>36130.399999999565</v>
      </c>
      <c r="DS30" s="118">
        <f t="shared" si="128"/>
        <v>50286.966709865046</v>
      </c>
      <c r="DT30" s="118">
        <f t="shared" si="125"/>
        <v>2618.7159545142604</v>
      </c>
      <c r="DU30" s="329">
        <f t="shared" si="126"/>
        <v>19.202909969360409</v>
      </c>
      <c r="DV30" s="118">
        <f t="shared" si="114"/>
        <v>11521.745981616245</v>
      </c>
      <c r="DW30" s="118">
        <f>DV30*'Base Data'!$D$10</f>
        <v>23043.491963232489</v>
      </c>
      <c r="DX30" s="375">
        <f>IF(INT(('Base Data'!$D$7)/DW30)=0,0,INT(('Base Data'!$D$7)/DW30))</f>
        <v>0</v>
      </c>
      <c r="DY30" s="376">
        <f t="shared" si="115"/>
        <v>1.7709143698400341E-2</v>
      </c>
      <c r="DZ30" s="135">
        <f t="shared" si="36"/>
        <v>1.75</v>
      </c>
      <c r="EA30" s="21">
        <f t="shared" si="37"/>
        <v>4532.5</v>
      </c>
      <c r="EB30" s="21">
        <f t="shared" si="79"/>
        <v>9198.4723299810757</v>
      </c>
      <c r="EC30" s="21">
        <f t="shared" si="75"/>
        <v>3472.7543758859288</v>
      </c>
      <c r="ED30" s="319">
        <f t="shared" si="76"/>
        <v>2.6487540823080722</v>
      </c>
      <c r="EE30" s="21">
        <f t="shared" si="63"/>
        <v>10595.016329232289</v>
      </c>
      <c r="EF30" s="21">
        <f>EE30*'Base Data'!$D$13</f>
        <v>7946.262246924216</v>
      </c>
      <c r="EG30" s="363">
        <f>IF(INT(('Base Data'!$D$7)/EF30)=0,0,INT(('Base Data'!$D$7)/EF30))</f>
        <v>1</v>
      </c>
      <c r="EH30" s="314">
        <f t="shared" si="64"/>
        <v>3.1589195972666337E-2</v>
      </c>
      <c r="EI30" s="143">
        <f t="shared" si="38"/>
        <v>15.199999999999818</v>
      </c>
      <c r="EJ30" s="118">
        <f t="shared" si="39"/>
        <v>36130.399999999565</v>
      </c>
      <c r="EK30" s="118">
        <f t="shared" si="80"/>
        <v>45189.780071262925</v>
      </c>
      <c r="EL30" s="118">
        <f t="shared" si="77"/>
        <v>2521.7717212803486</v>
      </c>
      <c r="EM30" s="329">
        <f t="shared" si="78"/>
        <v>17.919853605273701</v>
      </c>
      <c r="EN30" s="118">
        <f t="shared" si="65"/>
        <v>10751.912163164221</v>
      </c>
      <c r="EO30" s="118">
        <f>EN30*'Base Data'!$D$13</f>
        <v>8063.9341223731662</v>
      </c>
      <c r="EP30" s="375">
        <f>IF(INT(('Base Data'!$D$7)/EO30)=0,0,INT(('Base Data'!$D$7)/EO30))</f>
        <v>1</v>
      </c>
      <c r="EQ30" s="385">
        <f t="shared" si="66"/>
        <v>1.6525894411650945E-2</v>
      </c>
      <c r="ER30" s="397">
        <f t="shared" si="116"/>
        <v>-1.7807096685292974</v>
      </c>
      <c r="ES30" s="403">
        <f t="shared" si="67"/>
        <v>-0.45618932365379306</v>
      </c>
      <c r="ET30" s="405">
        <f t="shared" si="117"/>
        <v>1.0068745135904276</v>
      </c>
      <c r="EU30" s="410">
        <f t="shared" si="68"/>
        <v>0.66581180085581559</v>
      </c>
      <c r="EV30" s="20">
        <f t="shared" si="8"/>
        <v>1.75</v>
      </c>
      <c r="EW30" s="17">
        <f t="shared" si="9"/>
        <v>2.0710059171597635E-2</v>
      </c>
      <c r="EX30" s="388">
        <f t="shared" si="69"/>
        <v>2.5689886262170503E-2</v>
      </c>
      <c r="EY30" s="388">
        <f t="shared" si="103"/>
        <v>2.1890755759257863E-2</v>
      </c>
      <c r="EZ30" s="314">
        <f t="shared" si="118"/>
        <v>2.036168280596606E-2</v>
      </c>
      <c r="FA30" s="442">
        <f t="shared" si="10"/>
        <v>15.199999999999818</v>
      </c>
      <c r="FB30" s="18">
        <f t="shared" si="11"/>
        <v>1.4112622440926436E-2</v>
      </c>
      <c r="FC30" s="394">
        <f t="shared" si="70"/>
        <v>1.553094027560918E-2</v>
      </c>
      <c r="FD30" s="394">
        <f t="shared" si="104"/>
        <v>1.5302105901695647E-2</v>
      </c>
      <c r="FE30" s="385">
        <f t="shared" si="119"/>
        <v>1.5869957226427495E-2</v>
      </c>
      <c r="FF30" s="416">
        <f t="shared" si="49"/>
        <v>1</v>
      </c>
      <c r="FG30" s="417">
        <f t="shared" si="50"/>
        <v>2</v>
      </c>
      <c r="FH30" s="415">
        <f t="shared" si="111"/>
        <v>60.642570281124577</v>
      </c>
      <c r="FI30" s="413" t="str">
        <f t="shared" si="120"/>
        <v>T-R</v>
      </c>
      <c r="FJ30" s="404">
        <f t="shared" si="112"/>
        <v>71.739130434782453</v>
      </c>
      <c r="FK30" s="414" t="str">
        <f t="shared" si="121"/>
        <v>T-D</v>
      </c>
      <c r="FL30" s="415">
        <f t="shared" si="71"/>
        <v>38.518518518518647</v>
      </c>
      <c r="FM30" s="413" t="str">
        <f t="shared" si="72"/>
        <v>T-R</v>
      </c>
      <c r="FN30" s="404">
        <f t="shared" si="73"/>
        <v>51.088082901554124</v>
      </c>
      <c r="FO30" s="414" t="str">
        <f t="shared" si="74"/>
        <v>T-D</v>
      </c>
      <c r="FQ30" s="135">
        <f t="shared" si="51"/>
        <v>85.051115652546287</v>
      </c>
      <c r="FR30" s="21">
        <f t="shared" si="12"/>
        <v>85.2</v>
      </c>
      <c r="FS30" s="21">
        <f t="shared" si="13"/>
        <v>83.45</v>
      </c>
      <c r="FT30" s="182">
        <f t="shared" si="14"/>
        <v>84.25</v>
      </c>
      <c r="FU30" s="141">
        <f t="shared" si="52"/>
        <v>1082.3512536268681</v>
      </c>
      <c r="FV30" s="118">
        <f t="shared" si="15"/>
        <v>1091.3499999999999</v>
      </c>
      <c r="FW30" s="118">
        <f t="shared" si="16"/>
        <v>1076.1500000000001</v>
      </c>
      <c r="FX30" s="181">
        <f t="shared" si="17"/>
        <v>1082.2249999999999</v>
      </c>
    </row>
    <row r="31" spans="1:180" ht="11.15" thickBot="1" x14ac:dyDescent="0.35">
      <c r="A31" s="5"/>
      <c r="L31" s="283">
        <f t="shared" si="40"/>
        <v>28</v>
      </c>
      <c r="M31" s="290">
        <f>'[6]ASHOKLEY-I'!C47</f>
        <v>42835</v>
      </c>
      <c r="N31" s="7">
        <f>'[6]ASHOKLEY-I'!D47</f>
        <v>83.95</v>
      </c>
      <c r="O31" s="7">
        <f>'[6]ASHOKLEY-I'!E47</f>
        <v>84.5</v>
      </c>
      <c r="P31" s="7">
        <f>'[6]ASHOKLEY-I'!F47</f>
        <v>82.3</v>
      </c>
      <c r="Q31" s="7">
        <f>'[6]ASHOKLEY-I'!G47</f>
        <v>82.85</v>
      </c>
      <c r="R31" s="11">
        <f>'[6]ASHOKLEY-I'!H47</f>
        <v>3576</v>
      </c>
      <c r="S31" s="291">
        <f>'[7]ASIANPAINT-I'!C47</f>
        <v>42835</v>
      </c>
      <c r="T31" s="9">
        <f>'[7]ASIANPAINT-I'!D47</f>
        <v>1079.4000000000001</v>
      </c>
      <c r="U31" s="9">
        <f>'[7]ASIANPAINT-I'!E47</f>
        <v>1083.9000000000001</v>
      </c>
      <c r="V31" s="9">
        <f>'[7]ASIANPAINT-I'!F47</f>
        <v>1062.7</v>
      </c>
      <c r="W31" s="9">
        <f>'[7]ASIANPAINT-I'!G47</f>
        <v>1064.7</v>
      </c>
      <c r="X31" s="12">
        <f>'[7]ASIANPAINT-I'!H47</f>
        <v>2212</v>
      </c>
      <c r="Y31" s="115"/>
      <c r="Z31" s="122">
        <f t="shared" si="18"/>
        <v>-1.1926058437686345E-2</v>
      </c>
      <c r="AA31" s="19">
        <f t="shared" si="19"/>
        <v>-1.8121455249688629E-2</v>
      </c>
      <c r="AB31" s="305">
        <f>IF(OR(SUM(Z11:Z31)=0,SUM('BNF-Nifty'!AA11:AA31)=0),0,(_xlfn.COVARIANCE.P(Z11:Z31,'BNF-Nifty'!AA11:AA31)/_xlfn.VAR.P('BNF-Nifty'!AA11:AA31)))</f>
        <v>1.0367716230565718</v>
      </c>
      <c r="AC31" s="306">
        <f>IF(OR(SUM(AA11:AA31)=0,SUM('BNF-Nifty'!AA11:AA31)=0),0,(_xlfn.COVARIANCE.P(AA11:AA31,'BNF-Nifty'!AA11:AA31)/_xlfn.VAR.P('BNF-Nifty'!AA11:AA31)))</f>
        <v>1.878532182295324</v>
      </c>
      <c r="AD31" s="466">
        <f t="shared" si="20"/>
        <v>-1.1997744396645943E-2</v>
      </c>
      <c r="AE31" s="17">
        <f t="shared" si="41"/>
        <v>1.2040647908926826E-2</v>
      </c>
      <c r="AF31" s="17">
        <f t="shared" si="42"/>
        <v>1.2038078010179792E-2</v>
      </c>
      <c r="AG31" s="314">
        <f t="shared" si="43"/>
        <v>0.22998715745753848</v>
      </c>
      <c r="AH31" s="467">
        <f t="shared" si="21"/>
        <v>-1.8287659793855271E-2</v>
      </c>
      <c r="AI31" s="18">
        <f t="shared" si="53"/>
        <v>9.3795050616134936E-3</v>
      </c>
      <c r="AJ31" s="18">
        <f t="shared" si="22"/>
        <v>1.013720466070063E-2</v>
      </c>
      <c r="AK31" s="385">
        <f t="shared" si="44"/>
        <v>0.19367102310753578</v>
      </c>
      <c r="AL31" s="10">
        <f t="shared" si="23"/>
        <v>2.638042668010409E-2</v>
      </c>
      <c r="AM31" s="17">
        <f t="shared" si="45"/>
        <v>2.3822254830708302E-2</v>
      </c>
      <c r="AN31" s="17">
        <f t="shared" si="46"/>
        <v>2.3983441171264674E-2</v>
      </c>
      <c r="AO31" s="314">
        <f t="shared" si="47"/>
        <v>0.45820300021023691</v>
      </c>
      <c r="AP31" s="448">
        <f t="shared" si="24"/>
        <v>1.9752808443054819E-2</v>
      </c>
      <c r="AQ31" s="18">
        <f t="shared" si="54"/>
        <v>1.4697724657476149E-2</v>
      </c>
      <c r="AR31" s="18">
        <f t="shared" si="25"/>
        <v>1.5048990995540017E-2</v>
      </c>
      <c r="AS31" s="385">
        <f t="shared" si="48"/>
        <v>0.28751056927372814</v>
      </c>
      <c r="AT31" s="6">
        <f t="shared" si="0"/>
        <v>300205.2</v>
      </c>
      <c r="AU31" s="319">
        <v>0</v>
      </c>
      <c r="AV31" s="140">
        <f t="shared" si="1"/>
        <v>2387632.8000000003</v>
      </c>
      <c r="AW31" s="481">
        <v>0</v>
      </c>
      <c r="AX31" s="135">
        <f t="shared" si="97"/>
        <v>315597.46694057074</v>
      </c>
      <c r="AY31" s="21">
        <f t="shared" si="98"/>
        <v>3674.9055950795064</v>
      </c>
      <c r="AZ31" s="319">
        <f t="shared" si="99"/>
        <v>85.879067849562759</v>
      </c>
      <c r="BA31" s="21">
        <f t="shared" si="2"/>
        <v>83.216666666666669</v>
      </c>
      <c r="BB31" s="21">
        <f t="shared" si="3"/>
        <v>297582.8</v>
      </c>
      <c r="BC31" s="21">
        <f t="shared" si="61"/>
        <v>270691.31507252465</v>
      </c>
      <c r="BD31" s="21">
        <f t="shared" si="57"/>
        <v>3216.7362667739208</v>
      </c>
      <c r="BE31" s="332">
        <f t="shared" si="58"/>
        <v>84.150919635075397</v>
      </c>
      <c r="BF31" s="141">
        <f t="shared" si="100"/>
        <v>2736989.8279029559</v>
      </c>
      <c r="BG31" s="118">
        <f t="shared" si="101"/>
        <v>2556.4640194371132</v>
      </c>
      <c r="BH31" s="329">
        <f t="shared" si="102"/>
        <v>1070.6154309598269</v>
      </c>
      <c r="BI31" s="118">
        <f t="shared" si="4"/>
        <v>1070.4333333333334</v>
      </c>
      <c r="BJ31" s="118">
        <f t="shared" si="5"/>
        <v>2367798.5333333337</v>
      </c>
      <c r="BK31" s="118">
        <f t="shared" si="62"/>
        <v>2524315.4170900779</v>
      </c>
      <c r="BL31" s="118">
        <f t="shared" si="59"/>
        <v>2342.6217753099963</v>
      </c>
      <c r="BM31" s="325">
        <f t="shared" si="60"/>
        <v>1077.5599559839482</v>
      </c>
      <c r="BN31" s="6">
        <f t="shared" si="6"/>
        <v>296271.59999999998</v>
      </c>
      <c r="BO31" s="331">
        <f t="shared" si="87"/>
        <v>85.890385868384868</v>
      </c>
      <c r="BP31" s="319">
        <f t="shared" si="55"/>
        <v>84.169444444444451</v>
      </c>
      <c r="BQ31" s="331">
        <v>0</v>
      </c>
      <c r="BR31" s="332">
        <f t="shared" si="88"/>
        <v>84.985160718164039</v>
      </c>
      <c r="BS31" s="140">
        <f t="shared" si="7"/>
        <v>2355116.4</v>
      </c>
      <c r="BT31" s="339">
        <f t="shared" si="89"/>
        <v>1069.697210132965</v>
      </c>
      <c r="BU31" s="329">
        <f t="shared" si="56"/>
        <v>1083.3637361702129</v>
      </c>
      <c r="BV31" s="339">
        <v>0</v>
      </c>
      <c r="BW31" s="325">
        <f t="shared" si="90"/>
        <v>1070.9610664225472</v>
      </c>
      <c r="BX31" s="21">
        <f t="shared" si="91"/>
        <v>311260.07009074028</v>
      </c>
      <c r="BY31" s="21">
        <f t="shared" si="92"/>
        <v>3655.6079026208863</v>
      </c>
      <c r="BZ31" s="21">
        <f t="shared" si="93"/>
        <v>85.145912357718274</v>
      </c>
      <c r="CA31" s="21">
        <f t="shared" si="129"/>
        <v>302228.17749287753</v>
      </c>
      <c r="CB31" s="21">
        <f t="shared" si="130"/>
        <v>3462.2087158383451</v>
      </c>
      <c r="CC31" s="21">
        <f t="shared" ref="CC31:CC67" si="135">CA31/CB31</f>
        <v>87.293459839753041</v>
      </c>
      <c r="CD31" s="342">
        <f t="shared" si="131"/>
        <v>-2.1475474820347671</v>
      </c>
      <c r="CE31" s="342">
        <v>0</v>
      </c>
      <c r="CF31" s="343">
        <v>0</v>
      </c>
      <c r="CG31" s="141">
        <f t="shared" si="94"/>
        <v>2719216.1402437557</v>
      </c>
      <c r="CH31" s="118">
        <f t="shared" si="95"/>
        <v>2535.1082575096934</v>
      </c>
      <c r="CI31" s="118">
        <f t="shared" si="96"/>
        <v>1072.6232823346631</v>
      </c>
      <c r="CJ31" s="118">
        <f t="shared" si="132"/>
        <v>2884427.4248601878</v>
      </c>
      <c r="CK31" s="118">
        <f t="shared" si="133"/>
        <v>2721.0020576131687</v>
      </c>
      <c r="CL31" s="118">
        <f t="shared" ref="CL31:CL67" si="136">CJ31/CK31</f>
        <v>1060.0607290206806</v>
      </c>
      <c r="CM31" s="350">
        <f t="shared" si="134"/>
        <v>12.562553313982562</v>
      </c>
      <c r="CN31" s="350">
        <v>0</v>
      </c>
      <c r="CO31" s="351">
        <v>0</v>
      </c>
      <c r="CP31" s="20">
        <f t="shared" si="26"/>
        <v>-0.95000000000000284</v>
      </c>
      <c r="CQ31" s="21">
        <f t="shared" si="27"/>
        <v>0</v>
      </c>
      <c r="CR31" s="21">
        <f t="shared" si="28"/>
        <v>297582.8</v>
      </c>
      <c r="CS31" s="21">
        <f t="shared" si="109"/>
        <v>100141.96676664628</v>
      </c>
      <c r="CT31" s="21">
        <f t="shared" si="109"/>
        <v>216464.06333438796</v>
      </c>
      <c r="CU31" s="21">
        <f t="shared" si="105"/>
        <v>0.4626262910529847</v>
      </c>
      <c r="CV31" s="342">
        <f t="shared" si="106"/>
        <v>31.629835582944935</v>
      </c>
      <c r="CW31" s="342">
        <v>0</v>
      </c>
      <c r="CX31" s="355">
        <v>0</v>
      </c>
      <c r="CY31" s="141">
        <f t="shared" si="29"/>
        <v>-13.516666666666652</v>
      </c>
      <c r="CZ31" s="118">
        <f t="shared" si="30"/>
        <v>0</v>
      </c>
      <c r="DA31" s="118">
        <f t="shared" si="31"/>
        <v>2367798.5333333337</v>
      </c>
      <c r="DB31" s="118">
        <f t="shared" si="110"/>
        <v>1393634.7719602655</v>
      </c>
      <c r="DC31" s="118">
        <f t="shared" si="110"/>
        <v>1347372.3086695471</v>
      </c>
      <c r="DD31" s="118">
        <f t="shared" si="107"/>
        <v>1.0343353229044761</v>
      </c>
      <c r="DE31" s="350">
        <f t="shared" si="108"/>
        <v>50.843895362723551</v>
      </c>
      <c r="DF31" s="350">
        <v>0</v>
      </c>
      <c r="DG31" s="351">
        <v>0</v>
      </c>
      <c r="DH31" s="135">
        <f t="shared" si="32"/>
        <v>2.2000000000000028</v>
      </c>
      <c r="DI31" s="20">
        <f t="shared" si="33"/>
        <v>7867.2000000000098</v>
      </c>
      <c r="DJ31" s="21">
        <f t="shared" si="127"/>
        <v>8216.611284011271</v>
      </c>
      <c r="DK31" s="21">
        <f t="shared" si="122"/>
        <v>3326.8517183164345</v>
      </c>
      <c r="DL31" s="319">
        <f t="shared" si="123"/>
        <v>2.4697858455108173</v>
      </c>
      <c r="DM31" s="21">
        <f t="shared" si="124"/>
        <v>9879.1433820432685</v>
      </c>
      <c r="DN31" s="21">
        <f>DM31*'Base Data'!$D$10</f>
        <v>19758.286764086537</v>
      </c>
      <c r="DO31" s="363">
        <f>IF(INT(('Base Data'!$D$7)/DN31)=0,0,INT(('Base Data'!$D$7)/DN31))</f>
        <v>0</v>
      </c>
      <c r="DP31" s="364">
        <f t="shared" si="113"/>
        <v>2.9810330060480596E-2</v>
      </c>
      <c r="DQ31" s="141">
        <f t="shared" si="34"/>
        <v>21.649999999999864</v>
      </c>
      <c r="DR31" s="143">
        <f t="shared" si="35"/>
        <v>47889.799999999697</v>
      </c>
      <c r="DS31" s="118">
        <f t="shared" si="128"/>
        <v>50069.042463513651</v>
      </c>
      <c r="DT31" s="118">
        <f t="shared" si="125"/>
        <v>2581.7417768311457</v>
      </c>
      <c r="DU31" s="329">
        <f t="shared" si="126"/>
        <v>19.393512903900433</v>
      </c>
      <c r="DV31" s="118">
        <f t="shared" si="114"/>
        <v>11636.10774234026</v>
      </c>
      <c r="DW31" s="118">
        <f>DV31*'Base Data'!$D$10</f>
        <v>23272.215484680521</v>
      </c>
      <c r="DX31" s="375">
        <f>IF(INT(('Base Data'!$D$7)/DW31)=0,0,INT(('Base Data'!$D$7)/DW31))</f>
        <v>0</v>
      </c>
      <c r="DY31" s="376">
        <f t="shared" si="115"/>
        <v>1.821500225781951E-2</v>
      </c>
      <c r="DZ31" s="135">
        <f t="shared" si="36"/>
        <v>2.2000000000000028</v>
      </c>
      <c r="EA31" s="21">
        <f t="shared" si="37"/>
        <v>7867.2000000000098</v>
      </c>
      <c r="EB31" s="21">
        <f t="shared" si="79"/>
        <v>8902.6340344297278</v>
      </c>
      <c r="EC31" s="21">
        <f t="shared" si="75"/>
        <v>3495.6978479112781</v>
      </c>
      <c r="ED31" s="319">
        <f t="shared" si="76"/>
        <v>2.5467401422434608</v>
      </c>
      <c r="EE31" s="21">
        <f t="shared" si="63"/>
        <v>10186.960568973844</v>
      </c>
      <c r="EF31" s="21">
        <f>EE31*'Base Data'!$D$13</f>
        <v>7640.2204267303823</v>
      </c>
      <c r="EG31" s="363">
        <f>IF(INT(('Base Data'!$D$7)/EF31)=0,0,INT(('Base Data'!$D$7)/EF31))</f>
        <v>1</v>
      </c>
      <c r="EH31" s="314">
        <f t="shared" si="64"/>
        <v>3.0739168886463018E-2</v>
      </c>
      <c r="EI31" s="143">
        <f t="shared" si="38"/>
        <v>21.649999999999864</v>
      </c>
      <c r="EJ31" s="118">
        <f t="shared" si="39"/>
        <v>47889.799999999697</v>
      </c>
      <c r="EK31" s="118">
        <f t="shared" si="80"/>
        <v>45789.784499871093</v>
      </c>
      <c r="EL31" s="118">
        <f t="shared" si="77"/>
        <v>2452.9335609958266</v>
      </c>
      <c r="EM31" s="329">
        <f t="shared" si="78"/>
        <v>18.667356192591551</v>
      </c>
      <c r="EN31" s="118">
        <f t="shared" si="65"/>
        <v>11200.413715554931</v>
      </c>
      <c r="EO31" s="118">
        <f>EN31*'Base Data'!$D$13</f>
        <v>8400.3102866661975</v>
      </c>
      <c r="EP31" s="375">
        <f>IF(INT(('Base Data'!$D$7)/EO31)=0,0,INT(('Base Data'!$D$7)/EO31))</f>
        <v>1</v>
      </c>
      <c r="EQ31" s="385">
        <f t="shared" si="66"/>
        <v>1.7532972849245376E-2</v>
      </c>
      <c r="ER31" s="397">
        <f t="shared" si="116"/>
        <v>-2.0514599174159391</v>
      </c>
      <c r="ES31" s="403">
        <f t="shared" si="67"/>
        <v>-0.75914040119940762</v>
      </c>
      <c r="ET31" s="405">
        <f t="shared" si="117"/>
        <v>-0.15113055563867309</v>
      </c>
      <c r="EU31" s="410">
        <f t="shared" si="68"/>
        <v>-0.6330123315135795</v>
      </c>
      <c r="EV31" s="20">
        <f t="shared" si="8"/>
        <v>2.2000000000000028</v>
      </c>
      <c r="EW31" s="17">
        <f t="shared" si="9"/>
        <v>2.6206075044669479E-2</v>
      </c>
      <c r="EX31" s="388">
        <f t="shared" si="69"/>
        <v>2.7814235164918842E-2</v>
      </c>
      <c r="EY31" s="388">
        <f t="shared" si="103"/>
        <v>2.3131347112078086E-2</v>
      </c>
      <c r="EZ31" s="314">
        <f t="shared" si="118"/>
        <v>2.0390585020459602E-2</v>
      </c>
      <c r="FA31" s="442">
        <f t="shared" si="10"/>
        <v>21.200000000000045</v>
      </c>
      <c r="FB31" s="18">
        <f t="shared" si="11"/>
        <v>1.9640541041319293E-2</v>
      </c>
      <c r="FC31" s="394">
        <f t="shared" si="70"/>
        <v>1.6406746880744293E-2</v>
      </c>
      <c r="FD31" s="394">
        <f t="shared" si="104"/>
        <v>1.5361137081608753E-2</v>
      </c>
      <c r="FE31" s="385">
        <f t="shared" si="119"/>
        <v>1.5911435334107878E-2</v>
      </c>
      <c r="FF31" s="416">
        <f t="shared" si="49"/>
        <v>1</v>
      </c>
      <c r="FG31" s="417">
        <f t="shared" si="50"/>
        <v>2</v>
      </c>
      <c r="FH31" s="415">
        <f t="shared" si="111"/>
        <v>63.855421686746993</v>
      </c>
      <c r="FI31" s="413" t="str">
        <f t="shared" si="120"/>
        <v>T-R</v>
      </c>
      <c r="FJ31" s="404">
        <f t="shared" si="112"/>
        <v>42.077331311599671</v>
      </c>
      <c r="FK31" s="414" t="str">
        <f t="shared" si="121"/>
        <v>T-D</v>
      </c>
      <c r="FL31" s="415">
        <f t="shared" si="71"/>
        <v>20.000000000000124</v>
      </c>
      <c r="FM31" s="413" t="str">
        <f t="shared" si="72"/>
        <v>C-D</v>
      </c>
      <c r="FN31" s="404">
        <f t="shared" si="73"/>
        <v>9.6100278551533052</v>
      </c>
      <c r="FO31" s="414" t="str">
        <f t="shared" si="74"/>
        <v>C-D</v>
      </c>
      <c r="FQ31" s="135">
        <f t="shared" si="51"/>
        <v>84.650557826273143</v>
      </c>
      <c r="FR31" s="21">
        <f t="shared" si="12"/>
        <v>84.650557826273143</v>
      </c>
      <c r="FS31" s="21">
        <f t="shared" si="13"/>
        <v>82.3</v>
      </c>
      <c r="FT31" s="182">
        <f t="shared" si="14"/>
        <v>83.4</v>
      </c>
      <c r="FU31" s="141">
        <f t="shared" si="52"/>
        <v>1082.288126813434</v>
      </c>
      <c r="FV31" s="118">
        <f t="shared" si="15"/>
        <v>1083.9000000000001</v>
      </c>
      <c r="FW31" s="118">
        <f t="shared" si="16"/>
        <v>1062.7</v>
      </c>
      <c r="FX31" s="181">
        <f t="shared" si="17"/>
        <v>1072.675</v>
      </c>
    </row>
    <row r="32" spans="1:180" ht="11.15" thickBot="1" x14ac:dyDescent="0.35">
      <c r="A32" s="691" t="str">
        <f>CONCATENATE("Gann Angle - ",$G$1)</f>
        <v>Gann Angle - AsianP</v>
      </c>
      <c r="B32" s="687" t="s">
        <v>21</v>
      </c>
      <c r="C32" s="688"/>
      <c r="D32" s="154" t="s">
        <v>22</v>
      </c>
      <c r="E32" s="154" t="s">
        <v>23</v>
      </c>
      <c r="F32" s="155" t="s">
        <v>24</v>
      </c>
      <c r="G32" s="243" t="s">
        <v>300</v>
      </c>
      <c r="L32" s="283">
        <f t="shared" si="40"/>
        <v>29</v>
      </c>
      <c r="M32" s="290">
        <f>'[6]ASHOKLEY-I'!C48</f>
        <v>42836</v>
      </c>
      <c r="N32" s="7">
        <f>'[6]ASHOKLEY-I'!D48</f>
        <v>83.1</v>
      </c>
      <c r="O32" s="7">
        <f>'[6]ASHOKLEY-I'!E48</f>
        <v>83.85</v>
      </c>
      <c r="P32" s="7">
        <f>'[6]ASHOKLEY-I'!F48</f>
        <v>82.4</v>
      </c>
      <c r="Q32" s="7">
        <f>'[6]ASHOKLEY-I'!G48</f>
        <v>82.9</v>
      </c>
      <c r="R32" s="11">
        <f>'[6]ASHOKLEY-I'!H48</f>
        <v>2985</v>
      </c>
      <c r="S32" s="291">
        <f>'[7]ASIANPAINT-I'!C48</f>
        <v>42836</v>
      </c>
      <c r="T32" s="9">
        <f>'[7]ASIANPAINT-I'!D48</f>
        <v>1064.9000000000001</v>
      </c>
      <c r="U32" s="9">
        <f>'[7]ASIANPAINT-I'!E48</f>
        <v>1081.95</v>
      </c>
      <c r="V32" s="9">
        <f>'[7]ASIANPAINT-I'!F48</f>
        <v>1060.5999999999999</v>
      </c>
      <c r="W32" s="9">
        <f>'[7]ASIANPAINT-I'!G48</f>
        <v>1078.6500000000001</v>
      </c>
      <c r="X32" s="12">
        <f>'[7]ASIANPAINT-I'!H48</f>
        <v>2081</v>
      </c>
      <c r="Y32" s="115"/>
      <c r="Z32" s="122">
        <f t="shared" si="18"/>
        <v>6.0350030175028815E-4</v>
      </c>
      <c r="AA32" s="19">
        <f t="shared" si="19"/>
        <v>1.3102282333051605E-2</v>
      </c>
      <c r="AB32" s="305">
        <f>IF(OR(SUM(Z12:Z32)=0,SUM('BNF-Nifty'!AA12:AA32)=0),0,(_xlfn.COVARIANCE.P(Z12:Z32,'BNF-Nifty'!AA12:AA32)/_xlfn.VAR.P('BNF-Nifty'!AA12:AA32)))</f>
        <v>1.0378865660112162</v>
      </c>
      <c r="AC32" s="306">
        <f>IF(OR(SUM(AA12:AA32)=0,SUM('BNF-Nifty'!AA12:AA32)=0),0,(_xlfn.COVARIANCE.P(AA12:AA32,'BNF-Nifty'!AA12:AA32)/_xlfn.VAR.P('BNF-Nifty'!AA12:AA32)))</f>
        <v>1.9161795421686449</v>
      </c>
      <c r="AD32" s="466">
        <f t="shared" si="20"/>
        <v>6.0331826867760256E-4</v>
      </c>
      <c r="AE32" s="17">
        <f t="shared" si="41"/>
        <v>1.2038078010179792E-2</v>
      </c>
      <c r="AF32" s="17">
        <f t="shared" si="42"/>
        <v>1.1672285227170513E-2</v>
      </c>
      <c r="AG32" s="314">
        <f t="shared" si="43"/>
        <v>0.22299869615070483</v>
      </c>
      <c r="AH32" s="467">
        <f t="shared" si="21"/>
        <v>1.301718989605226E-2</v>
      </c>
      <c r="AI32" s="18">
        <f t="shared" si="53"/>
        <v>1.013720466070063E-2</v>
      </c>
      <c r="AJ32" s="18">
        <f t="shared" si="22"/>
        <v>1.0332665541879687E-2</v>
      </c>
      <c r="AK32" s="385">
        <f t="shared" si="44"/>
        <v>0.19740529799913414</v>
      </c>
      <c r="AL32" s="10">
        <f t="shared" si="23"/>
        <v>1.7444051353791699E-2</v>
      </c>
      <c r="AM32" s="17">
        <f t="shared" si="45"/>
        <v>2.3983441171264674E-2</v>
      </c>
      <c r="AN32" s="17">
        <f t="shared" si="46"/>
        <v>2.3642140745892829E-2</v>
      </c>
      <c r="AO32" s="314">
        <f t="shared" si="47"/>
        <v>0.45168246473904777</v>
      </c>
      <c r="AP32" s="448">
        <f t="shared" si="24"/>
        <v>1.9930182914761761E-2</v>
      </c>
      <c r="AQ32" s="18">
        <f t="shared" si="54"/>
        <v>1.5048990995540017E-2</v>
      </c>
      <c r="AR32" s="18">
        <f t="shared" si="25"/>
        <v>1.5385595004606274E-2</v>
      </c>
      <c r="AS32" s="385">
        <f t="shared" si="48"/>
        <v>0.29394137983738255</v>
      </c>
      <c r="AT32" s="6">
        <f t="shared" si="0"/>
        <v>248053.49999999997</v>
      </c>
      <c r="AU32" s="319">
        <v>0</v>
      </c>
      <c r="AV32" s="140">
        <f t="shared" si="1"/>
        <v>2216056.9000000004</v>
      </c>
      <c r="AW32" s="481">
        <v>0</v>
      </c>
      <c r="AX32" s="135">
        <f t="shared" si="97"/>
        <v>305948.3288062035</v>
      </c>
      <c r="AY32" s="21">
        <f t="shared" si="98"/>
        <v>3576.3476529252912</v>
      </c>
      <c r="AZ32" s="319">
        <f t="shared" si="99"/>
        <v>85.547703550562701</v>
      </c>
      <c r="BA32" s="21">
        <f t="shared" si="2"/>
        <v>83.05</v>
      </c>
      <c r="BB32" s="21">
        <f t="shared" si="3"/>
        <v>247904.25</v>
      </c>
      <c r="BC32" s="21">
        <f t="shared" si="61"/>
        <v>263095.62671501643</v>
      </c>
      <c r="BD32" s="21">
        <f t="shared" si="57"/>
        <v>3139.4908445159472</v>
      </c>
      <c r="BE32" s="332">
        <f t="shared" si="58"/>
        <v>83.802004766024737</v>
      </c>
      <c r="BF32" s="141">
        <f t="shared" si="100"/>
        <v>2662570.8382025338</v>
      </c>
      <c r="BG32" s="118">
        <f t="shared" si="101"/>
        <v>2488.5405880889543</v>
      </c>
      <c r="BH32" s="329">
        <f t="shared" si="102"/>
        <v>1069.9326548847748</v>
      </c>
      <c r="BI32" s="118">
        <f t="shared" si="4"/>
        <v>1073.7333333333333</v>
      </c>
      <c r="BJ32" s="118">
        <f t="shared" si="5"/>
        <v>2234439.0666666669</v>
      </c>
      <c r="BK32" s="118">
        <f t="shared" si="62"/>
        <v>2427689.9669489409</v>
      </c>
      <c r="BL32" s="118">
        <f t="shared" si="59"/>
        <v>2255.4145168733307</v>
      </c>
      <c r="BM32" s="325">
        <f t="shared" si="60"/>
        <v>1076.383054550183</v>
      </c>
      <c r="BN32" s="6">
        <f t="shared" si="6"/>
        <v>247456.50000000003</v>
      </c>
      <c r="BO32" s="331">
        <f t="shared" si="87"/>
        <v>85.615661531245507</v>
      </c>
      <c r="BP32" s="319">
        <f t="shared" si="55"/>
        <v>83.817192648458672</v>
      </c>
      <c r="BQ32" s="331">
        <v>0</v>
      </c>
      <c r="BR32" s="332">
        <f t="shared" si="88"/>
        <v>84.748148181555777</v>
      </c>
      <c r="BS32" s="140">
        <f t="shared" si="7"/>
        <v>2244670.6500000004</v>
      </c>
      <c r="BT32" s="339">
        <f t="shared" si="89"/>
        <v>1070.0733364644566</v>
      </c>
      <c r="BU32" s="329">
        <f t="shared" si="56"/>
        <v>1080.1714899316462</v>
      </c>
      <c r="BV32" s="339">
        <v>0</v>
      </c>
      <c r="BW32" s="325">
        <f t="shared" si="90"/>
        <v>1072.2271771407793</v>
      </c>
      <c r="BX32" s="21">
        <f t="shared" si="91"/>
        <v>301513.020846011</v>
      </c>
      <c r="BY32" s="21">
        <f t="shared" si="92"/>
        <v>3552.4374560638271</v>
      </c>
      <c r="BZ32" s="21">
        <f t="shared" si="93"/>
        <v>84.874969531509663</v>
      </c>
      <c r="CA32" s="21">
        <f t="shared" si="129"/>
        <v>298204.18286377547</v>
      </c>
      <c r="CB32" s="21">
        <f t="shared" si="130"/>
        <v>3426.8599220725418</v>
      </c>
      <c r="CC32" s="21">
        <f t="shared" si="135"/>
        <v>87.019659293054374</v>
      </c>
      <c r="CD32" s="342">
        <f t="shared" si="131"/>
        <v>-2.1446897615447114</v>
      </c>
      <c r="CE32" s="342">
        <v>0</v>
      </c>
      <c r="CF32" s="343">
        <v>0</v>
      </c>
      <c r="CG32" s="141">
        <f t="shared" si="94"/>
        <v>2644635.0520011266</v>
      </c>
      <c r="CH32" s="118">
        <f t="shared" si="95"/>
        <v>2465.2454486620481</v>
      </c>
      <c r="CI32" s="118">
        <f t="shared" si="96"/>
        <v>1072.7674412446183</v>
      </c>
      <c r="CJ32" s="118">
        <f t="shared" si="132"/>
        <v>2836280.139068075</v>
      </c>
      <c r="CK32" s="118">
        <f t="shared" si="133"/>
        <v>2673.5944977899712</v>
      </c>
      <c r="CL32" s="118">
        <f t="shared" si="136"/>
        <v>1060.8490335436363</v>
      </c>
      <c r="CM32" s="350">
        <f t="shared" si="134"/>
        <v>11.918407700982016</v>
      </c>
      <c r="CN32" s="350">
        <v>0</v>
      </c>
      <c r="CO32" s="351">
        <v>0</v>
      </c>
      <c r="CP32" s="20">
        <f t="shared" si="26"/>
        <v>-0.1666666666666714</v>
      </c>
      <c r="CQ32" s="21">
        <f t="shared" si="27"/>
        <v>0</v>
      </c>
      <c r="CR32" s="21">
        <f t="shared" si="28"/>
        <v>247904.25</v>
      </c>
      <c r="CS32" s="21">
        <f t="shared" si="109"/>
        <v>86789.704531093448</v>
      </c>
      <c r="CT32" s="21">
        <f t="shared" si="109"/>
        <v>220656.08822313623</v>
      </c>
      <c r="CU32" s="21">
        <f t="shared" si="105"/>
        <v>0.39332567358544052</v>
      </c>
      <c r="CV32" s="342">
        <f t="shared" si="106"/>
        <v>28.229270517444547</v>
      </c>
      <c r="CW32" s="342">
        <v>0</v>
      </c>
      <c r="CX32" s="355">
        <v>0</v>
      </c>
      <c r="CY32" s="141">
        <f t="shared" si="29"/>
        <v>3.2999999999999545</v>
      </c>
      <c r="CZ32" s="118">
        <f t="shared" si="30"/>
        <v>2234439.0666666669</v>
      </c>
      <c r="DA32" s="118">
        <f t="shared" si="31"/>
        <v>0</v>
      </c>
      <c r="DB32" s="118">
        <f t="shared" si="110"/>
        <v>1505742.0112544524</v>
      </c>
      <c r="DC32" s="118">
        <f t="shared" si="110"/>
        <v>1167722.6675136075</v>
      </c>
      <c r="DD32" s="118">
        <f t="shared" si="107"/>
        <v>1.2894688551868039</v>
      </c>
      <c r="DE32" s="350">
        <f t="shared" si="108"/>
        <v>56.321746953032594</v>
      </c>
      <c r="DF32" s="350">
        <v>0</v>
      </c>
      <c r="DG32" s="351">
        <v>0</v>
      </c>
      <c r="DH32" s="135">
        <f t="shared" si="32"/>
        <v>1.4499999999999886</v>
      </c>
      <c r="DI32" s="20">
        <f t="shared" si="33"/>
        <v>4328.2499999999663</v>
      </c>
      <c r="DJ32" s="21">
        <f t="shared" si="127"/>
        <v>7863.1238945556979</v>
      </c>
      <c r="DK32" s="21">
        <f t="shared" si="122"/>
        <v>3295.7742893785767</v>
      </c>
      <c r="DL32" s="319">
        <f t="shared" si="123"/>
        <v>2.3858199027453129</v>
      </c>
      <c r="DM32" s="21">
        <f t="shared" si="124"/>
        <v>9543.2796109812516</v>
      </c>
      <c r="DN32" s="21">
        <f>DM32*'Base Data'!$D$10</f>
        <v>19086.559221962503</v>
      </c>
      <c r="DO32" s="363">
        <f>IF(INT(('Base Data'!$D$7)/DN32)=0,0,INT(('Base Data'!$D$7)/DN32))</f>
        <v>0</v>
      </c>
      <c r="DP32" s="364">
        <f t="shared" si="113"/>
        <v>2.877949219234394E-2</v>
      </c>
      <c r="DQ32" s="141">
        <f t="shared" si="34"/>
        <v>21.350000000000136</v>
      </c>
      <c r="DR32" s="143">
        <f t="shared" si="35"/>
        <v>44429.350000000282</v>
      </c>
      <c r="DS32" s="118">
        <f t="shared" si="128"/>
        <v>49556.343148648797</v>
      </c>
      <c r="DT32" s="118">
        <f t="shared" si="125"/>
        <v>2536.2197971192231</v>
      </c>
      <c r="DU32" s="329">
        <f t="shared" si="126"/>
        <v>19.539451275058099</v>
      </c>
      <c r="DV32" s="118">
        <f t="shared" si="114"/>
        <v>11723.67076503486</v>
      </c>
      <c r="DW32" s="118">
        <f>DV32*'Base Data'!$D$10</f>
        <v>23447.34153006972</v>
      </c>
      <c r="DX32" s="375">
        <f>IF(INT(('Base Data'!$D$7)/DW32)=0,0,INT(('Base Data'!$D$7)/DW32))</f>
        <v>0</v>
      </c>
      <c r="DY32" s="376">
        <f t="shared" si="115"/>
        <v>1.8114727923847492E-2</v>
      </c>
      <c r="DZ32" s="135">
        <f t="shared" si="36"/>
        <v>1.4499999999999886</v>
      </c>
      <c r="EA32" s="21">
        <f t="shared" si="37"/>
        <v>4328.2499999999663</v>
      </c>
      <c r="EB32" s="21">
        <f t="shared" si="79"/>
        <v>7886.1042490008922</v>
      </c>
      <c r="EC32" s="21">
        <f t="shared" si="75"/>
        <v>3382.2094372643273</v>
      </c>
      <c r="ED32" s="319">
        <f t="shared" si="76"/>
        <v>2.3316427900986239</v>
      </c>
      <c r="EE32" s="21">
        <f t="shared" si="63"/>
        <v>9326.5711603944947</v>
      </c>
      <c r="EF32" s="21">
        <f>EE32*'Base Data'!$D$13</f>
        <v>6994.928370295871</v>
      </c>
      <c r="EG32" s="363">
        <f>IF(INT(('Base Data'!$D$7)/EF32)=0,0,INT(('Base Data'!$D$7)/EF32))</f>
        <v>1</v>
      </c>
      <c r="EH32" s="314">
        <f t="shared" si="64"/>
        <v>2.8125968517474349E-2</v>
      </c>
      <c r="EI32" s="143">
        <f t="shared" si="38"/>
        <v>21.350000000000136</v>
      </c>
      <c r="EJ32" s="118">
        <f t="shared" si="39"/>
        <v>44429.350000000282</v>
      </c>
      <c r="EK32" s="118">
        <f t="shared" si="80"/>
        <v>45487.465722122026</v>
      </c>
      <c r="EL32" s="118">
        <f t="shared" si="77"/>
        <v>2370.2816585523096</v>
      </c>
      <c r="EM32" s="329">
        <f t="shared" si="78"/>
        <v>19.19074282079383</v>
      </c>
      <c r="EN32" s="118">
        <f t="shared" si="65"/>
        <v>11514.445692476298</v>
      </c>
      <c r="EO32" s="118">
        <f>EN32*'Base Data'!$D$13</f>
        <v>8635.8342693572231</v>
      </c>
      <c r="EP32" s="375">
        <f>IF(INT(('Base Data'!$D$7)/EO32)=0,0,INT(('Base Data'!$D$7)/EO32))</f>
        <v>1</v>
      </c>
      <c r="EQ32" s="385">
        <f t="shared" si="66"/>
        <v>1.7791445622578065E-2</v>
      </c>
      <c r="ER32" s="397">
        <f t="shared" si="116"/>
        <v>-1.9483502057568838</v>
      </c>
      <c r="ES32" s="403">
        <f t="shared" si="67"/>
        <v>-0.62902717041173239</v>
      </c>
      <c r="ET32" s="405">
        <f t="shared" si="117"/>
        <v>0.46141894615955287</v>
      </c>
      <c r="EU32" s="410">
        <f t="shared" si="68"/>
        <v>2.2471772146975818E-2</v>
      </c>
      <c r="EV32" s="20">
        <f t="shared" si="8"/>
        <v>1.4499999999999886</v>
      </c>
      <c r="EW32" s="17">
        <f t="shared" si="9"/>
        <v>1.7448856799037168E-2</v>
      </c>
      <c r="EX32" s="388">
        <f t="shared" si="69"/>
        <v>2.0235365399558475E-2</v>
      </c>
      <c r="EY32" s="388">
        <f t="shared" si="103"/>
        <v>2.2993439749050732E-2</v>
      </c>
      <c r="EZ32" s="314">
        <f t="shared" si="118"/>
        <v>2.0538207445558287E-2</v>
      </c>
      <c r="FA32" s="442">
        <f t="shared" si="10"/>
        <v>21.350000000000136</v>
      </c>
      <c r="FB32" s="18">
        <f t="shared" si="11"/>
        <v>2.0048830876138731E-2</v>
      </c>
      <c r="FC32" s="394">
        <f t="shared" si="70"/>
        <v>1.662770185221036E-2</v>
      </c>
      <c r="FD32" s="394">
        <f t="shared" si="104"/>
        <v>1.585507977973917E-2</v>
      </c>
      <c r="FE32" s="385">
        <f t="shared" si="119"/>
        <v>1.6269232586857991E-2</v>
      </c>
      <c r="FF32" s="416">
        <f t="shared" si="49"/>
        <v>1</v>
      </c>
      <c r="FG32" s="417">
        <f t="shared" si="50"/>
        <v>1</v>
      </c>
      <c r="FH32" s="415">
        <f t="shared" si="111"/>
        <v>63.052208835341304</v>
      </c>
      <c r="FI32" s="413" t="str">
        <f t="shared" si="120"/>
        <v>T-D</v>
      </c>
      <c r="FJ32" s="404">
        <f t="shared" si="112"/>
        <v>66.537267080745451</v>
      </c>
      <c r="FK32" s="414" t="str">
        <f t="shared" si="121"/>
        <v>T-R</v>
      </c>
      <c r="FL32" s="415">
        <f t="shared" si="71"/>
        <v>2.2988505747125085</v>
      </c>
      <c r="FM32" s="413" t="str">
        <f t="shared" si="72"/>
        <v>C-D</v>
      </c>
      <c r="FN32" s="404">
        <f t="shared" si="73"/>
        <v>23.214285714285783</v>
      </c>
      <c r="FO32" s="414" t="str">
        <f t="shared" si="74"/>
        <v>C-R</v>
      </c>
      <c r="FQ32" s="135">
        <f t="shared" si="51"/>
        <v>84.025278913136574</v>
      </c>
      <c r="FR32" s="21">
        <f t="shared" si="12"/>
        <v>84.025278913136574</v>
      </c>
      <c r="FS32" s="21">
        <f t="shared" si="13"/>
        <v>82.4</v>
      </c>
      <c r="FT32" s="182">
        <f t="shared" si="14"/>
        <v>83.0625</v>
      </c>
      <c r="FU32" s="141">
        <f t="shared" si="52"/>
        <v>1077.481563406717</v>
      </c>
      <c r="FV32" s="118">
        <f t="shared" si="15"/>
        <v>1081.95</v>
      </c>
      <c r="FW32" s="118">
        <f t="shared" si="16"/>
        <v>1060.5999999999999</v>
      </c>
      <c r="FX32" s="181">
        <f t="shared" si="17"/>
        <v>1071.5250000000001</v>
      </c>
    </row>
    <row r="33" spans="1:180" ht="11.15" thickBot="1" x14ac:dyDescent="0.35">
      <c r="A33" s="692"/>
      <c r="B33" s="708">
        <f>$T$69</f>
        <v>1169.1500000000001</v>
      </c>
      <c r="C33" s="709"/>
      <c r="D33" s="91">
        <f>$U$69</f>
        <v>1182.3499999999999</v>
      </c>
      <c r="E33" s="91">
        <f>$V$69</f>
        <v>1169</v>
      </c>
      <c r="F33" s="92">
        <f>$W$69</f>
        <v>1172.55</v>
      </c>
      <c r="G33" s="474">
        <f>'Base Data'!$D$17</f>
        <v>0</v>
      </c>
      <c r="L33" s="283">
        <f t="shared" si="40"/>
        <v>30</v>
      </c>
      <c r="M33" s="290">
        <f>'[6]ASHOKLEY-I'!C49</f>
        <v>42837</v>
      </c>
      <c r="N33" s="7">
        <f>'[6]ASHOKLEY-I'!D49</f>
        <v>83.05</v>
      </c>
      <c r="O33" s="7">
        <f>'[6]ASHOKLEY-I'!E49</f>
        <v>84.2</v>
      </c>
      <c r="P33" s="7">
        <f>'[6]ASHOKLEY-I'!F49</f>
        <v>82.55</v>
      </c>
      <c r="Q33" s="7">
        <f>'[6]ASHOKLEY-I'!G49</f>
        <v>82.9</v>
      </c>
      <c r="R33" s="11">
        <f>'[6]ASHOKLEY-I'!H49</f>
        <v>4428</v>
      </c>
      <c r="S33" s="291">
        <f>'[7]ASIANPAINT-I'!C49</f>
        <v>42837</v>
      </c>
      <c r="T33" s="9">
        <f>'[7]ASIANPAINT-I'!D49</f>
        <v>1078.8</v>
      </c>
      <c r="U33" s="9">
        <f>'[7]ASIANPAINT-I'!E49</f>
        <v>1085</v>
      </c>
      <c r="V33" s="9">
        <f>'[7]ASIANPAINT-I'!F49</f>
        <v>1065.9000000000001</v>
      </c>
      <c r="W33" s="9">
        <f>'[7]ASIANPAINT-I'!G49</f>
        <v>1075.05</v>
      </c>
      <c r="X33" s="12">
        <f>'[7]ASIANPAINT-I'!H49</f>
        <v>1929</v>
      </c>
      <c r="Y33" s="115"/>
      <c r="Z33" s="122">
        <f t="shared" si="18"/>
        <v>0</v>
      </c>
      <c r="AA33" s="19">
        <f t="shared" si="19"/>
        <v>-3.3375052148520244E-3</v>
      </c>
      <c r="AB33" s="305">
        <f>IF(OR(SUM(Z13:Z33)=0,SUM('BNF-Nifty'!AA13:AA33)=0),0,(_xlfn.COVARIANCE.P(Z13:Z33,'BNF-Nifty'!AA13:AA33)/_xlfn.VAR.P('BNF-Nifty'!AA13:AA33)))</f>
        <v>0.95099100280123494</v>
      </c>
      <c r="AC33" s="306">
        <f>IF(OR(SUM(AA13:AA33)=0,SUM('BNF-Nifty'!AA13:AA33)=0),0,(_xlfn.COVARIANCE.P(AA13:AA33,'BNF-Nifty'!AA13:AA33)/_xlfn.VAR.P('BNF-Nifty'!AA13:AA33)))</f>
        <v>1.8586222264232399</v>
      </c>
      <c r="AD33" s="466">
        <f t="shared" si="20"/>
        <v>0</v>
      </c>
      <c r="AE33" s="17">
        <f t="shared" si="41"/>
        <v>1.1672285227170513E-2</v>
      </c>
      <c r="AF33" s="17">
        <f t="shared" si="42"/>
        <v>1.1316700397154534E-2</v>
      </c>
      <c r="AG33" s="314">
        <f t="shared" si="43"/>
        <v>0.21620525751197522</v>
      </c>
      <c r="AH33" s="467">
        <f t="shared" si="21"/>
        <v>-3.3430871085749149E-3</v>
      </c>
      <c r="AI33" s="18">
        <f t="shared" si="53"/>
        <v>1.0332665541879687E-2</v>
      </c>
      <c r="AJ33" s="18">
        <f t="shared" si="22"/>
        <v>1.0051304017552058E-2</v>
      </c>
      <c r="AK33" s="385">
        <f t="shared" si="44"/>
        <v>0.19202989362450631</v>
      </c>
      <c r="AL33" s="10">
        <f t="shared" si="23"/>
        <v>1.9790750882144159E-2</v>
      </c>
      <c r="AM33" s="17">
        <f t="shared" si="45"/>
        <v>2.3642140745892829E-2</v>
      </c>
      <c r="AN33" s="17">
        <f t="shared" si="46"/>
        <v>2.3428918010322947E-2</v>
      </c>
      <c r="AO33" s="314">
        <f t="shared" si="47"/>
        <v>0.44760885009578255</v>
      </c>
      <c r="AP33" s="448">
        <f t="shared" si="24"/>
        <v>1.7760474279468669E-2</v>
      </c>
      <c r="AQ33" s="18">
        <f t="shared" si="54"/>
        <v>1.5385595004606274E-2</v>
      </c>
      <c r="AR33" s="18">
        <f t="shared" si="25"/>
        <v>1.5538327079351872E-2</v>
      </c>
      <c r="AS33" s="385">
        <f t="shared" si="48"/>
        <v>0.29685932202828946</v>
      </c>
      <c r="AT33" s="6">
        <f t="shared" si="0"/>
        <v>367745.39999999997</v>
      </c>
      <c r="AU33" s="319">
        <v>0</v>
      </c>
      <c r="AV33" s="140">
        <f t="shared" si="1"/>
        <v>2081005.2</v>
      </c>
      <c r="AW33" s="481">
        <v>0</v>
      </c>
      <c r="AX33" s="135">
        <f t="shared" si="97"/>
        <v>314776.48183388868</v>
      </c>
      <c r="AY33" s="21">
        <f t="shared" si="98"/>
        <v>3698.012273935964</v>
      </c>
      <c r="AZ33" s="319">
        <f t="shared" si="99"/>
        <v>85.120453507542749</v>
      </c>
      <c r="BA33" s="21">
        <f t="shared" si="2"/>
        <v>83.216666666666669</v>
      </c>
      <c r="BB33" s="21">
        <f t="shared" si="3"/>
        <v>368483.4</v>
      </c>
      <c r="BC33" s="21">
        <f t="shared" si="61"/>
        <v>298224.88447667763</v>
      </c>
      <c r="BD33" s="21">
        <f t="shared" si="57"/>
        <v>3568.9938963439649</v>
      </c>
      <c r="BE33" s="332">
        <f t="shared" si="58"/>
        <v>83.559931212596268</v>
      </c>
      <c r="BF33" s="141">
        <f t="shared" si="100"/>
        <v>2579490.0327450288</v>
      </c>
      <c r="BG33" s="118">
        <f t="shared" si="101"/>
        <v>2408.6062183619611</v>
      </c>
      <c r="BH33" s="329">
        <f t="shared" si="102"/>
        <v>1070.9471781150187</v>
      </c>
      <c r="BI33" s="118">
        <f t="shared" si="4"/>
        <v>1075.3166666666666</v>
      </c>
      <c r="BJ33" s="118">
        <f t="shared" si="5"/>
        <v>2074285.8499999999</v>
      </c>
      <c r="BK33" s="118">
        <f t="shared" si="62"/>
        <v>2309888.5946326274</v>
      </c>
      <c r="BL33" s="118">
        <f t="shared" si="59"/>
        <v>2146.6096779155537</v>
      </c>
      <c r="BM33" s="325">
        <f t="shared" si="60"/>
        <v>1076.0636264696357</v>
      </c>
      <c r="BN33" s="6">
        <f t="shared" si="6"/>
        <v>367081.2</v>
      </c>
      <c r="BO33" s="331">
        <f t="shared" si="87"/>
        <v>85.345477167554364</v>
      </c>
      <c r="BP33" s="319">
        <f t="shared" si="55"/>
        <v>83.260837696335074</v>
      </c>
      <c r="BQ33" s="331">
        <v>0</v>
      </c>
      <c r="BR33" s="332">
        <f t="shared" si="88"/>
        <v>84.485070287260982</v>
      </c>
      <c r="BS33" s="140">
        <f t="shared" si="7"/>
        <v>2073771.45</v>
      </c>
      <c r="BT33" s="339">
        <f t="shared" si="89"/>
        <v>1070.8562066574204</v>
      </c>
      <c r="BU33" s="329">
        <f t="shared" si="56"/>
        <v>1077.8335253679318</v>
      </c>
      <c r="BV33" s="339">
        <v>0</v>
      </c>
      <c r="BW33" s="325">
        <f t="shared" si="90"/>
        <v>1072.7626635711272</v>
      </c>
      <c r="BX33" s="21">
        <f t="shared" si="91"/>
        <v>311816.15610047086</v>
      </c>
      <c r="BY33" s="21">
        <f t="shared" si="92"/>
        <v>3687.1393859001614</v>
      </c>
      <c r="BZ33" s="21">
        <f t="shared" si="93"/>
        <v>84.568583789610514</v>
      </c>
      <c r="CA33" s="21">
        <f t="shared" si="129"/>
        <v>303410.05079979211</v>
      </c>
      <c r="CB33" s="21">
        <f t="shared" si="130"/>
        <v>3501.0184463634646</v>
      </c>
      <c r="CC33" s="21">
        <f t="shared" si="135"/>
        <v>86.663368230734832</v>
      </c>
      <c r="CD33" s="342">
        <f t="shared" si="131"/>
        <v>-2.0947844411243182</v>
      </c>
      <c r="CE33" s="342">
        <v>0</v>
      </c>
      <c r="CF33" s="343">
        <v>0</v>
      </c>
      <c r="CG33" s="141">
        <f t="shared" si="94"/>
        <v>2556889.0209240303</v>
      </c>
      <c r="CH33" s="118">
        <f t="shared" si="95"/>
        <v>2382.7461488678869</v>
      </c>
      <c r="CI33" s="118">
        <f t="shared" si="96"/>
        <v>1073.0849453429539</v>
      </c>
      <c r="CJ33" s="118">
        <f t="shared" si="132"/>
        <v>2779836.1176556251</v>
      </c>
      <c r="CK33" s="118">
        <f t="shared" si="133"/>
        <v>2618.4393498055288</v>
      </c>
      <c r="CL33" s="118">
        <f t="shared" si="136"/>
        <v>1061.6385358943232</v>
      </c>
      <c r="CM33" s="350">
        <f t="shared" si="134"/>
        <v>11.446409448630675</v>
      </c>
      <c r="CN33" s="350">
        <v>0</v>
      </c>
      <c r="CO33" s="351">
        <v>0</v>
      </c>
      <c r="CP33" s="20">
        <f t="shared" si="26"/>
        <v>0.1666666666666714</v>
      </c>
      <c r="CQ33" s="21">
        <f t="shared" si="27"/>
        <v>368483.4</v>
      </c>
      <c r="CR33" s="21">
        <f t="shared" si="28"/>
        <v>0</v>
      </c>
      <c r="CS33" s="21">
        <f t="shared" si="109"/>
        <v>124348.86392694766</v>
      </c>
      <c r="CT33" s="21">
        <f t="shared" si="109"/>
        <v>191235.27646005139</v>
      </c>
      <c r="CU33" s="21">
        <f t="shared" si="105"/>
        <v>0.65024019746128714</v>
      </c>
      <c r="CV33" s="342">
        <f t="shared" si="106"/>
        <v>39.402760789708672</v>
      </c>
      <c r="CW33" s="342">
        <v>0</v>
      </c>
      <c r="CX33" s="355">
        <v>0</v>
      </c>
      <c r="CY33" s="141">
        <f t="shared" si="29"/>
        <v>1.5833333333332575</v>
      </c>
      <c r="CZ33" s="118">
        <f t="shared" si="30"/>
        <v>2074285.8499999999</v>
      </c>
      <c r="DA33" s="118">
        <f t="shared" si="31"/>
        <v>0</v>
      </c>
      <c r="DB33" s="118">
        <f t="shared" si="110"/>
        <v>1581547.8564205253</v>
      </c>
      <c r="DC33" s="118">
        <f t="shared" si="110"/>
        <v>1012026.3118451266</v>
      </c>
      <c r="DD33" s="118">
        <f t="shared" si="107"/>
        <v>1.5627536931693475</v>
      </c>
      <c r="DE33" s="350">
        <f t="shared" si="108"/>
        <v>60.979472874613094</v>
      </c>
      <c r="DF33" s="350">
        <v>0</v>
      </c>
      <c r="DG33" s="351">
        <v>0</v>
      </c>
      <c r="DH33" s="135">
        <f t="shared" si="32"/>
        <v>1.6500000000000057</v>
      </c>
      <c r="DI33" s="20">
        <f t="shared" si="33"/>
        <v>7306.2000000000253</v>
      </c>
      <c r="DJ33" s="21">
        <f t="shared" si="127"/>
        <v>7812.4944495960917</v>
      </c>
      <c r="DK33" s="21">
        <f t="shared" si="122"/>
        <v>3398.7038994350696</v>
      </c>
      <c r="DL33" s="319">
        <f t="shared" si="123"/>
        <v>2.2986687516069519</v>
      </c>
      <c r="DM33" s="21">
        <f t="shared" si="124"/>
        <v>9194.6750064278076</v>
      </c>
      <c r="DN33" s="21">
        <f>DM33*'Base Data'!$D$10</f>
        <v>18389.350012855615</v>
      </c>
      <c r="DO33" s="363">
        <f>IF(INT(('Base Data'!$D$7)/DN33)=0,0,INT(('Base Data'!$D$7)/DN33))</f>
        <v>0</v>
      </c>
      <c r="DP33" s="364">
        <f t="shared" si="113"/>
        <v>2.7728211720228609E-2</v>
      </c>
      <c r="DQ33" s="141">
        <f t="shared" si="34"/>
        <v>19.099999999999909</v>
      </c>
      <c r="DR33" s="143">
        <f t="shared" si="35"/>
        <v>36843.899999999827</v>
      </c>
      <c r="DS33" s="118">
        <f t="shared" si="128"/>
        <v>48400.666498771621</v>
      </c>
      <c r="DT33" s="118">
        <f t="shared" si="125"/>
        <v>2481.0179973811119</v>
      </c>
      <c r="DU33" s="329">
        <f t="shared" si="126"/>
        <v>19.508389922951753</v>
      </c>
      <c r="DV33" s="118">
        <f t="shared" si="114"/>
        <v>11705.033953771052</v>
      </c>
      <c r="DW33" s="118">
        <f>DV33*'Base Data'!$D$10</f>
        <v>23410.067907542103</v>
      </c>
      <c r="DX33" s="375">
        <f>IF(INT(('Base Data'!$D$7)/DW33)=0,0,INT(('Base Data'!$D$7)/DW33))</f>
        <v>0</v>
      </c>
      <c r="DY33" s="376">
        <f t="shared" si="115"/>
        <v>1.8146495440167207E-2</v>
      </c>
      <c r="DZ33" s="135">
        <f t="shared" si="36"/>
        <v>1.6500000000000057</v>
      </c>
      <c r="EA33" s="21">
        <f t="shared" si="37"/>
        <v>7306.2000000000253</v>
      </c>
      <c r="EB33" s="21">
        <f t="shared" si="79"/>
        <v>7757.2366381118109</v>
      </c>
      <c r="EC33" s="21">
        <f t="shared" si="75"/>
        <v>3614.607340094477</v>
      </c>
      <c r="ED33" s="319">
        <f t="shared" si="76"/>
        <v>2.1460800325573</v>
      </c>
      <c r="EE33" s="21">
        <f t="shared" si="63"/>
        <v>8584.3201302292</v>
      </c>
      <c r="EF33" s="21">
        <f>EE33*'Base Data'!$D$13</f>
        <v>6438.2400976719</v>
      </c>
      <c r="EG33" s="363">
        <f>IF(INT(('Base Data'!$D$7)/EF33)=0,0,INT(('Base Data'!$D$7)/EF33))</f>
        <v>1</v>
      </c>
      <c r="EH33" s="314">
        <f t="shared" si="64"/>
        <v>2.5887575784768392E-2</v>
      </c>
      <c r="EI33" s="143">
        <f t="shared" si="38"/>
        <v>19.099999999999909</v>
      </c>
      <c r="EJ33" s="118">
        <f t="shared" si="39"/>
        <v>36843.899999999827</v>
      </c>
      <c r="EK33" s="118">
        <f t="shared" si="80"/>
        <v>43566.673339428206</v>
      </c>
      <c r="EL33" s="118">
        <f t="shared" si="77"/>
        <v>2272.2190677629073</v>
      </c>
      <c r="EM33" s="329">
        <f t="shared" si="78"/>
        <v>19.173623686875128</v>
      </c>
      <c r="EN33" s="118">
        <f t="shared" si="65"/>
        <v>11504.174212125077</v>
      </c>
      <c r="EO33" s="118">
        <f>EN33*'Base Data'!$D$13</f>
        <v>8628.1306590938075</v>
      </c>
      <c r="EP33" s="375">
        <f>IF(INT(('Base Data'!$D$7)/EO33)=0,0,INT(('Base Data'!$D$7)/EO33))</f>
        <v>1</v>
      </c>
      <c r="EQ33" s="385">
        <f t="shared" si="66"/>
        <v>1.7835099471536327E-2</v>
      </c>
      <c r="ER33" s="397">
        <f t="shared" si="116"/>
        <v>-1.8589089315407894</v>
      </c>
      <c r="ES33" s="403">
        <f t="shared" si="67"/>
        <v>-0.61934627157534161</v>
      </c>
      <c r="ET33" s="405">
        <f t="shared" si="117"/>
        <v>0.18876697139454826</v>
      </c>
      <c r="EU33" s="410">
        <f t="shared" si="68"/>
        <v>-0.19014837220515379</v>
      </c>
      <c r="EV33" s="20">
        <f t="shared" si="8"/>
        <v>1.6500000000000057</v>
      </c>
      <c r="EW33" s="17">
        <f t="shared" si="9"/>
        <v>1.9867549668874242E-2</v>
      </c>
      <c r="EX33" s="388">
        <f t="shared" si="69"/>
        <v>1.9275695335712672E-2</v>
      </c>
      <c r="EY33" s="388">
        <f t="shared" si="103"/>
        <v>2.3683674691822278E-2</v>
      </c>
      <c r="EZ33" s="314">
        <f t="shared" si="118"/>
        <v>2.0882502066106454E-2</v>
      </c>
      <c r="FA33" s="442">
        <f t="shared" si="10"/>
        <v>19.099999999999909</v>
      </c>
      <c r="FB33" s="18">
        <f t="shared" si="11"/>
        <v>1.7704857248794875E-2</v>
      </c>
      <c r="FC33" s="394">
        <f t="shared" si="70"/>
        <v>1.7614116172195885E-2</v>
      </c>
      <c r="FD33" s="394">
        <f t="shared" si="104"/>
        <v>1.6249042555893073E-2</v>
      </c>
      <c r="FE33" s="385">
        <f t="shared" si="119"/>
        <v>1.667233752665806E-2</v>
      </c>
      <c r="FF33" s="416">
        <f t="shared" si="49"/>
        <v>1</v>
      </c>
      <c r="FG33" s="417">
        <f t="shared" si="50"/>
        <v>2</v>
      </c>
      <c r="FH33" s="415">
        <f t="shared" si="111"/>
        <v>66.666666666666629</v>
      </c>
      <c r="FI33" s="413" t="str">
        <f t="shared" si="120"/>
        <v>T-R</v>
      </c>
      <c r="FJ33" s="404">
        <f t="shared" si="112"/>
        <v>3.7071362372567163</v>
      </c>
      <c r="FK33" s="414" t="str">
        <f t="shared" si="121"/>
        <v>C-D</v>
      </c>
      <c r="FL33" s="415">
        <f t="shared" si="71"/>
        <v>43.678160919539948</v>
      </c>
      <c r="FM33" s="413" t="str">
        <f t="shared" si="72"/>
        <v>T-R</v>
      </c>
      <c r="FN33" s="404">
        <f t="shared" si="73"/>
        <v>7.2802197802200128</v>
      </c>
      <c r="FO33" s="414" t="str">
        <f t="shared" si="74"/>
        <v>C-D</v>
      </c>
      <c r="FQ33" s="135">
        <f t="shared" si="51"/>
        <v>83.54388945656828</v>
      </c>
      <c r="FR33" s="21">
        <f t="shared" si="12"/>
        <v>84.2</v>
      </c>
      <c r="FS33" s="21">
        <f t="shared" si="13"/>
        <v>82.55</v>
      </c>
      <c r="FT33" s="182">
        <f t="shared" si="14"/>
        <v>83.175000000000011</v>
      </c>
      <c r="FU33" s="141">
        <f t="shared" si="52"/>
        <v>1074.5032817033584</v>
      </c>
      <c r="FV33" s="118">
        <f t="shared" si="15"/>
        <v>1085</v>
      </c>
      <c r="FW33" s="118">
        <f t="shared" si="16"/>
        <v>1065.9000000000001</v>
      </c>
      <c r="FX33" s="181">
        <f t="shared" si="17"/>
        <v>1076.1875</v>
      </c>
    </row>
    <row r="34" spans="1:180" ht="11.15" thickBot="1" x14ac:dyDescent="0.35">
      <c r="A34" s="5"/>
      <c r="L34" s="283">
        <f t="shared" si="40"/>
        <v>31</v>
      </c>
      <c r="M34" s="290">
        <f>'[6]ASHOKLEY-I'!C50</f>
        <v>42838</v>
      </c>
      <c r="N34" s="7">
        <f>'[6]ASHOKLEY-I'!D50</f>
        <v>82.9</v>
      </c>
      <c r="O34" s="7">
        <f>'[6]ASHOKLEY-I'!E50</f>
        <v>84</v>
      </c>
      <c r="P34" s="7">
        <f>'[6]ASHOKLEY-I'!F50</f>
        <v>82.75</v>
      </c>
      <c r="Q34" s="7">
        <f>'[6]ASHOKLEY-I'!G50</f>
        <v>83.05</v>
      </c>
      <c r="R34" s="11">
        <f>'[6]ASHOKLEY-I'!H50</f>
        <v>2265</v>
      </c>
      <c r="S34" s="291">
        <f>'[7]ASIANPAINT-I'!C50</f>
        <v>42838</v>
      </c>
      <c r="T34" s="9">
        <f>'[7]ASIANPAINT-I'!D50</f>
        <v>1073.5</v>
      </c>
      <c r="U34" s="9">
        <f>'[7]ASIANPAINT-I'!E50</f>
        <v>1083.9000000000001</v>
      </c>
      <c r="V34" s="9">
        <f>'[7]ASIANPAINT-I'!F50</f>
        <v>1070.45</v>
      </c>
      <c r="W34" s="9">
        <f>'[7]ASIANPAINT-I'!G50</f>
        <v>1080.95</v>
      </c>
      <c r="X34" s="12">
        <f>'[7]ASIANPAINT-I'!H50</f>
        <v>1178</v>
      </c>
      <c r="Y34" s="115"/>
      <c r="Z34" s="122">
        <f t="shared" si="18"/>
        <v>1.8094089264172673E-3</v>
      </c>
      <c r="AA34" s="19">
        <f t="shared" si="19"/>
        <v>5.4881168317753512E-3</v>
      </c>
      <c r="AB34" s="305">
        <f>IF(OR(SUM(Z14:Z34)=0,SUM('BNF-Nifty'!AA14:AA34)=0),0,(_xlfn.COVARIANCE.P(Z14:Z34,'BNF-Nifty'!AA14:AA34)/_xlfn.VAR.P('BNF-Nifty'!AA14:AA34)))</f>
        <v>0.98678817592947299</v>
      </c>
      <c r="AC34" s="306">
        <f>IF(OR(SUM(AA14:AA34)=0,SUM('BNF-Nifty'!AA14:AA34)=0),0,(_xlfn.COVARIANCE.P(AA14:AA34,'BNF-Nifty'!AA14:AA34)/_xlfn.VAR.P('BNF-Nifty'!AA14:AA34)))</f>
        <v>1.4700867993236486</v>
      </c>
      <c r="AD34" s="466">
        <f t="shared" si="20"/>
        <v>1.8077739180545626E-3</v>
      </c>
      <c r="AE34" s="17">
        <f t="shared" si="41"/>
        <v>1.1316700397154534E-2</v>
      </c>
      <c r="AF34" s="17">
        <f t="shared" si="42"/>
        <v>1.0980880119487146E-2</v>
      </c>
      <c r="AG34" s="314">
        <f t="shared" si="43"/>
        <v>0.20978942011567225</v>
      </c>
      <c r="AH34" s="467">
        <f t="shared" si="21"/>
        <v>5.4731119924355314E-3</v>
      </c>
      <c r="AI34" s="18">
        <f t="shared" si="53"/>
        <v>1.0051304017552058E-2</v>
      </c>
      <c r="AJ34" s="18">
        <f t="shared" si="22"/>
        <v>9.8368840086160998E-3</v>
      </c>
      <c r="AK34" s="385">
        <f t="shared" si="44"/>
        <v>0.18793340510569961</v>
      </c>
      <c r="AL34" s="10">
        <f t="shared" si="23"/>
        <v>1.4992784586141318E-2</v>
      </c>
      <c r="AM34" s="17">
        <f t="shared" si="45"/>
        <v>2.3428918010322947E-2</v>
      </c>
      <c r="AN34" s="17">
        <f t="shared" si="46"/>
        <v>2.3010136083151597E-2</v>
      </c>
      <c r="AO34" s="314">
        <f t="shared" si="47"/>
        <v>0.43960803261119058</v>
      </c>
      <c r="AP34" s="448">
        <f t="shared" si="24"/>
        <v>1.2486527028972884E-2</v>
      </c>
      <c r="AQ34" s="18">
        <f t="shared" si="54"/>
        <v>1.5538327079351872E-2</v>
      </c>
      <c r="AR34" s="18">
        <f t="shared" si="25"/>
        <v>1.5372313858171798E-2</v>
      </c>
      <c r="AS34" s="385">
        <f t="shared" si="48"/>
        <v>0.2936876438910247</v>
      </c>
      <c r="AT34" s="6">
        <f t="shared" si="0"/>
        <v>187768.5</v>
      </c>
      <c r="AU34" s="319">
        <v>0</v>
      </c>
      <c r="AV34" s="140">
        <f t="shared" si="1"/>
        <v>1264583</v>
      </c>
      <c r="AW34" s="481">
        <v>0</v>
      </c>
      <c r="AX34" s="135">
        <f t="shared" si="97"/>
        <v>296632.48442904744</v>
      </c>
      <c r="AY34" s="21">
        <f t="shared" si="98"/>
        <v>3493.2962348022547</v>
      </c>
      <c r="AZ34" s="319">
        <f t="shared" si="99"/>
        <v>84.914780909165856</v>
      </c>
      <c r="BA34" s="21">
        <f t="shared" si="2"/>
        <v>83.266666666666666</v>
      </c>
      <c r="BB34" s="21">
        <f t="shared" si="3"/>
        <v>188599</v>
      </c>
      <c r="BC34" s="21">
        <f t="shared" si="61"/>
        <v>261682.92298445175</v>
      </c>
      <c r="BD34" s="21">
        <f t="shared" si="57"/>
        <v>3134.32926422931</v>
      </c>
      <c r="BE34" s="332">
        <f t="shared" si="58"/>
        <v>83.489289389893159</v>
      </c>
      <c r="BF34" s="141">
        <f t="shared" si="100"/>
        <v>2391646.1709243106</v>
      </c>
      <c r="BG34" s="118">
        <f t="shared" si="101"/>
        <v>2232.8053300245379</v>
      </c>
      <c r="BH34" s="329">
        <f t="shared" si="102"/>
        <v>1071.1395833590325</v>
      </c>
      <c r="BI34" s="118">
        <f t="shared" si="4"/>
        <v>1078.4333333333334</v>
      </c>
      <c r="BJ34" s="118">
        <f t="shared" si="5"/>
        <v>1270394.4666666668</v>
      </c>
      <c r="BK34" s="118">
        <f t="shared" si="62"/>
        <v>1963390.5519773073</v>
      </c>
      <c r="BL34" s="118">
        <f t="shared" si="59"/>
        <v>1823.7397852770359</v>
      </c>
      <c r="BM34" s="325">
        <f t="shared" si="60"/>
        <v>1076.5738444857459</v>
      </c>
      <c r="BN34" s="6">
        <f t="shared" si="6"/>
        <v>188108.25</v>
      </c>
      <c r="BO34" s="331">
        <f t="shared" si="87"/>
        <v>85.067357471099314</v>
      </c>
      <c r="BP34" s="319">
        <f t="shared" si="55"/>
        <v>83.065453799545566</v>
      </c>
      <c r="BQ34" s="331">
        <v>0</v>
      </c>
      <c r="BR34" s="332">
        <f t="shared" si="88"/>
        <v>84.226735836863639</v>
      </c>
      <c r="BS34" s="140">
        <f t="shared" si="7"/>
        <v>1273359.1000000001</v>
      </c>
      <c r="BT34" s="339">
        <f t="shared" si="89"/>
        <v>1071.0938084361201</v>
      </c>
      <c r="BU34" s="329">
        <f t="shared" si="56"/>
        <v>1076.4465122225629</v>
      </c>
      <c r="BV34" s="339">
        <v>0</v>
      </c>
      <c r="BW34" s="325">
        <f t="shared" si="90"/>
        <v>1073.3235282472972</v>
      </c>
      <c r="BX34" s="21">
        <f t="shared" si="91"/>
        <v>292859.67054655228</v>
      </c>
      <c r="BY34" s="21">
        <f t="shared" si="92"/>
        <v>3468.3487111462905</v>
      </c>
      <c r="BZ34" s="21">
        <f t="shared" si="93"/>
        <v>84.437781473755578</v>
      </c>
      <c r="CA34" s="21">
        <f t="shared" si="129"/>
        <v>294905.528518326</v>
      </c>
      <c r="CB34" s="21">
        <f t="shared" si="130"/>
        <v>3409.4615244106153</v>
      </c>
      <c r="CC34" s="21">
        <f t="shared" si="135"/>
        <v>86.496218363779761</v>
      </c>
      <c r="CD34" s="342">
        <f t="shared" si="131"/>
        <v>-2.0584368900241827</v>
      </c>
      <c r="CE34" s="342">
        <v>0</v>
      </c>
      <c r="CF34" s="343">
        <v>0</v>
      </c>
      <c r="CG34" s="141">
        <f t="shared" si="94"/>
        <v>2358966.781807513</v>
      </c>
      <c r="CH34" s="118">
        <f t="shared" si="95"/>
        <v>2197.4005875035964</v>
      </c>
      <c r="CI34" s="118">
        <f t="shared" si="96"/>
        <v>1073.5260540216143</v>
      </c>
      <c r="CJ34" s="118">
        <f t="shared" si="132"/>
        <v>2668025.6249897764</v>
      </c>
      <c r="CK34" s="118">
        <f t="shared" si="133"/>
        <v>2511.740138708823</v>
      </c>
      <c r="CL34" s="118">
        <f t="shared" si="136"/>
        <v>1062.2219965642198</v>
      </c>
      <c r="CM34" s="350">
        <f t="shared" si="134"/>
        <v>11.304057457394492</v>
      </c>
      <c r="CN34" s="350">
        <v>0</v>
      </c>
      <c r="CO34" s="351">
        <v>0</v>
      </c>
      <c r="CP34" s="20">
        <f t="shared" si="26"/>
        <v>4.9999999999997158E-2</v>
      </c>
      <c r="CQ34" s="21">
        <f t="shared" si="27"/>
        <v>188599</v>
      </c>
      <c r="CR34" s="21">
        <f t="shared" si="28"/>
        <v>0</v>
      </c>
      <c r="CS34" s="21">
        <f t="shared" si="109"/>
        <v>132915.54873668798</v>
      </c>
      <c r="CT34" s="21">
        <f t="shared" si="109"/>
        <v>165737.2395987112</v>
      </c>
      <c r="CU34" s="21">
        <f t="shared" si="105"/>
        <v>0.8019655030969971</v>
      </c>
      <c r="CV34" s="342">
        <f t="shared" si="106"/>
        <v>44.505041951062722</v>
      </c>
      <c r="CW34" s="342">
        <v>0</v>
      </c>
      <c r="CX34" s="355">
        <v>0</v>
      </c>
      <c r="CY34" s="141">
        <f t="shared" si="29"/>
        <v>3.1166666666667879</v>
      </c>
      <c r="CZ34" s="118">
        <f t="shared" si="30"/>
        <v>1270394.4666666668</v>
      </c>
      <c r="DA34" s="118">
        <f t="shared" si="31"/>
        <v>0</v>
      </c>
      <c r="DB34" s="118">
        <f t="shared" si="110"/>
        <v>1540060.7377866774</v>
      </c>
      <c r="DC34" s="118">
        <f t="shared" si="110"/>
        <v>877089.47026577638</v>
      </c>
      <c r="DD34" s="118">
        <f t="shared" si="107"/>
        <v>1.7558764413395671</v>
      </c>
      <c r="DE34" s="350">
        <f t="shared" si="108"/>
        <v>63.713902952995845</v>
      </c>
      <c r="DF34" s="350">
        <v>0</v>
      </c>
      <c r="DG34" s="351">
        <v>0</v>
      </c>
      <c r="DH34" s="135">
        <f t="shared" si="32"/>
        <v>1.25</v>
      </c>
      <c r="DI34" s="20">
        <f t="shared" si="33"/>
        <v>2831.25</v>
      </c>
      <c r="DJ34" s="21">
        <f t="shared" si="127"/>
        <v>7359.6540450873563</v>
      </c>
      <c r="DK34" s="21">
        <f t="shared" si="122"/>
        <v>3295.639908577336</v>
      </c>
      <c r="DL34" s="319">
        <f t="shared" si="123"/>
        <v>2.2331487205058083</v>
      </c>
      <c r="DM34" s="21">
        <f t="shared" si="124"/>
        <v>8932.5948820232334</v>
      </c>
      <c r="DN34" s="21">
        <f>DM34*'Base Data'!$D$10</f>
        <v>17865.189764046467</v>
      </c>
      <c r="DO34" s="363">
        <f>IF(INT(('Base Data'!$D$7)/DN34)=0,0,INT(('Base Data'!$D$7)/DN34))</f>
        <v>0</v>
      </c>
      <c r="DP34" s="364">
        <f t="shared" si="113"/>
        <v>2.6889207953110277E-2</v>
      </c>
      <c r="DQ34" s="141">
        <f t="shared" si="34"/>
        <v>13.450000000000045</v>
      </c>
      <c r="DR34" s="143">
        <f t="shared" si="35"/>
        <v>15844.100000000053</v>
      </c>
      <c r="DS34" s="118">
        <f t="shared" si="128"/>
        <v>45440.978635246931</v>
      </c>
      <c r="DT34" s="118">
        <f t="shared" si="125"/>
        <v>2362.5618158010107</v>
      </c>
      <c r="DU34" s="329">
        <f t="shared" si="126"/>
        <v>19.233773411274946</v>
      </c>
      <c r="DV34" s="118">
        <f t="shared" si="114"/>
        <v>11540.264046764967</v>
      </c>
      <c r="DW34" s="118">
        <f>DV34*'Base Data'!$D$10</f>
        <v>23080.528093529934</v>
      </c>
      <c r="DX34" s="375">
        <f>IF(INT(('Base Data'!$D$7)/DW34)=0,0,INT(('Base Data'!$D$7)/DW34))</f>
        <v>0</v>
      </c>
      <c r="DY34" s="376">
        <f t="shared" si="115"/>
        <v>1.7793397854919232E-2</v>
      </c>
      <c r="DZ34" s="135">
        <f t="shared" si="36"/>
        <v>1.25</v>
      </c>
      <c r="EA34" s="21">
        <f t="shared" si="37"/>
        <v>2831.25</v>
      </c>
      <c r="EB34" s="21">
        <f t="shared" si="79"/>
        <v>6662.572940753631</v>
      </c>
      <c r="EC34" s="21">
        <f t="shared" si="75"/>
        <v>3314.6945978512599</v>
      </c>
      <c r="ED34" s="319">
        <f t="shared" si="76"/>
        <v>2.0100111017988271</v>
      </c>
      <c r="EE34" s="21">
        <f t="shared" si="63"/>
        <v>8040.0444071953088</v>
      </c>
      <c r="EF34" s="21">
        <f>EE34*'Base Data'!$D$13</f>
        <v>6030.0333053964814</v>
      </c>
      <c r="EG34" s="363">
        <f>IF(INT(('Base Data'!$D$7)/EF34)=0,0,INT(('Base Data'!$D$7)/EF34))</f>
        <v>1</v>
      </c>
      <c r="EH34" s="314">
        <f t="shared" si="64"/>
        <v>2.4202421454531334E-2</v>
      </c>
      <c r="EI34" s="143">
        <f t="shared" si="38"/>
        <v>13.450000000000045</v>
      </c>
      <c r="EJ34" s="118">
        <f t="shared" si="39"/>
        <v>15844.100000000053</v>
      </c>
      <c r="EK34" s="118">
        <f t="shared" si="80"/>
        <v>37406.101486221953</v>
      </c>
      <c r="EL34" s="118">
        <f t="shared" si="77"/>
        <v>2029.0592749267057</v>
      </c>
      <c r="EM34" s="329">
        <f t="shared" si="78"/>
        <v>18.435194056897696</v>
      </c>
      <c r="EN34" s="118">
        <f t="shared" si="65"/>
        <v>11061.116434138617</v>
      </c>
      <c r="EO34" s="118">
        <f>EN34*'Base Data'!$D$13</f>
        <v>8295.8373256039631</v>
      </c>
      <c r="EP34" s="375">
        <f>IF(INT(('Base Data'!$D$7)/EO34)=0,0,INT(('Base Data'!$D$7)/EO34))</f>
        <v>1</v>
      </c>
      <c r="EQ34" s="385">
        <f t="shared" si="66"/>
        <v>1.7054622375593409E-2</v>
      </c>
      <c r="ER34" s="397">
        <f t="shared" si="116"/>
        <v>-1.6845742190662016</v>
      </c>
      <c r="ES34" s="403">
        <f t="shared" si="67"/>
        <v>-0.56488079376802869</v>
      </c>
      <c r="ET34" s="405">
        <f t="shared" si="117"/>
        <v>0.40301958101697727</v>
      </c>
      <c r="EU34" s="410">
        <f t="shared" si="68"/>
        <v>7.9444964279352367E-2</v>
      </c>
      <c r="EV34" s="20">
        <f t="shared" si="8"/>
        <v>1.25</v>
      </c>
      <c r="EW34" s="17">
        <f t="shared" si="9"/>
        <v>1.5078407720144751E-2</v>
      </c>
      <c r="EX34" s="388">
        <f t="shared" si="69"/>
        <v>1.8554778611630109E-2</v>
      </c>
      <c r="EY34" s="388">
        <f t="shared" si="103"/>
        <v>2.3444155698501532E-2</v>
      </c>
      <c r="EZ34" s="314">
        <f t="shared" si="118"/>
        <v>2.0591204711165108E-2</v>
      </c>
      <c r="FA34" s="442">
        <f t="shared" si="10"/>
        <v>13.450000000000045</v>
      </c>
      <c r="FB34" s="18">
        <f t="shared" si="11"/>
        <v>1.2529110386585976E-2</v>
      </c>
      <c r="FC34" s="394">
        <f t="shared" si="70"/>
        <v>1.7845320493067276E-2</v>
      </c>
      <c r="FD34" s="394">
        <f t="shared" si="104"/>
        <v>1.6488795999711113E-2</v>
      </c>
      <c r="FE34" s="385">
        <f t="shared" si="119"/>
        <v>1.5673623463569462E-2</v>
      </c>
      <c r="FF34" s="416">
        <f t="shared" si="49"/>
        <v>1</v>
      </c>
      <c r="FG34" s="417">
        <f t="shared" si="50"/>
        <v>2</v>
      </c>
      <c r="FH34" s="415">
        <f t="shared" si="111"/>
        <v>67.871485943775113</v>
      </c>
      <c r="FI34" s="413" t="str">
        <f t="shared" si="120"/>
        <v>T-R</v>
      </c>
      <c r="FJ34" s="404">
        <f t="shared" si="112"/>
        <v>22.984244670991806</v>
      </c>
      <c r="FK34" s="414" t="str">
        <f t="shared" si="121"/>
        <v>C-R</v>
      </c>
      <c r="FL34" s="415">
        <f t="shared" si="71"/>
        <v>34.482758620689587</v>
      </c>
      <c r="FM34" s="413" t="str">
        <f t="shared" si="72"/>
        <v>T-D</v>
      </c>
      <c r="FN34" s="404">
        <f t="shared" si="73"/>
        <v>29.258241758241311</v>
      </c>
      <c r="FO34" s="414" t="str">
        <f t="shared" si="74"/>
        <v>C-R</v>
      </c>
      <c r="FQ34" s="135">
        <f t="shared" si="51"/>
        <v>83.359444728284146</v>
      </c>
      <c r="FR34" s="21">
        <f t="shared" si="12"/>
        <v>84</v>
      </c>
      <c r="FS34" s="21">
        <f t="shared" si="13"/>
        <v>82.75</v>
      </c>
      <c r="FT34" s="182">
        <f t="shared" si="14"/>
        <v>83.174999999999997</v>
      </c>
      <c r="FU34" s="141">
        <f t="shared" si="52"/>
        <v>1075.3453908516792</v>
      </c>
      <c r="FV34" s="118">
        <f t="shared" si="15"/>
        <v>1083.9000000000001</v>
      </c>
      <c r="FW34" s="118">
        <f t="shared" si="16"/>
        <v>1070.45</v>
      </c>
      <c r="FX34" s="181">
        <f t="shared" si="17"/>
        <v>1077.2</v>
      </c>
    </row>
    <row r="35" spans="1:180" ht="11.15" thickBot="1" x14ac:dyDescent="0.35">
      <c r="A35" s="702" t="s">
        <v>25</v>
      </c>
      <c r="B35" s="703"/>
      <c r="C35" s="703"/>
      <c r="D35" s="93">
        <f ca="1">IF($H$35=0,IF(AND('Base Data'!$D$20&gt;='Base Data'!$D$19,'Base Data'!$D$20&lt;='Base Data'!$E$19),$B$33,($D$33+$E$33)/2),IF(AND('Base Data'!$D$20&gt;='Base Data'!$D$19,'Base Data'!$D$20&lt;='Base Data'!$E$19),($B$33*1000),((($D$33*1000)+($E$33*1000))/2)))</f>
        <v>1175.675</v>
      </c>
      <c r="E35" s="154" t="s">
        <v>26</v>
      </c>
      <c r="F35" s="462">
        <f ca="1">IF($G$33=0,($D$35*$AR$69),IF($G$33=1,($D$35*$AJ$69*SQRT('Base Data'!$D$18)),"Check 'Base Data D17'"))</f>
        <v>24.232157258827765</v>
      </c>
      <c r="G35" s="460" t="s">
        <v>271</v>
      </c>
      <c r="H35" s="463">
        <f>IF(F33/100&gt;=1,0,1)</f>
        <v>0</v>
      </c>
      <c r="L35" s="283">
        <f t="shared" si="40"/>
        <v>32</v>
      </c>
      <c r="M35" s="290">
        <f>'[6]ASHOKLEY-I'!C51</f>
        <v>42842</v>
      </c>
      <c r="N35" s="7">
        <f>'[6]ASHOKLEY-I'!D51</f>
        <v>83.55</v>
      </c>
      <c r="O35" s="7">
        <f>'[6]ASHOKLEY-I'!E51</f>
        <v>83.65</v>
      </c>
      <c r="P35" s="7">
        <f>'[6]ASHOKLEY-I'!F51</f>
        <v>82.55</v>
      </c>
      <c r="Q35" s="7">
        <f>'[6]ASHOKLEY-I'!G51</f>
        <v>82.95</v>
      </c>
      <c r="R35" s="11">
        <f>'[6]ASHOKLEY-I'!H51</f>
        <v>1821</v>
      </c>
      <c r="S35" s="291">
        <f>'[7]ASIANPAINT-I'!C51</f>
        <v>42842</v>
      </c>
      <c r="T35" s="9">
        <f>'[7]ASIANPAINT-I'!D51</f>
        <v>1083</v>
      </c>
      <c r="U35" s="9">
        <f>'[7]ASIANPAINT-I'!E51</f>
        <v>1083</v>
      </c>
      <c r="V35" s="9">
        <f>'[7]ASIANPAINT-I'!F51</f>
        <v>1062</v>
      </c>
      <c r="W35" s="9">
        <f>'[7]ASIANPAINT-I'!G51</f>
        <v>1064.2</v>
      </c>
      <c r="X35" s="12">
        <f>'[7]ASIANPAINT-I'!H51</f>
        <v>1583</v>
      </c>
      <c r="Y35" s="115"/>
      <c r="Z35" s="122">
        <f t="shared" si="18"/>
        <v>-1.2040939193256391E-3</v>
      </c>
      <c r="AA35" s="19">
        <f t="shared" si="19"/>
        <v>-1.5495628844997455E-2</v>
      </c>
      <c r="AB35" s="305">
        <f>IF(OR(SUM(Z15:Z35)=0,SUM('BNF-Nifty'!AA15:AA35)=0),0,(_xlfn.COVARIANCE.P(Z15:Z35,'BNF-Nifty'!AA15:AA35)/_xlfn.VAR.P('BNF-Nifty'!AA15:AA35)))</f>
        <v>0.96072271693004685</v>
      </c>
      <c r="AC35" s="306">
        <f>IF(OR(SUM(AA15:AA35)=0,SUM('BNF-Nifty'!AA15:AA35)=0),0,(_xlfn.COVARIANCE.P(AA15:AA35,'BNF-Nifty'!AA15:AA35)/_xlfn.VAR.P('BNF-Nifty'!AA15:AA35)))</f>
        <v>1.5254624926869191</v>
      </c>
      <c r="AD35" s="466">
        <f t="shared" si="20"/>
        <v>-1.2048194228503075E-3</v>
      </c>
      <c r="AE35" s="17">
        <f t="shared" si="41"/>
        <v>1.0980880119487146E-2</v>
      </c>
      <c r="AF35" s="17">
        <f t="shared" si="42"/>
        <v>1.0650447873077253E-2</v>
      </c>
      <c r="AG35" s="314">
        <f t="shared" si="43"/>
        <v>0.20347652091200732</v>
      </c>
      <c r="AH35" s="467">
        <f t="shared" si="21"/>
        <v>-1.5616940938204484E-2</v>
      </c>
      <c r="AI35" s="18">
        <f t="shared" si="53"/>
        <v>9.8368840086160998E-3</v>
      </c>
      <c r="AJ35" s="18">
        <f t="shared" si="22"/>
        <v>1.0275785149324168E-2</v>
      </c>
      <c r="AK35" s="385">
        <f t="shared" si="44"/>
        <v>0.19631859962520351</v>
      </c>
      <c r="AL35" s="10">
        <f t="shared" si="23"/>
        <v>1.3237257066696125E-2</v>
      </c>
      <c r="AM35" s="17">
        <f t="shared" si="45"/>
        <v>2.3010136083151597E-2</v>
      </c>
      <c r="AN35" s="17">
        <f t="shared" si="46"/>
        <v>2.2543555160848824E-2</v>
      </c>
      <c r="AO35" s="314">
        <f t="shared" si="47"/>
        <v>0.43069401660684264</v>
      </c>
      <c r="AP35" s="448">
        <f t="shared" si="24"/>
        <v>1.9581045199106563E-2</v>
      </c>
      <c r="AQ35" s="18">
        <f t="shared" si="54"/>
        <v>1.5372313858171798E-2</v>
      </c>
      <c r="AR35" s="18">
        <f t="shared" si="25"/>
        <v>1.5656774610955462E-2</v>
      </c>
      <c r="AS35" s="385">
        <f t="shared" si="48"/>
        <v>0.29912225894216687</v>
      </c>
      <c r="AT35" s="6">
        <f t="shared" si="0"/>
        <v>152144.54999999999</v>
      </c>
      <c r="AU35" s="319">
        <v>0</v>
      </c>
      <c r="AV35" s="140">
        <f t="shared" si="1"/>
        <v>1714389</v>
      </c>
      <c r="AW35" s="481">
        <v>0</v>
      </c>
      <c r="AX35" s="135">
        <f t="shared" si="97"/>
        <v>275991.3509391835</v>
      </c>
      <c r="AY35" s="21">
        <f t="shared" si="98"/>
        <v>3254.3967726876467</v>
      </c>
      <c r="AZ35" s="319">
        <f t="shared" si="99"/>
        <v>84.805686035404889</v>
      </c>
      <c r="BA35" s="21">
        <f t="shared" si="2"/>
        <v>83.05</v>
      </c>
      <c r="BB35" s="21">
        <f t="shared" si="3"/>
        <v>151234.04999999999</v>
      </c>
      <c r="BC35" s="21">
        <f t="shared" si="61"/>
        <v>224866.63198963451</v>
      </c>
      <c r="BD35" s="21">
        <f t="shared" si="57"/>
        <v>2696.5528428195398</v>
      </c>
      <c r="BE35" s="332">
        <f t="shared" si="58"/>
        <v>83.390404378099248</v>
      </c>
      <c r="BF35" s="141">
        <f t="shared" si="100"/>
        <v>2294895.1465065521</v>
      </c>
      <c r="BG35" s="118">
        <f t="shared" si="101"/>
        <v>2139.9759971638896</v>
      </c>
      <c r="BH35" s="329">
        <f t="shared" si="102"/>
        <v>1072.3929378404137</v>
      </c>
      <c r="BI35" s="118">
        <f t="shared" si="4"/>
        <v>1069.7333333333333</v>
      </c>
      <c r="BJ35" s="118">
        <f t="shared" si="5"/>
        <v>1693387.8666666667</v>
      </c>
      <c r="BK35" s="118">
        <f t="shared" si="62"/>
        <v>1873389.6568737605</v>
      </c>
      <c r="BL35" s="118">
        <f t="shared" si="59"/>
        <v>1743.4931901846905</v>
      </c>
      <c r="BM35" s="325">
        <f t="shared" si="60"/>
        <v>1074.5035698563927</v>
      </c>
      <c r="BN35" s="6">
        <f t="shared" si="6"/>
        <v>151051.95000000001</v>
      </c>
      <c r="BO35" s="331">
        <f t="shared" si="87"/>
        <v>84.788055919531374</v>
      </c>
      <c r="BP35" s="319">
        <f t="shared" si="55"/>
        <v>82.91671641791045</v>
      </c>
      <c r="BQ35" s="331">
        <v>0</v>
      </c>
      <c r="BR35" s="332">
        <f t="shared" si="88"/>
        <v>83.989458725142597</v>
      </c>
      <c r="BS35" s="140">
        <f t="shared" si="7"/>
        <v>1684628.6</v>
      </c>
      <c r="BT35" s="339">
        <f t="shared" si="89"/>
        <v>1072.4487513073243</v>
      </c>
      <c r="BU35" s="329">
        <f t="shared" si="56"/>
        <v>1072.1970611154404</v>
      </c>
      <c r="BV35" s="339">
        <v>0</v>
      </c>
      <c r="BW35" s="325">
        <f t="shared" si="90"/>
        <v>1075.3513104934555</v>
      </c>
      <c r="BX35" s="21">
        <f t="shared" si="91"/>
        <v>271071.11353939038</v>
      </c>
      <c r="BY35" s="21">
        <f t="shared" si="92"/>
        <v>3214.9104478930149</v>
      </c>
      <c r="BZ35" s="21">
        <f t="shared" si="93"/>
        <v>84.31684736881077</v>
      </c>
      <c r="CA35" s="21">
        <f t="shared" si="129"/>
        <v>284263.19677622779</v>
      </c>
      <c r="CB35" s="21">
        <f t="shared" si="130"/>
        <v>3291.7977077876067</v>
      </c>
      <c r="CC35" s="21">
        <f t="shared" si="135"/>
        <v>86.355001737721921</v>
      </c>
      <c r="CD35" s="342">
        <f t="shared" si="131"/>
        <v>-2.038154368911151</v>
      </c>
      <c r="CE35" s="342">
        <v>0</v>
      </c>
      <c r="CF35" s="343">
        <v>0</v>
      </c>
      <c r="CG35" s="141">
        <f t="shared" si="94"/>
        <v>2256570.0256319982</v>
      </c>
      <c r="CH35" s="118">
        <f t="shared" si="95"/>
        <v>2102.8774201953506</v>
      </c>
      <c r="CI35" s="118">
        <f t="shared" si="96"/>
        <v>1073.0868114140339</v>
      </c>
      <c r="CJ35" s="118">
        <f t="shared" si="132"/>
        <v>2595830.2354843607</v>
      </c>
      <c r="CK35" s="118">
        <f t="shared" si="133"/>
        <v>2442.9445728785399</v>
      </c>
      <c r="CL35" s="118">
        <f t="shared" si="136"/>
        <v>1062.5825343330137</v>
      </c>
      <c r="CM35" s="350">
        <f t="shared" si="134"/>
        <v>10.504277081020291</v>
      </c>
      <c r="CN35" s="350">
        <v>0</v>
      </c>
      <c r="CO35" s="351">
        <v>0</v>
      </c>
      <c r="CP35" s="20">
        <f t="shared" si="26"/>
        <v>-0.21666666666666856</v>
      </c>
      <c r="CQ35" s="21">
        <f t="shared" si="27"/>
        <v>0</v>
      </c>
      <c r="CR35" s="21">
        <f t="shared" si="28"/>
        <v>151234.04999999999</v>
      </c>
      <c r="CS35" s="21">
        <f t="shared" ref="CS35:CT50" si="137">((CQ35-CS34)*(2/(1+14)))+CS34</f>
        <v>115193.47557179625</v>
      </c>
      <c r="CT35" s="21">
        <f t="shared" si="137"/>
        <v>163803.48098554972</v>
      </c>
      <c r="CU35" s="21">
        <f t="shared" si="105"/>
        <v>0.70324192672046026</v>
      </c>
      <c r="CV35" s="342">
        <f t="shared" si="106"/>
        <v>41.288434466531179</v>
      </c>
      <c r="CW35" s="342">
        <v>0</v>
      </c>
      <c r="CX35" s="355">
        <v>0</v>
      </c>
      <c r="CY35" s="141">
        <f t="shared" si="29"/>
        <v>-8.7000000000000455</v>
      </c>
      <c r="CZ35" s="118">
        <f t="shared" si="30"/>
        <v>0</v>
      </c>
      <c r="DA35" s="118">
        <f t="shared" si="31"/>
        <v>1693387.8666666667</v>
      </c>
      <c r="DB35" s="118">
        <f t="shared" ref="DB35:DC50" si="138">((CZ35-DB34)*(2/(1+14)))+DB34</f>
        <v>1334719.3060817872</v>
      </c>
      <c r="DC35" s="118">
        <f t="shared" si="138"/>
        <v>985929.25645256182</v>
      </c>
      <c r="DD35" s="118">
        <f t="shared" si="107"/>
        <v>1.3537678259839807</v>
      </c>
      <c r="DE35" s="350">
        <f t="shared" si="108"/>
        <v>57.514926112903467</v>
      </c>
      <c r="DF35" s="350">
        <v>0</v>
      </c>
      <c r="DG35" s="351">
        <v>0</v>
      </c>
      <c r="DH35" s="135">
        <f t="shared" si="32"/>
        <v>1.1000000000000085</v>
      </c>
      <c r="DI35" s="20">
        <f t="shared" si="33"/>
        <v>2003.1000000000156</v>
      </c>
      <c r="DJ35" s="21">
        <f t="shared" si="127"/>
        <v>6872.6945864430527</v>
      </c>
      <c r="DK35" s="21">
        <f t="shared" si="122"/>
        <v>3161.5817350703055</v>
      </c>
      <c r="DL35" s="319">
        <f t="shared" si="123"/>
        <v>2.1738152489327378</v>
      </c>
      <c r="DM35" s="21">
        <f t="shared" si="124"/>
        <v>8695.2609957309505</v>
      </c>
      <c r="DN35" s="21">
        <f>DM35*'Base Data'!$D$10</f>
        <v>17390.521991461901</v>
      </c>
      <c r="DO35" s="363">
        <f>IF(INT(('Base Data'!$D$7)/DN35)=0,0,INT(('Base Data'!$D$7)/DN35))</f>
        <v>0</v>
      </c>
      <c r="DP35" s="364">
        <f t="shared" si="113"/>
        <v>2.6206332114921491E-2</v>
      </c>
      <c r="DQ35" s="141">
        <f t="shared" si="34"/>
        <v>21</v>
      </c>
      <c r="DR35" s="143">
        <f t="shared" si="35"/>
        <v>33243</v>
      </c>
      <c r="DS35" s="118">
        <f t="shared" si="128"/>
        <v>44332.071486588116</v>
      </c>
      <c r="DT35" s="118">
        <f t="shared" si="125"/>
        <v>2291.6925598191006</v>
      </c>
      <c r="DU35" s="329">
        <f t="shared" si="126"/>
        <v>19.344685349106147</v>
      </c>
      <c r="DV35" s="118">
        <f t="shared" si="114"/>
        <v>11606.811209463687</v>
      </c>
      <c r="DW35" s="118">
        <f>DV35*'Base Data'!$D$10</f>
        <v>23213.622418927374</v>
      </c>
      <c r="DX35" s="375">
        <f>IF(INT(('Base Data'!$D$7)/DW35)=0,0,INT(('Base Data'!$D$7)/DW35))</f>
        <v>0</v>
      </c>
      <c r="DY35" s="376">
        <f t="shared" si="115"/>
        <v>1.817767839607794E-2</v>
      </c>
      <c r="DZ35" s="135">
        <f t="shared" si="36"/>
        <v>1.1000000000000085</v>
      </c>
      <c r="EA35" s="21">
        <f t="shared" si="37"/>
        <v>2003.1000000000156</v>
      </c>
      <c r="EB35" s="21">
        <f t="shared" si="79"/>
        <v>5627.1345094750504</v>
      </c>
      <c r="EC35" s="21">
        <f t="shared" si="75"/>
        <v>2982.7624649954246</v>
      </c>
      <c r="ED35" s="319">
        <f t="shared" si="76"/>
        <v>1.8865513347150431</v>
      </c>
      <c r="EE35" s="21">
        <f t="shared" si="63"/>
        <v>7546.2053388601726</v>
      </c>
      <c r="EF35" s="21">
        <f>EE35*'Base Data'!$D$13</f>
        <v>5659.6540041451299</v>
      </c>
      <c r="EG35" s="363">
        <f>IF(INT(('Base Data'!$D$7)/EF35)=0,0,INT(('Base Data'!$D$7)/EF35))</f>
        <v>1</v>
      </c>
      <c r="EH35" s="314">
        <f t="shared" si="64"/>
        <v>2.2743234897107209E-2</v>
      </c>
      <c r="EI35" s="143">
        <f t="shared" si="38"/>
        <v>21</v>
      </c>
      <c r="EJ35" s="118">
        <f t="shared" si="39"/>
        <v>33243</v>
      </c>
      <c r="EK35" s="118">
        <f t="shared" si="80"/>
        <v>36480.967822617073</v>
      </c>
      <c r="EL35" s="118">
        <f t="shared" si="77"/>
        <v>1929.9349916096601</v>
      </c>
      <c r="EM35" s="329">
        <f t="shared" si="78"/>
        <v>18.902692567996894</v>
      </c>
      <c r="EN35" s="118">
        <f t="shared" si="65"/>
        <v>11341.615540798137</v>
      </c>
      <c r="EO35" s="118">
        <f>EN35*'Base Data'!$D$13</f>
        <v>8506.2116555986031</v>
      </c>
      <c r="EP35" s="375">
        <f>IF(INT(('Base Data'!$D$7)/EO35)=0,0,INT(('Base Data'!$D$7)/EO35))</f>
        <v>1</v>
      </c>
      <c r="EQ35" s="385">
        <f t="shared" si="66"/>
        <v>1.7762349716215837E-2</v>
      </c>
      <c r="ER35" s="397">
        <f t="shared" si="116"/>
        <v>-1.5921827362331666</v>
      </c>
      <c r="ES35" s="403">
        <f t="shared" si="67"/>
        <v>-0.56982281914017652</v>
      </c>
      <c r="ET35" s="405">
        <f t="shared" si="117"/>
        <v>-0.49457823401104456</v>
      </c>
      <c r="EU35" s="410">
        <f t="shared" si="68"/>
        <v>-0.82065028271492935</v>
      </c>
      <c r="EV35" s="20">
        <f t="shared" si="8"/>
        <v>1.1000000000000085</v>
      </c>
      <c r="EW35" s="17">
        <f t="shared" si="9"/>
        <v>1.3165769000598546E-2</v>
      </c>
      <c r="EX35" s="388">
        <f t="shared" si="69"/>
        <v>1.7783979525808607E-2</v>
      </c>
      <c r="EY35" s="388">
        <f t="shared" si="103"/>
        <v>2.2868134486976017E-2</v>
      </c>
      <c r="EZ35" s="314">
        <f t="shared" si="118"/>
        <v>2.0432353227145206E-2</v>
      </c>
      <c r="FA35" s="442">
        <f t="shared" si="10"/>
        <v>21</v>
      </c>
      <c r="FB35" s="18">
        <f t="shared" si="11"/>
        <v>1.9390581717451522E-2</v>
      </c>
      <c r="FC35" s="394">
        <f t="shared" si="70"/>
        <v>1.7271735560308657E-2</v>
      </c>
      <c r="FD35" s="394">
        <f t="shared" si="104"/>
        <v>1.6427803344243371E-2</v>
      </c>
      <c r="FE35" s="385">
        <f t="shared" si="119"/>
        <v>1.5948120344468093E-2</v>
      </c>
      <c r="FF35" s="416">
        <f t="shared" si="49"/>
        <v>1</v>
      </c>
      <c r="FG35" s="417">
        <f t="shared" si="50"/>
        <v>2</v>
      </c>
      <c r="FH35" s="415">
        <f t="shared" si="111"/>
        <v>75.100401606425635</v>
      </c>
      <c r="FI35" s="413" t="str">
        <f t="shared" si="120"/>
        <v>T-R</v>
      </c>
      <c r="FJ35" s="404">
        <f t="shared" si="112"/>
        <v>45.041705282669014</v>
      </c>
      <c r="FK35" s="414" t="str">
        <f t="shared" si="121"/>
        <v>T-R</v>
      </c>
      <c r="FL35" s="415">
        <f t="shared" si="71"/>
        <v>56.321839080459725</v>
      </c>
      <c r="FM35" s="413" t="str">
        <f t="shared" si="72"/>
        <v>T-R</v>
      </c>
      <c r="FN35" s="404">
        <f t="shared" si="73"/>
        <v>62.339514978601414</v>
      </c>
      <c r="FO35" s="414" t="str">
        <f t="shared" si="74"/>
        <v>T-R</v>
      </c>
      <c r="FQ35" s="135">
        <f t="shared" si="51"/>
        <v>83.267222364142071</v>
      </c>
      <c r="FR35" s="21">
        <f t="shared" si="12"/>
        <v>83.65</v>
      </c>
      <c r="FS35" s="21">
        <f t="shared" si="13"/>
        <v>82.55</v>
      </c>
      <c r="FT35" s="182">
        <f t="shared" si="14"/>
        <v>83.174999999999997</v>
      </c>
      <c r="FU35" s="141">
        <f t="shared" si="52"/>
        <v>1076.2726954258396</v>
      </c>
      <c r="FV35" s="118">
        <f t="shared" si="15"/>
        <v>1083</v>
      </c>
      <c r="FW35" s="118">
        <f t="shared" si="16"/>
        <v>1062</v>
      </c>
      <c r="FX35" s="181">
        <f t="shared" si="17"/>
        <v>1073.05</v>
      </c>
    </row>
    <row r="36" spans="1:180" ht="11.15" thickBot="1" x14ac:dyDescent="0.35">
      <c r="E36" s="22"/>
      <c r="F36" s="22"/>
      <c r="G36" s="23"/>
      <c r="H36" s="23"/>
      <c r="I36" s="23"/>
      <c r="J36" s="23"/>
      <c r="L36" s="283">
        <f t="shared" si="40"/>
        <v>33</v>
      </c>
      <c r="M36" s="290">
        <f>'[6]ASHOKLEY-I'!C52</f>
        <v>42843</v>
      </c>
      <c r="N36" s="7">
        <f>'[6]ASHOKLEY-I'!D52</f>
        <v>83.15</v>
      </c>
      <c r="O36" s="7">
        <f>'[6]ASHOKLEY-I'!E52</f>
        <v>83.55</v>
      </c>
      <c r="P36" s="7">
        <f>'[6]ASHOKLEY-I'!F52</f>
        <v>81.349999999999994</v>
      </c>
      <c r="Q36" s="7">
        <f>'[6]ASHOKLEY-I'!G52</f>
        <v>81.75</v>
      </c>
      <c r="R36" s="11">
        <f>'[6]ASHOKLEY-I'!H52</f>
        <v>2499</v>
      </c>
      <c r="S36" s="291">
        <f>'[7]ASIANPAINT-I'!C52</f>
        <v>42843</v>
      </c>
      <c r="T36" s="9">
        <f>'[7]ASIANPAINT-I'!D52</f>
        <v>1064.8</v>
      </c>
      <c r="U36" s="9">
        <f>'[7]ASIANPAINT-I'!E52</f>
        <v>1073</v>
      </c>
      <c r="V36" s="9">
        <f>'[7]ASIANPAINT-I'!F52</f>
        <v>1042.0999999999999</v>
      </c>
      <c r="W36" s="9">
        <f>'[7]ASIANPAINT-I'!G52</f>
        <v>1044.75</v>
      </c>
      <c r="X36" s="12">
        <f>'[7]ASIANPAINT-I'!H52</f>
        <v>2511</v>
      </c>
      <c r="Y36" s="115"/>
      <c r="Z36" s="122">
        <f t="shared" si="18"/>
        <v>-1.4466546112115767E-2</v>
      </c>
      <c r="AA36" s="19">
        <f t="shared" si="19"/>
        <v>-1.8276639729374218E-2</v>
      </c>
      <c r="AB36" s="305">
        <f>IF(OR(SUM(Z16:Z36)=0,SUM('BNF-Nifty'!AA16:AA36)=0),0,(_xlfn.COVARIANCE.P(Z16:Z36,'BNF-Nifty'!AA16:AA36)/_xlfn.VAR.P('BNF-Nifty'!AA16:AA36)))</f>
        <v>0.8971946701505561</v>
      </c>
      <c r="AC36" s="306">
        <f>IF(OR(SUM(AA16:AA36)=0,SUM('BNF-Nifty'!AA16:AA36)=0),0,(_xlfn.COVARIANCE.P(AA16:AA36,'BNF-Nifty'!AA16:AA36)/_xlfn.VAR.P('BNF-Nifty'!AA16:AA36)))</f>
        <v>1.4923735139675456</v>
      </c>
      <c r="AD36" s="466">
        <f t="shared" si="20"/>
        <v>-1.4572206859090723E-2</v>
      </c>
      <c r="AE36" s="17">
        <f t="shared" si="41"/>
        <v>1.0650447873077253E-2</v>
      </c>
      <c r="AF36" s="17">
        <f t="shared" si="42"/>
        <v>1.0925523798333675E-2</v>
      </c>
      <c r="AG36" s="314">
        <f t="shared" si="43"/>
        <v>0.20873183908499379</v>
      </c>
      <c r="AH36" s="467">
        <f t="shared" si="21"/>
        <v>-1.8445720834244183E-2</v>
      </c>
      <c r="AI36" s="18">
        <f t="shared" si="53"/>
        <v>1.0275785149324168E-2</v>
      </c>
      <c r="AJ36" s="18">
        <f t="shared" si="22"/>
        <v>1.0939421000887526E-2</v>
      </c>
      <c r="AK36" s="385">
        <f t="shared" si="44"/>
        <v>0.20899734476698631</v>
      </c>
      <c r="AL36" s="10">
        <f t="shared" si="23"/>
        <v>2.6684421376355984E-2</v>
      </c>
      <c r="AM36" s="17">
        <f t="shared" si="45"/>
        <v>2.2543555160848824E-2</v>
      </c>
      <c r="AN36" s="17">
        <f t="shared" si="46"/>
        <v>2.2813212557293967E-2</v>
      </c>
      <c r="AO36" s="314">
        <f t="shared" si="47"/>
        <v>0.4358458139322442</v>
      </c>
      <c r="AP36" s="448">
        <f t="shared" si="24"/>
        <v>2.9220555632316719E-2</v>
      </c>
      <c r="AQ36" s="18">
        <f t="shared" si="54"/>
        <v>1.5656774610955462E-2</v>
      </c>
      <c r="AR36" s="18">
        <f t="shared" si="25"/>
        <v>1.6782638887637515E-2</v>
      </c>
      <c r="AS36" s="385">
        <f t="shared" si="48"/>
        <v>0.32063186574635349</v>
      </c>
      <c r="AT36" s="6">
        <f t="shared" si="0"/>
        <v>207791.85</v>
      </c>
      <c r="AU36" s="319">
        <v>0</v>
      </c>
      <c r="AV36" s="140">
        <f t="shared" si="1"/>
        <v>2673712.7999999998</v>
      </c>
      <c r="AW36" s="481">
        <v>0</v>
      </c>
      <c r="AX36" s="135">
        <f t="shared" si="97"/>
        <v>266248.56509072869</v>
      </c>
      <c r="AY36" s="21">
        <f t="shared" si="98"/>
        <v>3146.4829480179828</v>
      </c>
      <c r="AZ36" s="319">
        <f t="shared" si="99"/>
        <v>84.617831874297195</v>
      </c>
      <c r="BA36" s="21">
        <f t="shared" si="2"/>
        <v>82.216666666666654</v>
      </c>
      <c r="BB36" s="21">
        <f t="shared" si="3"/>
        <v>205459.44999999998</v>
      </c>
      <c r="BC36" s="21">
        <f t="shared" si="61"/>
        <v>218397.571326423</v>
      </c>
      <c r="BD36" s="21">
        <f t="shared" si="57"/>
        <v>2630.7018952130265</v>
      </c>
      <c r="BE36" s="332">
        <f t="shared" si="58"/>
        <v>83.018745576544248</v>
      </c>
      <c r="BF36" s="141">
        <f t="shared" si="100"/>
        <v>2349011.9541484732</v>
      </c>
      <c r="BG36" s="118">
        <f t="shared" si="101"/>
        <v>2192.9794261404768</v>
      </c>
      <c r="BH36" s="329">
        <f t="shared" si="102"/>
        <v>1071.1509310794606</v>
      </c>
      <c r="BI36" s="118">
        <f t="shared" si="4"/>
        <v>1053.2833333333333</v>
      </c>
      <c r="BJ36" s="118">
        <f t="shared" si="5"/>
        <v>2644794.4499999997</v>
      </c>
      <c r="BK36" s="118">
        <f t="shared" si="62"/>
        <v>2130524.5879158401</v>
      </c>
      <c r="BL36" s="118">
        <f t="shared" si="59"/>
        <v>1999.3287934564603</v>
      </c>
      <c r="BM36" s="325">
        <f t="shared" si="60"/>
        <v>1065.6199194893638</v>
      </c>
      <c r="BN36" s="6">
        <f t="shared" si="6"/>
        <v>204293.25</v>
      </c>
      <c r="BO36" s="331">
        <f t="shared" si="87"/>
        <v>84.50864517038589</v>
      </c>
      <c r="BP36" s="319">
        <f t="shared" si="55"/>
        <v>82.725471495928005</v>
      </c>
      <c r="BQ36" s="331">
        <v>0</v>
      </c>
      <c r="BR36" s="332">
        <f t="shared" si="88"/>
        <v>83.641703254652384</v>
      </c>
      <c r="BS36" s="140">
        <f t="shared" si="7"/>
        <v>2623367.25</v>
      </c>
      <c r="BT36" s="339">
        <f t="shared" si="89"/>
        <v>1073.8421211831755</v>
      </c>
      <c r="BU36" s="329">
        <f t="shared" si="56"/>
        <v>1066.5586134453781</v>
      </c>
      <c r="BV36" s="339">
        <v>0</v>
      </c>
      <c r="BW36" s="325">
        <f t="shared" si="90"/>
        <v>1074.2288104562676</v>
      </c>
      <c r="BX36" s="21">
        <f t="shared" si="91"/>
        <v>260977.01145640726</v>
      </c>
      <c r="BY36" s="21">
        <f t="shared" si="92"/>
        <v>3104.7703789863972</v>
      </c>
      <c r="BZ36" s="21">
        <f t="shared" si="93"/>
        <v>84.05678346545146</v>
      </c>
      <c r="CA36" s="21">
        <f t="shared" si="129"/>
        <v>278425.88220021094</v>
      </c>
      <c r="CB36" s="21">
        <f t="shared" si="130"/>
        <v>3233.0719516551912</v>
      </c>
      <c r="CC36" s="21">
        <f t="shared" si="135"/>
        <v>86.118059345282774</v>
      </c>
      <c r="CD36" s="342">
        <f t="shared" si="131"/>
        <v>-2.0612758798313138</v>
      </c>
      <c r="CE36" s="342">
        <v>0</v>
      </c>
      <c r="CF36" s="343">
        <v>0</v>
      </c>
      <c r="CG36" s="141">
        <f t="shared" si="94"/>
        <v>2316296.8601501524</v>
      </c>
      <c r="CH36" s="118">
        <f t="shared" si="95"/>
        <v>2165.6655093960658</v>
      </c>
      <c r="CI36" s="118">
        <f t="shared" si="96"/>
        <v>1069.5543010222723</v>
      </c>
      <c r="CJ36" s="118">
        <f t="shared" si="132"/>
        <v>2599457.2143373708</v>
      </c>
      <c r="CK36" s="118">
        <f t="shared" si="133"/>
        <v>2447.9857156282778</v>
      </c>
      <c r="CL36" s="118">
        <f t="shared" si="136"/>
        <v>1061.8759732714443</v>
      </c>
      <c r="CM36" s="350">
        <f t="shared" si="134"/>
        <v>7.6783277508279753</v>
      </c>
      <c r="CN36" s="350">
        <v>0</v>
      </c>
      <c r="CO36" s="351">
        <v>0</v>
      </c>
      <c r="CP36" s="20">
        <f t="shared" si="26"/>
        <v>-0.83333333333334281</v>
      </c>
      <c r="CQ36" s="21">
        <f t="shared" si="27"/>
        <v>0</v>
      </c>
      <c r="CR36" s="21">
        <f t="shared" si="28"/>
        <v>205459.44999999998</v>
      </c>
      <c r="CS36" s="21">
        <f t="shared" si="137"/>
        <v>99834.345495556758</v>
      </c>
      <c r="CT36" s="21">
        <f t="shared" si="137"/>
        <v>169357.61018747641</v>
      </c>
      <c r="CU36" s="21">
        <f t="shared" si="105"/>
        <v>0.58948839314065415</v>
      </c>
      <c r="CV36" s="342">
        <f t="shared" si="106"/>
        <v>37.086674912793157</v>
      </c>
      <c r="CW36" s="342">
        <v>0</v>
      </c>
      <c r="CX36" s="355">
        <v>0</v>
      </c>
      <c r="CY36" s="141">
        <f t="shared" si="29"/>
        <v>-16.450000000000045</v>
      </c>
      <c r="CZ36" s="118">
        <f t="shared" si="30"/>
        <v>0</v>
      </c>
      <c r="DA36" s="118">
        <f t="shared" si="31"/>
        <v>2644794.4499999997</v>
      </c>
      <c r="DB36" s="118">
        <f t="shared" si="138"/>
        <v>1156756.7319375488</v>
      </c>
      <c r="DC36" s="118">
        <f t="shared" si="138"/>
        <v>1207111.2822588868</v>
      </c>
      <c r="DD36" s="118">
        <f t="shared" si="107"/>
        <v>0.9582850802064341</v>
      </c>
      <c r="DE36" s="350">
        <f t="shared" si="108"/>
        <v>48.934911974379936</v>
      </c>
      <c r="DF36" s="350">
        <v>0</v>
      </c>
      <c r="DG36" s="351">
        <v>0</v>
      </c>
      <c r="DH36" s="135">
        <f t="shared" si="32"/>
        <v>2.2000000000000028</v>
      </c>
      <c r="DI36" s="20">
        <f t="shared" si="33"/>
        <v>5497.8000000000075</v>
      </c>
      <c r="DJ36" s="21">
        <f t="shared" si="127"/>
        <v>6747.7041694936852</v>
      </c>
      <c r="DK36" s="21">
        <f t="shared" si="122"/>
        <v>3101.347031882096</v>
      </c>
      <c r="DL36" s="319">
        <f t="shared" si="123"/>
        <v>2.1757333507429983</v>
      </c>
      <c r="DM36" s="21">
        <f t="shared" si="124"/>
        <v>8702.9334029719939</v>
      </c>
      <c r="DN36" s="21">
        <f>DM36*'Base Data'!$D$10</f>
        <v>17405.866805943988</v>
      </c>
      <c r="DO36" s="363">
        <f>IF(INT(('Base Data'!$D$7)/DN36)=0,0,INT(('Base Data'!$D$7)/DN36))</f>
        <v>0</v>
      </c>
      <c r="DP36" s="364">
        <f t="shared" si="113"/>
        <v>2.6614475238446463E-2</v>
      </c>
      <c r="DQ36" s="141">
        <f t="shared" si="34"/>
        <v>30.900000000000091</v>
      </c>
      <c r="DR36" s="143">
        <f t="shared" si="35"/>
        <v>77589.900000000227</v>
      </c>
      <c r="DS36" s="118">
        <f t="shared" si="128"/>
        <v>47355.510442352854</v>
      </c>
      <c r="DT36" s="118">
        <f t="shared" si="125"/>
        <v>2311.6295998355458</v>
      </c>
      <c r="DU36" s="329">
        <f t="shared" si="126"/>
        <v>20.48576919317949</v>
      </c>
      <c r="DV36" s="118">
        <f t="shared" si="114"/>
        <v>12291.461515907693</v>
      </c>
      <c r="DW36" s="118">
        <f>DV36*'Base Data'!$D$10</f>
        <v>24582.923031815386</v>
      </c>
      <c r="DX36" s="375">
        <f>IF(INT(('Base Data'!$D$7)/DW36)=0,0,INT(('Base Data'!$D$7)/DW36))</f>
        <v>0</v>
      </c>
      <c r="DY36" s="376">
        <f t="shared" si="115"/>
        <v>1.9608297863775534E-2</v>
      </c>
      <c r="DZ36" s="135">
        <f t="shared" si="36"/>
        <v>2.2000000000000028</v>
      </c>
      <c r="EA36" s="21">
        <f t="shared" si="37"/>
        <v>5497.8000000000075</v>
      </c>
      <c r="EB36" s="21">
        <f t="shared" si="79"/>
        <v>5598.3935073694856</v>
      </c>
      <c r="EC36" s="21">
        <f t="shared" si="75"/>
        <v>2875.2596949964413</v>
      </c>
      <c r="ED36" s="319">
        <f t="shared" si="76"/>
        <v>1.9470914286844669</v>
      </c>
      <c r="EE36" s="21">
        <f t="shared" si="63"/>
        <v>7788.3657147378681</v>
      </c>
      <c r="EF36" s="21">
        <f>EE36*'Base Data'!$D$13</f>
        <v>5841.2742860534008</v>
      </c>
      <c r="EG36" s="363">
        <f>IF(INT(('Base Data'!$D$7)/EF36)=0,0,INT(('Base Data'!$D$7)/EF36))</f>
        <v>1</v>
      </c>
      <c r="EH36" s="314">
        <f t="shared" si="64"/>
        <v>2.3817632155161673E-2</v>
      </c>
      <c r="EI36" s="143">
        <f t="shared" si="38"/>
        <v>30.900000000000091</v>
      </c>
      <c r="EJ36" s="118">
        <f t="shared" si="39"/>
        <v>77589.900000000227</v>
      </c>
      <c r="EK36" s="118">
        <f t="shared" si="80"/>
        <v>45616.286084257772</v>
      </c>
      <c r="EL36" s="118">
        <f t="shared" si="77"/>
        <v>2059.0605490297357</v>
      </c>
      <c r="EM36" s="329">
        <f t="shared" si="78"/>
        <v>22.153931367269866</v>
      </c>
      <c r="EN36" s="118">
        <f t="shared" si="65"/>
        <v>13292.35882036192</v>
      </c>
      <c r="EO36" s="118">
        <f>EN36*'Base Data'!$D$13</f>
        <v>9969.2691152714397</v>
      </c>
      <c r="EP36" s="375">
        <f>IF(INT(('Base Data'!$D$7)/EO36)=0,0,INT(('Base Data'!$D$7)/EO36))</f>
        <v>1</v>
      </c>
      <c r="EQ36" s="385">
        <f t="shared" si="66"/>
        <v>2.1205007290997717E-2</v>
      </c>
      <c r="ER36" s="397">
        <f t="shared" si="116"/>
        <v>-1.9581064282820237</v>
      </c>
      <c r="ES36" s="403">
        <f t="shared" si="67"/>
        <v>-1.0560623757607912</v>
      </c>
      <c r="ET36" s="405">
        <f t="shared" si="117"/>
        <v>-1.4118976569080628</v>
      </c>
      <c r="EU36" s="410">
        <f t="shared" si="68"/>
        <v>-1.483182952434263</v>
      </c>
      <c r="EV36" s="20">
        <f t="shared" si="8"/>
        <v>2.2000000000000028</v>
      </c>
      <c r="EW36" s="17">
        <f t="shared" si="9"/>
        <v>2.6458208057727032E-2</v>
      </c>
      <c r="EX36" s="388">
        <f t="shared" si="69"/>
        <v>1.8835725847343446E-2</v>
      </c>
      <c r="EY36" s="388">
        <f t="shared" si="103"/>
        <v>2.4194820966594806E-2</v>
      </c>
      <c r="EZ36" s="314">
        <f t="shared" si="118"/>
        <v>2.1022665279959784E-2</v>
      </c>
      <c r="FA36" s="442">
        <f t="shared" si="10"/>
        <v>30.900000000000091</v>
      </c>
      <c r="FB36" s="18">
        <f t="shared" si="11"/>
        <v>2.9019534184823528E-2</v>
      </c>
      <c r="FC36" s="394">
        <f t="shared" si="70"/>
        <v>1.855371531734145E-2</v>
      </c>
      <c r="FD36" s="394">
        <f t="shared" si="104"/>
        <v>1.7688222266134538E-2</v>
      </c>
      <c r="FE36" s="385">
        <f t="shared" si="119"/>
        <v>1.6502538174917369E-2</v>
      </c>
      <c r="FF36" s="416">
        <f t="shared" si="49"/>
        <v>1</v>
      </c>
      <c r="FG36" s="417">
        <f t="shared" si="50"/>
        <v>1</v>
      </c>
      <c r="FH36" s="415">
        <f t="shared" si="111"/>
        <v>78.902953586497887</v>
      </c>
      <c r="FI36" s="413" t="str">
        <f t="shared" si="120"/>
        <v>T-R</v>
      </c>
      <c r="FJ36" s="404">
        <f t="shared" si="112"/>
        <v>64.571948998178485</v>
      </c>
      <c r="FK36" s="414" t="str">
        <f t="shared" si="121"/>
        <v>T-R</v>
      </c>
      <c r="FL36" s="415">
        <f t="shared" si="71"/>
        <v>78.20512820512802</v>
      </c>
      <c r="FM36" s="413" t="str">
        <f t="shared" si="72"/>
        <v>T-R</v>
      </c>
      <c r="FN36" s="404">
        <f t="shared" si="73"/>
        <v>87.411167512690255</v>
      </c>
      <c r="FO36" s="414" t="str">
        <f t="shared" si="74"/>
        <v>T-R</v>
      </c>
      <c r="FQ36" s="135">
        <f t="shared" si="51"/>
        <v>83.221111182071041</v>
      </c>
      <c r="FR36" s="21">
        <f t="shared" si="12"/>
        <v>83.55</v>
      </c>
      <c r="FS36" s="21">
        <f t="shared" si="13"/>
        <v>81.349999999999994</v>
      </c>
      <c r="FT36" s="182">
        <f t="shared" si="14"/>
        <v>82.449999999999989</v>
      </c>
      <c r="FU36" s="141">
        <f t="shared" si="52"/>
        <v>1074.6613477129199</v>
      </c>
      <c r="FV36" s="118">
        <f t="shared" si="15"/>
        <v>1074.6613477129199</v>
      </c>
      <c r="FW36" s="118">
        <f t="shared" si="16"/>
        <v>1042.0999999999999</v>
      </c>
      <c r="FX36" s="181">
        <f t="shared" si="17"/>
        <v>1056.1624999999999</v>
      </c>
    </row>
    <row r="37" spans="1:180" x14ac:dyDescent="0.3">
      <c r="A37" s="691" t="s">
        <v>27</v>
      </c>
      <c r="B37" s="660" t="s">
        <v>28</v>
      </c>
      <c r="C37" s="660" t="s">
        <v>29</v>
      </c>
      <c r="D37" s="660" t="s">
        <v>30</v>
      </c>
      <c r="E37" s="685" t="s">
        <v>31</v>
      </c>
      <c r="F37" s="660" t="s">
        <v>32</v>
      </c>
      <c r="G37" s="660" t="s">
        <v>30</v>
      </c>
      <c r="H37" s="660" t="s">
        <v>33</v>
      </c>
      <c r="I37" s="660" t="s">
        <v>28</v>
      </c>
      <c r="J37" s="685" t="s">
        <v>27</v>
      </c>
      <c r="L37" s="283">
        <f t="shared" si="40"/>
        <v>34</v>
      </c>
      <c r="M37" s="290">
        <f>'[6]ASHOKLEY-I'!C53</f>
        <v>42844</v>
      </c>
      <c r="N37" s="7">
        <f>'[6]ASHOKLEY-I'!D53</f>
        <v>82.2</v>
      </c>
      <c r="O37" s="7">
        <f>'[6]ASHOKLEY-I'!E53</f>
        <v>82.4</v>
      </c>
      <c r="P37" s="7">
        <f>'[6]ASHOKLEY-I'!F53</f>
        <v>81.2</v>
      </c>
      <c r="Q37" s="7">
        <f>'[6]ASHOKLEY-I'!G53</f>
        <v>81.5</v>
      </c>
      <c r="R37" s="11">
        <f>'[6]ASHOKLEY-I'!H53</f>
        <v>2633</v>
      </c>
      <c r="S37" s="291">
        <f>'[7]ASIANPAINT-I'!C53</f>
        <v>42844</v>
      </c>
      <c r="T37" s="9">
        <f>'[7]ASIANPAINT-I'!D53</f>
        <v>1046.45</v>
      </c>
      <c r="U37" s="9">
        <f>'[7]ASIANPAINT-I'!E53</f>
        <v>1059.75</v>
      </c>
      <c r="V37" s="9">
        <f>'[7]ASIANPAINT-I'!F53</f>
        <v>1036</v>
      </c>
      <c r="W37" s="9">
        <f>'[7]ASIANPAINT-I'!G53</f>
        <v>1055.05</v>
      </c>
      <c r="X37" s="12">
        <f>'[7]ASIANPAINT-I'!H53</f>
        <v>1931</v>
      </c>
      <c r="Y37" s="115"/>
      <c r="Z37" s="122">
        <f t="shared" si="18"/>
        <v>-3.0581039755351682E-3</v>
      </c>
      <c r="AA37" s="19">
        <f t="shared" si="19"/>
        <v>9.85881789901886E-3</v>
      </c>
      <c r="AB37" s="305">
        <f>IF(OR(SUM(Z17:Z37)=0,SUM('BNF-Nifty'!AA17:AA37)=0),0,(_xlfn.COVARIANCE.P(Z17:Z37,'BNF-Nifty'!AA17:AA37)/_xlfn.VAR.P('BNF-Nifty'!AA17:AA37)))</f>
        <v>0.89671993979210585</v>
      </c>
      <c r="AC37" s="306">
        <f>IF(OR(SUM(AA17:AA37)=0,SUM('BNF-Nifty'!AA17:AA37)=0),0,(_xlfn.COVARIANCE.P(AA17:AA37,'BNF-Nifty'!AA17:AA37)/_xlfn.VAR.P('BNF-Nifty'!AA17:AA37)))</f>
        <v>1.5204346687518648</v>
      </c>
      <c r="AD37" s="466">
        <f t="shared" si="20"/>
        <v>-3.0627895305457668E-3</v>
      </c>
      <c r="AE37" s="17">
        <f t="shared" si="41"/>
        <v>1.0925523798333675E-2</v>
      </c>
      <c r="AF37" s="17">
        <f t="shared" si="42"/>
        <v>1.0619222515532076E-2</v>
      </c>
      <c r="AG37" s="314">
        <f t="shared" si="43"/>
        <v>0.20287996129374122</v>
      </c>
      <c r="AH37" s="467">
        <f t="shared" si="21"/>
        <v>9.8105368240409448E-3</v>
      </c>
      <c r="AI37" s="18">
        <f t="shared" si="53"/>
        <v>1.0939421000887526E-2</v>
      </c>
      <c r="AJ37" s="18">
        <f>SQRT((0.94*(AI37^2))+(0.06*(AH37^2)))</f>
        <v>1.0874993052463587E-2</v>
      </c>
      <c r="AK37" s="385">
        <f t="shared" si="44"/>
        <v>0.20776645054065612</v>
      </c>
      <c r="AL37" s="10">
        <f t="shared" si="23"/>
        <v>1.4670189747793839E-2</v>
      </c>
      <c r="AM37" s="17">
        <f t="shared" si="45"/>
        <v>2.2813212557293967E-2</v>
      </c>
      <c r="AN37" s="17">
        <f t="shared" si="46"/>
        <v>2.2408234539726578E-2</v>
      </c>
      <c r="AO37" s="314">
        <f t="shared" si="47"/>
        <v>0.42810871977033971</v>
      </c>
      <c r="AP37" s="448">
        <f t="shared" si="24"/>
        <v>2.2665887413318059E-2</v>
      </c>
      <c r="AQ37" s="18">
        <f t="shared" si="54"/>
        <v>1.6782638887637515E-2</v>
      </c>
      <c r="AR37" s="18">
        <f>SQRT((0.94*(AQ37^2))+(0.06*(AP37^2)))</f>
        <v>1.7192501187577827E-2</v>
      </c>
      <c r="AS37" s="385">
        <f t="shared" si="48"/>
        <v>0.32846227399196959</v>
      </c>
      <c r="AT37" s="6">
        <f t="shared" si="0"/>
        <v>216432.6</v>
      </c>
      <c r="AU37" s="319">
        <v>0</v>
      </c>
      <c r="AV37" s="140">
        <f t="shared" si="1"/>
        <v>2020694.9500000002</v>
      </c>
      <c r="AW37" s="481">
        <v>0</v>
      </c>
      <c r="AX37" s="135">
        <f t="shared" si="97"/>
        <v>259131.99864919603</v>
      </c>
      <c r="AY37" s="21">
        <f t="shared" si="98"/>
        <v>3073.1282411582711</v>
      </c>
      <c r="AZ37" s="319">
        <f t="shared" si="99"/>
        <v>84.321895578144961</v>
      </c>
      <c r="BA37" s="21">
        <f t="shared" si="2"/>
        <v>81.7</v>
      </c>
      <c r="BB37" s="21">
        <f t="shared" si="3"/>
        <v>215116.1</v>
      </c>
      <c r="BC37" s="21">
        <f t="shared" si="61"/>
        <v>217303.74755094867</v>
      </c>
      <c r="BD37" s="21">
        <f t="shared" si="57"/>
        <v>2631.4679301420178</v>
      </c>
      <c r="BE37" s="332">
        <f t="shared" si="58"/>
        <v>82.578907788255279</v>
      </c>
      <c r="BF37" s="141">
        <f t="shared" si="100"/>
        <v>2302109.5249844058</v>
      </c>
      <c r="BG37" s="118">
        <f t="shared" si="101"/>
        <v>2155.5537938346943</v>
      </c>
      <c r="BH37" s="329">
        <f t="shared" si="102"/>
        <v>1067.9898277504785</v>
      </c>
      <c r="BI37" s="118">
        <f t="shared" si="4"/>
        <v>1050.2666666666667</v>
      </c>
      <c r="BJ37" s="118">
        <f t="shared" si="5"/>
        <v>2028064.9333333333</v>
      </c>
      <c r="BK37" s="118">
        <f t="shared" si="62"/>
        <v>2096371.3697216711</v>
      </c>
      <c r="BL37" s="118">
        <f t="shared" si="59"/>
        <v>1976.5525289709735</v>
      </c>
      <c r="BM37" s="325">
        <f t="shared" si="60"/>
        <v>1060.6201145653727</v>
      </c>
      <c r="BN37" s="6">
        <f t="shared" si="6"/>
        <v>214589.5</v>
      </c>
      <c r="BO37" s="331">
        <f t="shared" si="87"/>
        <v>83.780196545562831</v>
      </c>
      <c r="BP37" s="319">
        <f t="shared" si="55"/>
        <v>82.450839073721241</v>
      </c>
      <c r="BQ37" s="331">
        <f t="shared" ref="BQ37:BQ67" si="139">AVERAGE(AT4:AT37)/AVERAGE(R4:R37)</f>
        <v>87.284158411513218</v>
      </c>
      <c r="BR37" s="332">
        <f t="shared" si="88"/>
        <v>83.335654903712538</v>
      </c>
      <c r="BS37" s="140">
        <f t="shared" si="7"/>
        <v>2037301.5499999998</v>
      </c>
      <c r="BT37" s="339">
        <f t="shared" si="89"/>
        <v>1074.0582490231648</v>
      </c>
      <c r="BU37" s="329">
        <f t="shared" si="56"/>
        <v>1061.3696835304422</v>
      </c>
      <c r="BV37" s="339">
        <f t="shared" ref="BV37:BV67" si="140">AVERAGE(AV4:AV37)/AVERAGE(X4:X37)</f>
        <v>1058.4166932482724</v>
      </c>
      <c r="BW37" s="325">
        <f t="shared" si="90"/>
        <v>1073.9280177225787</v>
      </c>
      <c r="BX37" s="21">
        <f t="shared" si="91"/>
        <v>253921.48661696</v>
      </c>
      <c r="BY37" s="21">
        <f t="shared" si="92"/>
        <v>3032.1903206807974</v>
      </c>
      <c r="BZ37" s="21">
        <f t="shared" si="93"/>
        <v>83.741935618325144</v>
      </c>
      <c r="CA37" s="21">
        <f t="shared" si="129"/>
        <v>273736.268703899</v>
      </c>
      <c r="CB37" s="21">
        <f t="shared" si="130"/>
        <v>3188.6221774585106</v>
      </c>
      <c r="CC37" s="21">
        <f t="shared" si="135"/>
        <v>85.847821870849657</v>
      </c>
      <c r="CD37" s="342">
        <f t="shared" si="131"/>
        <v>-2.1058862525245132</v>
      </c>
      <c r="CE37" s="342">
        <f>AVERAGE(CD29:CD37)</f>
        <v>-2.1089700561857714</v>
      </c>
      <c r="CF37" s="343">
        <f>(CD37-CE37)</f>
        <v>3.0838036612581554E-3</v>
      </c>
      <c r="CG37" s="141">
        <f t="shared" si="94"/>
        <v>2271953.4867937188</v>
      </c>
      <c r="CH37" s="118">
        <f t="shared" si="95"/>
        <v>2129.5631233351328</v>
      </c>
      <c r="CI37" s="118">
        <f t="shared" si="96"/>
        <v>1066.863650059636</v>
      </c>
      <c r="CJ37" s="118">
        <f t="shared" si="132"/>
        <v>2557131.8601889238</v>
      </c>
      <c r="CK37" s="118">
        <f t="shared" si="133"/>
        <v>2409.6904774335908</v>
      </c>
      <c r="CL37" s="118">
        <f t="shared" si="136"/>
        <v>1061.186855380847</v>
      </c>
      <c r="CM37" s="350">
        <f t="shared" si="134"/>
        <v>5.6767946787890651</v>
      </c>
      <c r="CN37" s="350">
        <f>AVERAGE(CM29:CM37)</f>
        <v>10.899234448571102</v>
      </c>
      <c r="CO37" s="351">
        <f>(CM37-CN37)</f>
        <v>-5.2224397697820368</v>
      </c>
      <c r="CP37" s="20">
        <f t="shared" si="26"/>
        <v>-0.51666666666665151</v>
      </c>
      <c r="CQ37" s="21">
        <f t="shared" si="27"/>
        <v>0</v>
      </c>
      <c r="CR37" s="21">
        <f t="shared" si="28"/>
        <v>215116.1</v>
      </c>
      <c r="CS37" s="21">
        <f t="shared" si="137"/>
        <v>86523.099429482521</v>
      </c>
      <c r="CT37" s="21">
        <f t="shared" si="137"/>
        <v>175458.74216247955</v>
      </c>
      <c r="CU37" s="21">
        <f t="shared" si="105"/>
        <v>0.49312504103876331</v>
      </c>
      <c r="CV37" s="342">
        <f t="shared" si="106"/>
        <v>33.026372707251468</v>
      </c>
      <c r="CW37" s="342">
        <v>0</v>
      </c>
      <c r="CX37" s="355">
        <v>0</v>
      </c>
      <c r="CY37" s="141">
        <f t="shared" si="29"/>
        <v>-3.0166666666666515</v>
      </c>
      <c r="CZ37" s="118">
        <f t="shared" si="30"/>
        <v>0</v>
      </c>
      <c r="DA37" s="118">
        <f t="shared" si="31"/>
        <v>2028064.9333333333</v>
      </c>
      <c r="DB37" s="118">
        <f t="shared" si="138"/>
        <v>1002522.5010125423</v>
      </c>
      <c r="DC37" s="118">
        <f t="shared" si="138"/>
        <v>1316571.769068813</v>
      </c>
      <c r="DD37" s="118">
        <f t="shared" si="107"/>
        <v>0.76146437631851094</v>
      </c>
      <c r="DE37" s="350">
        <f t="shared" si="108"/>
        <v>43.229053425990017</v>
      </c>
      <c r="DF37" s="350">
        <v>0</v>
      </c>
      <c r="DG37" s="351">
        <v>0</v>
      </c>
      <c r="DH37" s="135">
        <f t="shared" si="32"/>
        <v>1.2000000000000028</v>
      </c>
      <c r="DI37" s="20">
        <f t="shared" si="33"/>
        <v>3159.6000000000076</v>
      </c>
      <c r="DJ37" s="21">
        <f t="shared" si="127"/>
        <v>6421.5128813578967</v>
      </c>
      <c r="DK37" s="21">
        <f t="shared" si="122"/>
        <v>3058.7700289837235</v>
      </c>
      <c r="DL37" s="319">
        <f t="shared" si="123"/>
        <v>2.0993774688878606</v>
      </c>
      <c r="DM37" s="21">
        <f t="shared" si="124"/>
        <v>8397.5098755514427</v>
      </c>
      <c r="DN37" s="21">
        <f>DM37*'Base Data'!$D$10</f>
        <v>16795.019751102885</v>
      </c>
      <c r="DO37" s="363">
        <f>IF(INT(('Base Data'!$D$7)/DN37)=0,0,INT(('Base Data'!$D$7)/DN37))</f>
        <v>0</v>
      </c>
      <c r="DP37" s="364">
        <f t="shared" si="113"/>
        <v>2.5759232747090313E-2</v>
      </c>
      <c r="DQ37" s="141">
        <f t="shared" si="34"/>
        <v>23.75</v>
      </c>
      <c r="DR37" s="143">
        <f t="shared" si="35"/>
        <v>45861.25</v>
      </c>
      <c r="DS37" s="118">
        <f t="shared" si="128"/>
        <v>47219.668583957136</v>
      </c>
      <c r="DT37" s="118">
        <f t="shared" si="125"/>
        <v>2277.0269089414055</v>
      </c>
      <c r="DU37" s="329">
        <f t="shared" si="126"/>
        <v>20.737422293313898</v>
      </c>
      <c r="DV37" s="118">
        <f t="shared" si="114"/>
        <v>12442.453375988338</v>
      </c>
      <c r="DW37" s="118">
        <f>DV37*'Base Data'!$D$10</f>
        <v>24884.906751976676</v>
      </c>
      <c r="DX37" s="375">
        <f>IF(INT(('Base Data'!$D$7)/DW37)=0,0,INT(('Base Data'!$D$7)/DW37))</f>
        <v>0</v>
      </c>
      <c r="DY37" s="376">
        <f t="shared" si="115"/>
        <v>1.96553929134296E-2</v>
      </c>
      <c r="DZ37" s="135">
        <f t="shared" si="36"/>
        <v>1.2000000000000028</v>
      </c>
      <c r="EA37" s="21">
        <f t="shared" si="37"/>
        <v>3159.6000000000076</v>
      </c>
      <c r="EB37" s="21">
        <f t="shared" si="79"/>
        <v>5056.4393946207128</v>
      </c>
      <c r="EC37" s="21">
        <f t="shared" si="75"/>
        <v>2821.4242072194543</v>
      </c>
      <c r="ED37" s="319">
        <f t="shared" si="76"/>
        <v>1.7921585069279218</v>
      </c>
      <c r="EE37" s="21">
        <f t="shared" si="63"/>
        <v>7168.6340277116869</v>
      </c>
      <c r="EF37" s="21">
        <f>EE37*'Base Data'!$D$13</f>
        <v>5376.4755207837652</v>
      </c>
      <c r="EG37" s="363">
        <f>IF(INT(('Base Data'!$D$7)/EF37)=0,0,INT(('Base Data'!$D$7)/EF37))</f>
        <v>1</v>
      </c>
      <c r="EH37" s="314">
        <f t="shared" si="64"/>
        <v>2.1989674931630943E-2</v>
      </c>
      <c r="EI37" s="143">
        <f t="shared" si="38"/>
        <v>23.75</v>
      </c>
      <c r="EJ37" s="118">
        <f t="shared" si="39"/>
        <v>45861.25</v>
      </c>
      <c r="EK37" s="118">
        <f t="shared" si="80"/>
        <v>45670.722509978266</v>
      </c>
      <c r="EL37" s="118">
        <f t="shared" si="77"/>
        <v>2030.60264924535</v>
      </c>
      <c r="EM37" s="329">
        <f t="shared" si="78"/>
        <v>22.491215859957272</v>
      </c>
      <c r="EN37" s="118">
        <f t="shared" si="65"/>
        <v>13494.729515974363</v>
      </c>
      <c r="EO37" s="118">
        <f>EN37*'Base Data'!$D$13</f>
        <v>10121.047136980771</v>
      </c>
      <c r="EP37" s="375">
        <f>IF(INT(('Base Data'!$D$7)/EO37)=0,0,INT(('Base Data'!$D$7)/EO37))</f>
        <v>1</v>
      </c>
      <c r="EQ37" s="385">
        <f t="shared" si="66"/>
        <v>2.1317677702438059E-2</v>
      </c>
      <c r="ER37" s="397">
        <f t="shared" si="116"/>
        <v>-1.9159118747487429</v>
      </c>
      <c r="ES37" s="403">
        <f t="shared" si="67"/>
        <v>-1.0427370083483078</v>
      </c>
      <c r="ET37" s="405">
        <f t="shared" si="117"/>
        <v>-0.82884434694841347</v>
      </c>
      <c r="EU37" s="410">
        <f t="shared" si="68"/>
        <v>-0.8233770070639197</v>
      </c>
      <c r="EV37" s="20">
        <f t="shared" si="8"/>
        <v>1.2000000000000028</v>
      </c>
      <c r="EW37" s="17">
        <f t="shared" si="9"/>
        <v>1.4598540145985436E-2</v>
      </c>
      <c r="EX37" s="388">
        <f t="shared" si="69"/>
        <v>1.9191683201079286E-2</v>
      </c>
      <c r="EY37" s="388">
        <f t="shared" si="103"/>
        <v>1.9311645983830599E-2</v>
      </c>
      <c r="EZ37" s="314">
        <f t="shared" si="118"/>
        <v>2.0740241308624324E-2</v>
      </c>
      <c r="FA37" s="442">
        <f t="shared" si="10"/>
        <v>23.75</v>
      </c>
      <c r="FB37" s="18">
        <f t="shared" si="11"/>
        <v>2.2695780973768453E-2</v>
      </c>
      <c r="FC37" s="394">
        <f t="shared" si="70"/>
        <v>1.9392732358726104E-2</v>
      </c>
      <c r="FD37" s="394">
        <f t="shared" si="104"/>
        <v>1.8027806102239016E-2</v>
      </c>
      <c r="FE37" s="385">
        <f t="shared" si="119"/>
        <v>1.6876400094806426E-2</v>
      </c>
      <c r="FF37" s="416">
        <f t="shared" si="49"/>
        <v>1</v>
      </c>
      <c r="FG37" s="417">
        <f t="shared" si="50"/>
        <v>1</v>
      </c>
      <c r="FH37" s="415">
        <f t="shared" si="111"/>
        <v>79.024390243902388</v>
      </c>
      <c r="FI37" s="413" t="str">
        <f t="shared" si="120"/>
        <v>T-R</v>
      </c>
      <c r="FJ37" s="404">
        <f t="shared" si="112"/>
        <v>47.213114754098285</v>
      </c>
      <c r="FK37" s="414" t="str">
        <f t="shared" si="121"/>
        <v>T-D</v>
      </c>
      <c r="FL37" s="415">
        <f t="shared" si="71"/>
        <v>58.749999999999858</v>
      </c>
      <c r="FM37" s="413" t="str">
        <f t="shared" si="72"/>
        <v>T-D</v>
      </c>
      <c r="FN37" s="404">
        <f t="shared" si="73"/>
        <v>52.935862691960253</v>
      </c>
      <c r="FO37" s="414" t="str">
        <f t="shared" si="74"/>
        <v>T-D</v>
      </c>
      <c r="FQ37" s="135">
        <f t="shared" si="51"/>
        <v>82.835555591035515</v>
      </c>
      <c r="FR37" s="21">
        <f t="shared" si="12"/>
        <v>82.835555591035515</v>
      </c>
      <c r="FS37" s="21">
        <f t="shared" si="13"/>
        <v>81.2</v>
      </c>
      <c r="FT37" s="182">
        <f t="shared" si="14"/>
        <v>81.825000000000003</v>
      </c>
      <c r="FU37" s="141">
        <f t="shared" si="52"/>
        <v>1065.4119238564599</v>
      </c>
      <c r="FV37" s="118">
        <f t="shared" si="15"/>
        <v>1065.4119238564599</v>
      </c>
      <c r="FW37" s="118">
        <f t="shared" si="16"/>
        <v>1036</v>
      </c>
      <c r="FX37" s="181">
        <f t="shared" si="17"/>
        <v>1049.3125</v>
      </c>
    </row>
    <row r="38" spans="1:180" ht="11.15" thickBot="1" x14ac:dyDescent="0.35">
      <c r="A38" s="692"/>
      <c r="B38" s="661"/>
      <c r="C38" s="661"/>
      <c r="D38" s="661"/>
      <c r="E38" s="686"/>
      <c r="F38" s="661"/>
      <c r="G38" s="661"/>
      <c r="H38" s="661"/>
      <c r="I38" s="661"/>
      <c r="J38" s="686"/>
      <c r="L38" s="283">
        <f>L37+1</f>
        <v>35</v>
      </c>
      <c r="M38" s="290">
        <f>'[6]ASHOKLEY-I'!C54</f>
        <v>42845</v>
      </c>
      <c r="N38" s="7">
        <f>'[6]ASHOKLEY-I'!D54</f>
        <v>81.8</v>
      </c>
      <c r="O38" s="7">
        <f>'[6]ASHOKLEY-I'!E54</f>
        <v>82.5</v>
      </c>
      <c r="P38" s="7">
        <f>'[6]ASHOKLEY-I'!F54</f>
        <v>81.5</v>
      </c>
      <c r="Q38" s="7">
        <f>'[6]ASHOKLEY-I'!G54</f>
        <v>82.15</v>
      </c>
      <c r="R38" s="11">
        <f>'[6]ASHOKLEY-I'!H54</f>
        <v>2800</v>
      </c>
      <c r="S38" s="291">
        <f>'[7]ASIANPAINT-I'!C54</f>
        <v>42845</v>
      </c>
      <c r="T38" s="9">
        <f>'[7]ASIANPAINT-I'!D54</f>
        <v>1060.4000000000001</v>
      </c>
      <c r="U38" s="9">
        <f>'[7]ASIANPAINT-I'!E54</f>
        <v>1065</v>
      </c>
      <c r="V38" s="9">
        <f>'[7]ASIANPAINT-I'!F54</f>
        <v>1045.3</v>
      </c>
      <c r="W38" s="9">
        <f>'[7]ASIANPAINT-I'!G54</f>
        <v>1062.3499999999999</v>
      </c>
      <c r="X38" s="12">
        <f>'[7]ASIANPAINT-I'!H54</f>
        <v>2097</v>
      </c>
      <c r="Y38" s="115"/>
      <c r="Z38" s="122">
        <f>IF(Q37=0,0,(Q38-Q37)/Q37)</f>
        <v>7.9754601226994567E-3</v>
      </c>
      <c r="AA38" s="19">
        <f>IF(W37=0,0,(W38-W37)/W37)</f>
        <v>6.9191033600302879E-3</v>
      </c>
      <c r="AB38" s="305">
        <f>IF(OR(SUM(Z18:Z38)=0,SUM('BNF-Nifty'!AA18:AA38)=0),0,(_xlfn.COVARIANCE.P(Z18:Z38,'BNF-Nifty'!AA18:AA38)/_xlfn.VAR.P('BNF-Nifty'!AA18:AA38)))</f>
        <v>0.92175633207922858</v>
      </c>
      <c r="AC38" s="306">
        <f>IF(OR(SUM(AA18:AA38)=0,SUM('BNF-Nifty'!AA18:AA38)=0),0,(_xlfn.COVARIANCE.P(AA18:AA38,'BNF-Nifty'!AA18:AA38)/_xlfn.VAR.P('BNF-Nifty'!AA18:AA38)))</f>
        <v>1.5740825524557824</v>
      </c>
      <c r="AD38" s="466">
        <f t="shared" si="20"/>
        <v>7.9438242364602372E-3</v>
      </c>
      <c r="AE38" s="17">
        <f>AF37</f>
        <v>1.0619222515532076E-2</v>
      </c>
      <c r="AF38" s="17">
        <f t="shared" si="42"/>
        <v>1.0477980446360204E-2</v>
      </c>
      <c r="AG38" s="314">
        <f t="shared" si="43"/>
        <v>0.20018153535109567</v>
      </c>
      <c r="AH38" s="467">
        <f t="shared" si="21"/>
        <v>6.8952762095818533E-3</v>
      </c>
      <c r="AI38" s="18">
        <f>AJ37</f>
        <v>1.0874993052463587E-2</v>
      </c>
      <c r="AJ38" s="18">
        <f>SQRT((0.94*(AI38^2))+(0.06*(AH38^2)))</f>
        <v>1.0678119473860973E-2</v>
      </c>
      <c r="AK38" s="385">
        <f t="shared" si="44"/>
        <v>0.20400518610267696</v>
      </c>
      <c r="AL38" s="10">
        <f t="shared" si="23"/>
        <v>1.2195273093818206E-2</v>
      </c>
      <c r="AM38" s="17">
        <f>AN37</f>
        <v>2.2408234539726578E-2</v>
      </c>
      <c r="AN38" s="17">
        <f t="shared" si="46"/>
        <v>2.1929995846468368E-2</v>
      </c>
      <c r="AO38" s="314">
        <f t="shared" si="47"/>
        <v>0.41897198236461319</v>
      </c>
      <c r="AP38" s="448">
        <f t="shared" si="24"/>
        <v>1.8670873604864149E-2</v>
      </c>
      <c r="AQ38" s="18">
        <f>AR37</f>
        <v>1.7192501187577827E-2</v>
      </c>
      <c r="AR38" s="18">
        <f>SQRT((0.94*(AQ38^2))+(0.06*(AP38^2)))</f>
        <v>1.7284769669564645E-2</v>
      </c>
      <c r="AS38" s="385">
        <f t="shared" si="48"/>
        <v>0.33022506086518355</v>
      </c>
      <c r="AT38" s="6">
        <f t="shared" si="0"/>
        <v>229040</v>
      </c>
      <c r="AU38" s="319">
        <v>0</v>
      </c>
      <c r="AV38" s="140">
        <f t="shared" si="1"/>
        <v>2223658.8000000003</v>
      </c>
      <c r="AW38" s="481">
        <v>0</v>
      </c>
      <c r="AX38" s="135">
        <f t="shared" si="97"/>
        <v>254833.14169931089</v>
      </c>
      <c r="AY38" s="21">
        <f t="shared" si="98"/>
        <v>3034.1099209928038</v>
      </c>
      <c r="AZ38" s="319">
        <f t="shared" si="99"/>
        <v>83.98942303841315</v>
      </c>
      <c r="BA38" s="21">
        <f t="shared" si="2"/>
        <v>82.05</v>
      </c>
      <c r="BB38" s="21">
        <f t="shared" si="3"/>
        <v>229740</v>
      </c>
      <c r="BC38" s="21">
        <f t="shared" si="61"/>
        <v>221449.16503396578</v>
      </c>
      <c r="BD38" s="21">
        <f t="shared" si="57"/>
        <v>2687.6452867613452</v>
      </c>
      <c r="BE38" s="332">
        <f t="shared" si="58"/>
        <v>82.39523501288204</v>
      </c>
      <c r="BF38" s="141">
        <f t="shared" si="100"/>
        <v>2290902.2785580624</v>
      </c>
      <c r="BG38" s="118">
        <f t="shared" si="101"/>
        <v>2147.1889661440237</v>
      </c>
      <c r="BH38" s="329">
        <f t="shared" si="102"/>
        <v>1066.93091045085</v>
      </c>
      <c r="BI38" s="118">
        <f t="shared" si="4"/>
        <v>1057.55</v>
      </c>
      <c r="BJ38" s="118">
        <f t="shared" si="5"/>
        <v>2217682.35</v>
      </c>
      <c r="BK38" s="118">
        <f t="shared" si="62"/>
        <v>2136808.3631477808</v>
      </c>
      <c r="BL38" s="118">
        <f t="shared" si="59"/>
        <v>2016.701685980649</v>
      </c>
      <c r="BM38" s="325">
        <f t="shared" si="60"/>
        <v>1059.5559958133958</v>
      </c>
      <c r="BN38" s="6">
        <f t="shared" si="6"/>
        <v>230020.00000000003</v>
      </c>
      <c r="BO38" s="331">
        <f t="shared" si="87"/>
        <v>83.681648263010032</v>
      </c>
      <c r="BP38" s="319">
        <f t="shared" si="55"/>
        <v>82.215256282243303</v>
      </c>
      <c r="BQ38" s="331">
        <f t="shared" si="139"/>
        <v>87.108341816536594</v>
      </c>
      <c r="BR38" s="332">
        <f t="shared" si="88"/>
        <v>83.310003337690873</v>
      </c>
      <c r="BS38" s="140">
        <f t="shared" si="7"/>
        <v>2227747.9499999997</v>
      </c>
      <c r="BT38" s="339">
        <f t="shared" si="89"/>
        <v>1073.5574302377083</v>
      </c>
      <c r="BU38" s="329">
        <f t="shared" si="56"/>
        <v>1058.7531666666666</v>
      </c>
      <c r="BV38" s="339">
        <f t="shared" si="140"/>
        <v>1061.0331313412739</v>
      </c>
      <c r="BW38" s="325">
        <f t="shared" si="90"/>
        <v>1073.5367211723019</v>
      </c>
      <c r="BX38" s="21">
        <f t="shared" si="91"/>
        <v>250201.25790665846</v>
      </c>
      <c r="BY38" s="21">
        <f t="shared" si="92"/>
        <v>2996.4687328837517</v>
      </c>
      <c r="BZ38" s="21">
        <f t="shared" si="93"/>
        <v>83.498704712286099</v>
      </c>
      <c r="CA38" s="21">
        <f t="shared" si="129"/>
        <v>270477.28583694354</v>
      </c>
      <c r="CB38" s="21">
        <f t="shared" si="130"/>
        <v>3159.8353494986209</v>
      </c>
      <c r="CC38" s="21">
        <f t="shared" si="135"/>
        <v>85.598537873139776</v>
      </c>
      <c r="CD38" s="342">
        <f t="shared" si="131"/>
        <v>-2.0998331608536773</v>
      </c>
      <c r="CE38" s="342">
        <f>((CD38-CE37)*(2/(1+9)))+CE37</f>
        <v>-2.1071426771193527</v>
      </c>
      <c r="CF38" s="343">
        <f>(CD38-CE38)</f>
        <v>7.309516265675331E-3</v>
      </c>
      <c r="CG38" s="141">
        <f t="shared" si="94"/>
        <v>2263604.0811331468</v>
      </c>
      <c r="CH38" s="118">
        <f t="shared" si="95"/>
        <v>2124.5534120528046</v>
      </c>
      <c r="CI38" s="118">
        <f t="shared" si="96"/>
        <v>1065.4493637540454</v>
      </c>
      <c r="CJ38" s="118">
        <f t="shared" si="132"/>
        <v>2531987.4520267812</v>
      </c>
      <c r="CK38" s="118">
        <f t="shared" si="133"/>
        <v>2386.5282198459172</v>
      </c>
      <c r="CL38" s="118">
        <f t="shared" si="136"/>
        <v>1060.950141285258</v>
      </c>
      <c r="CM38" s="350">
        <f t="shared" si="134"/>
        <v>4.4992224687873659</v>
      </c>
      <c r="CN38" s="350">
        <f>((CM38-CN37)*(2/(1+9)))+CN37</f>
        <v>9.619232052614354</v>
      </c>
      <c r="CO38" s="351">
        <f>(CM38-CN38)</f>
        <v>-5.1200095838269881</v>
      </c>
      <c r="CP38" s="20">
        <f t="shared" si="26"/>
        <v>0.34999999999999432</v>
      </c>
      <c r="CQ38" s="21">
        <f t="shared" si="27"/>
        <v>229740</v>
      </c>
      <c r="CR38" s="21">
        <f t="shared" si="28"/>
        <v>0</v>
      </c>
      <c r="CS38" s="21">
        <f>((CQ38-CS37)*(2/(1+14)))+CS37</f>
        <v>105618.68617221818</v>
      </c>
      <c r="CT38" s="21">
        <f>((CR38-CT37)*(2/(1+14)))+CT37</f>
        <v>152064.24320748227</v>
      </c>
      <c r="CU38" s="21">
        <f t="shared" si="105"/>
        <v>0.69456621717511857</v>
      </c>
      <c r="CV38" s="342">
        <f t="shared" si="106"/>
        <v>40.987847517282425</v>
      </c>
      <c r="CW38" s="342">
        <v>0</v>
      </c>
      <c r="CX38" s="355">
        <f>AVERAGE(CV18:CV38)</f>
        <v>36.515089054394281</v>
      </c>
      <c r="CY38" s="141">
        <f t="shared" si="29"/>
        <v>7.283333333333303</v>
      </c>
      <c r="CZ38" s="118">
        <f t="shared" si="30"/>
        <v>2217682.35</v>
      </c>
      <c r="DA38" s="118">
        <f t="shared" si="31"/>
        <v>0</v>
      </c>
      <c r="DB38" s="118">
        <f>((CZ38-DB37)*(2/(1+14)))+DB37</f>
        <v>1164543.8142108701</v>
      </c>
      <c r="DC38" s="118">
        <f>((DA38-DC37)*(2/(1+14)))+DC37</f>
        <v>1141028.8665263045</v>
      </c>
      <c r="DD38" s="118">
        <f t="shared" si="107"/>
        <v>1.0206085475787772</v>
      </c>
      <c r="DE38" s="350">
        <f t="shared" si="108"/>
        <v>50.50995893300243</v>
      </c>
      <c r="DF38" s="350">
        <v>0</v>
      </c>
      <c r="DG38" s="351">
        <f>AVERAGE(DE18:DE38)</f>
        <v>54.355944624253013</v>
      </c>
      <c r="DH38" s="135">
        <f t="shared" si="32"/>
        <v>1</v>
      </c>
      <c r="DI38" s="20">
        <f t="shared" si="33"/>
        <v>2800</v>
      </c>
      <c r="DJ38" s="21">
        <f t="shared" si="127"/>
        <v>6092.2844375980876</v>
      </c>
      <c r="DK38" s="21">
        <f t="shared" si="122"/>
        <v>3035.2454808942939</v>
      </c>
      <c r="DL38" s="319">
        <f t="shared" si="123"/>
        <v>2.007180136152638</v>
      </c>
      <c r="DM38" s="21">
        <f t="shared" si="124"/>
        <v>8028.7205446105518</v>
      </c>
      <c r="DN38" s="21">
        <f>DM38*'Base Data'!$D$10</f>
        <v>16057.441089221104</v>
      </c>
      <c r="DO38" s="363">
        <f>IF(INT(('Base Data'!$D$7)/DN38)=0,0,INT(('Base Data'!$D$7)/DN38))</f>
        <v>0</v>
      </c>
      <c r="DP38" s="364">
        <f t="shared" si="113"/>
        <v>2.4433111821699792E-2</v>
      </c>
      <c r="DQ38" s="141">
        <f t="shared" si="34"/>
        <v>19.700000000000045</v>
      </c>
      <c r="DR38" s="143">
        <f t="shared" si="35"/>
        <v>41310.900000000096</v>
      </c>
      <c r="DS38" s="118">
        <f t="shared" si="128"/>
        <v>46682.507803597407</v>
      </c>
      <c r="DT38" s="118">
        <f t="shared" si="125"/>
        <v>2260.6608263103685</v>
      </c>
      <c r="DU38" s="329">
        <f t="shared" si="126"/>
        <v>20.649938841019363</v>
      </c>
      <c r="DV38" s="118">
        <f t="shared" si="114"/>
        <v>12389.963304611618</v>
      </c>
      <c r="DW38" s="118">
        <f>DV38*'Base Data'!$D$10</f>
        <v>24779.926609223236</v>
      </c>
      <c r="DX38" s="375">
        <f>IF(INT(('Base Data'!$D$7)/DW38)=0,0,INT(('Base Data'!$D$7)/DW38))</f>
        <v>0</v>
      </c>
      <c r="DY38" s="376">
        <f t="shared" si="115"/>
        <v>1.9437980741770004E-2</v>
      </c>
      <c r="DZ38" s="135">
        <f t="shared" si="36"/>
        <v>1</v>
      </c>
      <c r="EA38" s="21">
        <f t="shared" si="37"/>
        <v>2800</v>
      </c>
      <c r="EB38" s="21">
        <f t="shared" si="79"/>
        <v>4555.0084180383319</v>
      </c>
      <c r="EC38" s="21">
        <f t="shared" si="75"/>
        <v>2816.6632722817976</v>
      </c>
      <c r="ED38" s="319">
        <f t="shared" si="76"/>
        <v>1.6171647008228602</v>
      </c>
      <c r="EE38" s="21">
        <f t="shared" si="63"/>
        <v>6468.6588032914406</v>
      </c>
      <c r="EF38" s="21">
        <f>EE38*'Base Data'!$D$13</f>
        <v>4851.4941024685804</v>
      </c>
      <c r="EG38" s="363">
        <f>IF(INT(('Base Data'!$D$7)/EF38)=0,0,INT(('Base Data'!$D$7)/EF38))</f>
        <v>2</v>
      </c>
      <c r="EH38" s="314">
        <f t="shared" si="64"/>
        <v>1.9685510661264276E-2</v>
      </c>
      <c r="EI38" s="143">
        <f t="shared" si="38"/>
        <v>19.700000000000045</v>
      </c>
      <c r="EJ38" s="118">
        <f t="shared" si="39"/>
        <v>41310.900000000096</v>
      </c>
      <c r="EK38" s="118">
        <f t="shared" si="80"/>
        <v>44701.873063316452</v>
      </c>
      <c r="EL38" s="118">
        <f t="shared" si="77"/>
        <v>2045.3576160797168</v>
      </c>
      <c r="EM38" s="329">
        <f t="shared" si="78"/>
        <v>21.855284724729632</v>
      </c>
      <c r="EN38" s="118">
        <f t="shared" si="65"/>
        <v>13113.17083483778</v>
      </c>
      <c r="EO38" s="118">
        <f>EN38*'Base Data'!$D$13</f>
        <v>9834.8781261283348</v>
      </c>
      <c r="EP38" s="375">
        <f>IF(INT(('Base Data'!$D$7)/EO38)=0,0,INT(('Base Data'!$D$7)/EO38))</f>
        <v>1</v>
      </c>
      <c r="EQ38" s="385">
        <f t="shared" si="66"/>
        <v>2.0572584105736934E-2</v>
      </c>
      <c r="ER38" s="397">
        <f t="shared" si="116"/>
        <v>-1.4483716756560119</v>
      </c>
      <c r="ES38" s="403">
        <f t="shared" si="67"/>
        <v>-0.51659343432463978</v>
      </c>
      <c r="ET38" s="405">
        <f t="shared" si="117"/>
        <v>-0.40328341124358946</v>
      </c>
      <c r="EU38" s="410">
        <f t="shared" si="68"/>
        <v>-0.32229047064438016</v>
      </c>
      <c r="EV38" s="20">
        <f t="shared" si="8"/>
        <v>1</v>
      </c>
      <c r="EW38" s="17">
        <f t="shared" si="9"/>
        <v>1.2224938875305624E-2</v>
      </c>
      <c r="EX38" s="388">
        <f t="shared" si="69"/>
        <v>1.8131043164042782E-2</v>
      </c>
      <c r="EY38" s="388">
        <f t="shared" si="103"/>
        <v>1.8133186652727906E-2</v>
      </c>
      <c r="EZ38" s="314">
        <f t="shared" si="118"/>
        <v>2.0458484294414023E-2</v>
      </c>
      <c r="FA38" s="442">
        <f t="shared" si="10"/>
        <v>19.700000000000045</v>
      </c>
      <c r="FB38" s="18">
        <f t="shared" si="11"/>
        <v>1.8577895133911771E-2</v>
      </c>
      <c r="FC38" s="394">
        <f t="shared" si="70"/>
        <v>1.995089144534927E-2</v>
      </c>
      <c r="FD38" s="394">
        <f t="shared" si="104"/>
        <v>1.8701987059546794E-2</v>
      </c>
      <c r="FE38" s="385">
        <f t="shared" si="119"/>
        <v>1.7073071823087503E-2</v>
      </c>
      <c r="FF38" s="416">
        <f t="shared" si="49"/>
        <v>1</v>
      </c>
      <c r="FG38" s="417">
        <f t="shared" si="50"/>
        <v>2</v>
      </c>
      <c r="FH38" s="415">
        <f t="shared" si="111"/>
        <v>80.813953488372022</v>
      </c>
      <c r="FI38" s="413" t="str">
        <f t="shared" si="120"/>
        <v>T-R</v>
      </c>
      <c r="FJ38" s="404">
        <f t="shared" si="112"/>
        <v>15.901639344262369</v>
      </c>
      <c r="FK38" s="414" t="str">
        <f t="shared" si="121"/>
        <v>C-D</v>
      </c>
      <c r="FL38" s="415">
        <f t="shared" si="71"/>
        <v>21.212121212120884</v>
      </c>
      <c r="FM38" s="413" t="str">
        <f t="shared" si="72"/>
        <v>C-D</v>
      </c>
      <c r="FN38" s="404">
        <f t="shared" si="73"/>
        <v>4.795918367347217</v>
      </c>
      <c r="FO38" s="414" t="str">
        <f t="shared" si="74"/>
        <v>C-D</v>
      </c>
      <c r="FQ38" s="135">
        <f>(FQ37+FT37)/2</f>
        <v>82.330277795517759</v>
      </c>
      <c r="FR38" s="21">
        <f t="shared" si="12"/>
        <v>82.5</v>
      </c>
      <c r="FS38" s="21">
        <f t="shared" si="13"/>
        <v>81.5</v>
      </c>
      <c r="FT38" s="182">
        <f t="shared" si="14"/>
        <v>81.987500000000011</v>
      </c>
      <c r="FU38" s="141">
        <f>(FU37+FX37)/2</f>
        <v>1057.36221192823</v>
      </c>
      <c r="FV38" s="118">
        <f t="shared" si="15"/>
        <v>1065</v>
      </c>
      <c r="FW38" s="118">
        <f t="shared" si="16"/>
        <v>1045.3</v>
      </c>
      <c r="FX38" s="181">
        <f t="shared" si="17"/>
        <v>1058.2624999999998</v>
      </c>
    </row>
    <row r="39" spans="1:180" x14ac:dyDescent="0.3">
      <c r="A39" s="107">
        <v>86.25</v>
      </c>
      <c r="B39" s="108">
        <f>A39/180</f>
        <v>0.47916666666666669</v>
      </c>
      <c r="C39" s="109">
        <f t="shared" ref="C39:C49" ca="1" si="141">POWER(SQRT($F$35)+B39,2)</f>
        <v>29.17926582693341</v>
      </c>
      <c r="D39" s="110" t="s">
        <v>34</v>
      </c>
      <c r="E39" s="269">
        <f t="shared" ref="E39:E49" ca="1" si="142">$D$35+(C39*B39)</f>
        <v>1189.6567315420723</v>
      </c>
      <c r="F39" s="264">
        <f t="shared" ref="F39:F49" ca="1" si="143">$D$35-(H39*I39)</f>
        <v>1166.2142135035197</v>
      </c>
      <c r="G39" s="110" t="s">
        <v>35</v>
      </c>
      <c r="H39" s="109">
        <f t="shared" ref="H39:H49" ca="1" si="144">POWER(SQRT($F$35)-I39,2)</f>
        <v>19.744250079611017</v>
      </c>
      <c r="I39" s="108">
        <f t="shared" ref="I39:I49" si="145">J39/180</f>
        <v>0.47916666666666669</v>
      </c>
      <c r="J39" s="111">
        <v>86.25</v>
      </c>
      <c r="L39" s="283">
        <f t="shared" si="40"/>
        <v>36</v>
      </c>
      <c r="M39" s="290">
        <f>'[6]ASHOKLEY-I'!C55</f>
        <v>42846</v>
      </c>
      <c r="N39" s="7">
        <f>'[6]ASHOKLEY-I'!D55</f>
        <v>82.75</v>
      </c>
      <c r="O39" s="7">
        <f>'[6]ASHOKLEY-I'!E55</f>
        <v>86.3</v>
      </c>
      <c r="P39" s="7">
        <f>'[6]ASHOKLEY-I'!F55</f>
        <v>82.35</v>
      </c>
      <c r="Q39" s="7">
        <f>'[6]ASHOKLEY-I'!G55</f>
        <v>85.8</v>
      </c>
      <c r="R39" s="11">
        <f>'[6]ASHOKLEY-I'!H55</f>
        <v>46</v>
      </c>
      <c r="S39" s="291">
        <f>'[7]ASIANPAINT-I'!C55</f>
        <v>42846</v>
      </c>
      <c r="T39" s="9">
        <f>'[7]ASIANPAINT-I'!D55</f>
        <v>1070</v>
      </c>
      <c r="U39" s="9">
        <f>'[7]ASIANPAINT-I'!E55</f>
        <v>1073.9000000000001</v>
      </c>
      <c r="V39" s="9">
        <f>'[7]ASIANPAINT-I'!F55</f>
        <v>1068.3</v>
      </c>
      <c r="W39" s="9">
        <f>'[7]ASIANPAINT-I'!G55</f>
        <v>1072.8499999999999</v>
      </c>
      <c r="X39" s="12">
        <f>'[7]ASIANPAINT-I'!H55</f>
        <v>17</v>
      </c>
      <c r="Y39" s="115"/>
      <c r="Z39" s="122">
        <f t="shared" si="18"/>
        <v>4.4430919050517242E-2</v>
      </c>
      <c r="AA39" s="19">
        <f t="shared" si="19"/>
        <v>9.8837482938767835E-3</v>
      </c>
      <c r="AB39" s="305">
        <f>IF(OR(SUM(Z19:Z39)=0,SUM('BNF-Nifty'!AA19:AA39)=0),0,(_xlfn.COVARIANCE.P(Z19:Z39,'BNF-Nifty'!AA19:AA39)/_xlfn.VAR.P('BNF-Nifty'!AA19:AA39)))</f>
        <v>0.80080099900333512</v>
      </c>
      <c r="AC39" s="306">
        <f>IF(OR(SUM(AA19:AA39)=0,SUM('BNF-Nifty'!AA19:AA39)=0),0,(_xlfn.COVARIANCE.P(AA19:AA39,'BNF-Nifty'!AA19:AA39)/_xlfn.VAR.P('BNF-Nifty'!AA19:AA39)))</f>
        <v>1.5218633169369151</v>
      </c>
      <c r="AD39" s="466">
        <f t="shared" si="20"/>
        <v>4.3472162010639387E-2</v>
      </c>
      <c r="AE39" s="17">
        <f t="shared" si="41"/>
        <v>1.0477980446360204E-2</v>
      </c>
      <c r="AF39" s="17">
        <f t="shared" si="42"/>
        <v>1.4717014709954089E-2</v>
      </c>
      <c r="AG39" s="314">
        <f t="shared" si="43"/>
        <v>0.28116817124302462</v>
      </c>
      <c r="AH39" s="467">
        <f t="shared" si="21"/>
        <v>9.8352235294423239E-3</v>
      </c>
      <c r="AI39" s="18">
        <f>AJ38</f>
        <v>1.0678119473860973E-2</v>
      </c>
      <c r="AJ39" s="18">
        <f>SQRT((0.94*(AI39^2))+(0.06*(AH39^2)))</f>
        <v>1.0629430778767589E-2</v>
      </c>
      <c r="AK39" s="385">
        <f>AJ39*SQRT(365)</f>
        <v>0.20307498988901437</v>
      </c>
      <c r="AL39" s="10">
        <f t="shared" si="23"/>
        <v>4.6851141465732889E-2</v>
      </c>
      <c r="AM39" s="17">
        <f t="shared" si="45"/>
        <v>2.1929995846468368E-2</v>
      </c>
      <c r="AN39" s="17">
        <f t="shared" si="46"/>
        <v>2.4161353483509146E-2</v>
      </c>
      <c r="AO39" s="314">
        <f t="shared" si="47"/>
        <v>0.46160201016308844</v>
      </c>
      <c r="AP39" s="448">
        <f t="shared" si="24"/>
        <v>5.228281912329275E-3</v>
      </c>
      <c r="AQ39" s="18">
        <f>AR38</f>
        <v>1.7284769669564645E-2</v>
      </c>
      <c r="AR39" s="18">
        <f>SQRT((0.94*(AQ39^2))+(0.06*(AP39^2)))</f>
        <v>1.680706883080435E-2</v>
      </c>
      <c r="AS39" s="385">
        <f>AR39*SQRT(365)</f>
        <v>0.32109859915521149</v>
      </c>
      <c r="AT39" s="6">
        <f t="shared" si="0"/>
        <v>3806.5</v>
      </c>
      <c r="AU39" s="319">
        <v>0</v>
      </c>
      <c r="AV39" s="140">
        <f t="shared" si="1"/>
        <v>18190</v>
      </c>
      <c r="AW39" s="481">
        <v>0</v>
      </c>
      <c r="AX39" s="135">
        <f t="shared" si="97"/>
        <v>218972.19288512363</v>
      </c>
      <c r="AY39" s="21">
        <f t="shared" si="98"/>
        <v>2607.2370751366889</v>
      </c>
      <c r="AZ39" s="319">
        <f t="shared" si="99"/>
        <v>83.986299126113664</v>
      </c>
      <c r="BA39" s="21">
        <f t="shared" si="2"/>
        <v>84.816666666666663</v>
      </c>
      <c r="BB39" s="21">
        <f t="shared" si="3"/>
        <v>3901.5666666666666</v>
      </c>
      <c r="BC39" s="21">
        <f t="shared" si="61"/>
        <v>148933.29891153274</v>
      </c>
      <c r="BD39" s="21">
        <f t="shared" si="57"/>
        <v>1807.096857840897</v>
      </c>
      <c r="BE39" s="332">
        <f t="shared" si="58"/>
        <v>82.41578101656205</v>
      </c>
      <c r="BF39" s="141">
        <f t="shared" si="100"/>
        <v>1966229.0959069107</v>
      </c>
      <c r="BG39" s="118">
        <f t="shared" si="101"/>
        <v>1842.8762566948774</v>
      </c>
      <c r="BH39" s="329">
        <f t="shared" si="102"/>
        <v>1066.9349549455162</v>
      </c>
      <c r="BI39" s="118">
        <f t="shared" si="4"/>
        <v>1071.6833333333332</v>
      </c>
      <c r="BJ39" s="118">
        <f t="shared" si="5"/>
        <v>18218.616666666665</v>
      </c>
      <c r="BK39" s="118">
        <f t="shared" si="62"/>
        <v>1430611.7809874094</v>
      </c>
      <c r="BL39" s="118">
        <f t="shared" si="59"/>
        <v>1350.1344573204328</v>
      </c>
      <c r="BM39" s="325">
        <f t="shared" si="60"/>
        <v>1059.6068956174167</v>
      </c>
      <c r="BN39" s="6">
        <f t="shared" si="6"/>
        <v>3946.7999999999997</v>
      </c>
      <c r="BO39" s="331">
        <f t="shared" si="87"/>
        <v>83.65446654280754</v>
      </c>
      <c r="BP39" s="319">
        <f t="shared" si="55"/>
        <v>82.039136646596589</v>
      </c>
      <c r="BQ39" s="331">
        <f t="shared" si="139"/>
        <v>86.948657524619563</v>
      </c>
      <c r="BR39" s="332">
        <f t="shared" si="88"/>
        <v>83.169815429598259</v>
      </c>
      <c r="BS39" s="140">
        <f t="shared" si="7"/>
        <v>18238.449999999997</v>
      </c>
      <c r="BT39" s="339">
        <f t="shared" si="89"/>
        <v>1073.6690632850821</v>
      </c>
      <c r="BU39" s="329">
        <f t="shared" si="56"/>
        <v>1055.5699471679566</v>
      </c>
      <c r="BV39" s="339">
        <f t="shared" si="140"/>
        <v>1062.3390433524605</v>
      </c>
      <c r="BW39" s="325">
        <f t="shared" si="90"/>
        <v>1073.1989033775972</v>
      </c>
      <c r="BX39" s="21">
        <f t="shared" si="91"/>
        <v>212308.99771589049</v>
      </c>
      <c r="BY39" s="21">
        <f t="shared" si="92"/>
        <v>2542.5504662862513</v>
      </c>
      <c r="BZ39" s="21">
        <f t="shared" si="93"/>
        <v>83.502373121426103</v>
      </c>
      <c r="CA39" s="21">
        <f t="shared" si="129"/>
        <v>250730.93626877488</v>
      </c>
      <c r="CB39" s="21">
        <f t="shared" si="130"/>
        <v>2929.1808791653898</v>
      </c>
      <c r="CC39" s="21">
        <f t="shared" si="135"/>
        <v>85.597628351382497</v>
      </c>
      <c r="CD39" s="342">
        <f t="shared" si="131"/>
        <v>-2.0952552299563934</v>
      </c>
      <c r="CE39" s="342">
        <f>((CD39-CE38)*(2/(1+9)))+CE38</f>
        <v>-2.1047651876867608</v>
      </c>
      <c r="CF39" s="343">
        <f>(CD39-CE39)</f>
        <v>9.5099577303674465E-3</v>
      </c>
      <c r="CG39" s="141">
        <f t="shared" si="94"/>
        <v>1918160.1635229192</v>
      </c>
      <c r="CH39" s="118">
        <f t="shared" si="95"/>
        <v>1800.3144255831423</v>
      </c>
      <c r="CI39" s="118">
        <f t="shared" si="96"/>
        <v>1065.458420076596</v>
      </c>
      <c r="CJ39" s="118">
        <f t="shared" si="132"/>
        <v>2345782.3531112173</v>
      </c>
      <c r="CK39" s="118">
        <f t="shared" si="133"/>
        <v>2211.0076109684419</v>
      </c>
      <c r="CL39" s="118">
        <f t="shared" si="136"/>
        <v>1060.9562542770907</v>
      </c>
      <c r="CM39" s="350">
        <f t="shared" si="134"/>
        <v>4.5021657995052919</v>
      </c>
      <c r="CN39" s="350">
        <f>((CM39-CN38)*(2/(1+9)))+CN38</f>
        <v>8.5958188019925412</v>
      </c>
      <c r="CO39" s="351">
        <f>(CM39-CN39)</f>
        <v>-4.0936530024872493</v>
      </c>
      <c r="CP39" s="20">
        <f t="shared" si="26"/>
        <v>2.7666666666666657</v>
      </c>
      <c r="CQ39" s="21">
        <f t="shared" si="27"/>
        <v>3901.5666666666666</v>
      </c>
      <c r="CR39" s="21">
        <f t="shared" si="28"/>
        <v>0</v>
      </c>
      <c r="CS39" s="21">
        <f t="shared" si="137"/>
        <v>92056.403571477975</v>
      </c>
      <c r="CT39" s="21">
        <f t="shared" si="137"/>
        <v>131789.01077981797</v>
      </c>
      <c r="CU39" s="21">
        <f t="shared" si="105"/>
        <v>0.69851350296025894</v>
      </c>
      <c r="CV39" s="342">
        <f t="shared" si="106"/>
        <v>41.124989689093006</v>
      </c>
      <c r="CW39" s="342">
        <v>0</v>
      </c>
      <c r="CX39" s="355">
        <f t="shared" ref="CX39:CX67" si="146">AVERAGE(CV19:CV39)</f>
        <v>36.525409520384265</v>
      </c>
      <c r="CY39" s="141">
        <f t="shared" si="29"/>
        <v>14.133333333333212</v>
      </c>
      <c r="CZ39" s="118">
        <f t="shared" si="30"/>
        <v>18218.616666666665</v>
      </c>
      <c r="DA39" s="118">
        <f t="shared" si="31"/>
        <v>0</v>
      </c>
      <c r="DB39" s="118">
        <f t="shared" si="138"/>
        <v>1011700.4545383096</v>
      </c>
      <c r="DC39" s="118">
        <f t="shared" si="138"/>
        <v>988891.68432279723</v>
      </c>
      <c r="DD39" s="118">
        <f t="shared" si="107"/>
        <v>1.0230649833314476</v>
      </c>
      <c r="DE39" s="350">
        <f t="shared" si="108"/>
        <v>50.570050480866556</v>
      </c>
      <c r="DF39" s="350">
        <v>0</v>
      </c>
      <c r="DG39" s="351">
        <f t="shared" ref="DG39:DG67" si="147">AVERAGE(DE19:DE39)</f>
        <v>54.289593799508509</v>
      </c>
      <c r="DH39" s="135">
        <f t="shared" si="32"/>
        <v>4.1499999999999915</v>
      </c>
      <c r="DI39" s="20">
        <f t="shared" si="33"/>
        <v>190.89999999999961</v>
      </c>
      <c r="DJ39" s="21">
        <f t="shared" si="127"/>
        <v>5555.7949432709884</v>
      </c>
      <c r="DK39" s="21">
        <f t="shared" si="122"/>
        <v>2763.4958917220856</v>
      </c>
      <c r="DL39" s="319">
        <f t="shared" si="123"/>
        <v>2.01042272576308</v>
      </c>
      <c r="DM39" s="21">
        <f t="shared" si="124"/>
        <v>8041.6909030523202</v>
      </c>
      <c r="DN39" s="21">
        <f>DM39*'Base Data'!$D$10</f>
        <v>16083.38180610464</v>
      </c>
      <c r="DO39" s="363">
        <f>IF(INT(('Base Data'!$D$7)/DN39)=0,0,INT(('Base Data'!$D$7)/DN39))</f>
        <v>0</v>
      </c>
      <c r="DP39" s="364">
        <f t="shared" si="113"/>
        <v>2.3431500300268998E-2</v>
      </c>
      <c r="DQ39" s="141">
        <f t="shared" si="34"/>
        <v>11.550000000000182</v>
      </c>
      <c r="DR39" s="143">
        <f t="shared" si="35"/>
        <v>196.35000000000309</v>
      </c>
      <c r="DS39" s="118">
        <f t="shared" si="128"/>
        <v>42456.493457815828</v>
      </c>
      <c r="DT39" s="118">
        <f t="shared" si="125"/>
        <v>2056.6916602821534</v>
      </c>
      <c r="DU39" s="329">
        <f t="shared" si="126"/>
        <v>20.643100897288274</v>
      </c>
      <c r="DV39" s="118">
        <f t="shared" si="114"/>
        <v>12385.860538372965</v>
      </c>
      <c r="DW39" s="118">
        <f>DV39*'Base Data'!$D$10</f>
        <v>24771.721076745929</v>
      </c>
      <c r="DX39" s="375">
        <f>IF(INT(('Base Data'!$D$7)/DW39)=0,0,INT(('Base Data'!$D$7)/DW39))</f>
        <v>0</v>
      </c>
      <c r="DY39" s="376">
        <f t="shared" si="115"/>
        <v>1.9241367290197396E-2</v>
      </c>
      <c r="DZ39" s="135">
        <f t="shared" si="36"/>
        <v>4.1499999999999915</v>
      </c>
      <c r="EA39" s="21">
        <f t="shared" si="37"/>
        <v>190.89999999999961</v>
      </c>
      <c r="EB39" s="21">
        <f t="shared" si="79"/>
        <v>3585.2065473631469</v>
      </c>
      <c r="EC39" s="21">
        <f t="shared" si="75"/>
        <v>2200.9603228858427</v>
      </c>
      <c r="ED39" s="319">
        <f t="shared" si="76"/>
        <v>1.6289282955643272</v>
      </c>
      <c r="EE39" s="21">
        <f t="shared" si="63"/>
        <v>6515.7131822573083</v>
      </c>
      <c r="EF39" s="21">
        <f>EE39*'Base Data'!$D$13</f>
        <v>4886.7848866929817</v>
      </c>
      <c r="EG39" s="363">
        <f>IF(INT(('Base Data'!$D$7)/EF39)=0,0,INT(('Base Data'!$D$7)/EF39))</f>
        <v>2</v>
      </c>
      <c r="EH39" s="314">
        <f t="shared" si="64"/>
        <v>1.8985178269980505E-2</v>
      </c>
      <c r="EI39" s="143">
        <f t="shared" si="38"/>
        <v>11.550000000000182</v>
      </c>
      <c r="EJ39" s="118">
        <f t="shared" si="39"/>
        <v>196.35000000000309</v>
      </c>
      <c r="EK39" s="118">
        <f t="shared" si="80"/>
        <v>34811.756827023914</v>
      </c>
      <c r="EL39" s="118">
        <f t="shared" si="77"/>
        <v>1594.6114791731131</v>
      </c>
      <c r="EM39" s="329">
        <f t="shared" si="78"/>
        <v>21.830870579882927</v>
      </c>
      <c r="EN39" s="118">
        <f t="shared" si="65"/>
        <v>13098.522347929757</v>
      </c>
      <c r="EO39" s="118">
        <f>EN39*'Base Data'!$D$13</f>
        <v>9823.8917609473174</v>
      </c>
      <c r="EP39" s="375">
        <f>IF(INT(('Base Data'!$D$7)/EO39)=0,0,INT(('Base Data'!$D$7)/EO39))</f>
        <v>1</v>
      </c>
      <c r="EQ39" s="385">
        <f t="shared" si="66"/>
        <v>2.0348483553043695E-2</v>
      </c>
      <c r="ER39" s="397">
        <f t="shared" si="116"/>
        <v>0.55741258108269875</v>
      </c>
      <c r="ES39" s="403">
        <f t="shared" si="67"/>
        <v>1.8903021545217353</v>
      </c>
      <c r="ET39" s="405">
        <f t="shared" si="117"/>
        <v>0.15759137250556682</v>
      </c>
      <c r="EU39" s="410">
        <f t="shared" si="68"/>
        <v>0.30948147373590179</v>
      </c>
      <c r="EV39" s="20">
        <f t="shared" si="8"/>
        <v>3.9500000000000028</v>
      </c>
      <c r="EW39" s="17">
        <f t="shared" si="9"/>
        <v>4.7734138972809703E-2</v>
      </c>
      <c r="EX39" s="388">
        <f t="shared" si="69"/>
        <v>2.0822051155060313E-2</v>
      </c>
      <c r="EY39" s="388">
        <f t="shared" si="103"/>
        <v>2.0201524918882094E-2</v>
      </c>
      <c r="EZ39" s="314">
        <f t="shared" si="118"/>
        <v>2.2251615318928459E-2</v>
      </c>
      <c r="FA39" s="442">
        <f t="shared" si="10"/>
        <v>5.6000000000001364</v>
      </c>
      <c r="FB39" s="18">
        <f t="shared" si="11"/>
        <v>5.2336448598132119E-3</v>
      </c>
      <c r="FC39" s="394">
        <f t="shared" si="70"/>
        <v>1.8150029422661008E-2</v>
      </c>
      <c r="FD39" s="394">
        <f t="shared" si="104"/>
        <v>1.82830769857159E-2</v>
      </c>
      <c r="FE39" s="385">
        <f t="shared" si="119"/>
        <v>1.6423572259152468E-2</v>
      </c>
      <c r="FF39" s="416">
        <f t="shared" si="49"/>
        <v>2</v>
      </c>
      <c r="FG39" s="417">
        <f t="shared" si="50"/>
        <v>2</v>
      </c>
      <c r="FH39" s="415">
        <f t="shared" si="111"/>
        <v>20.754716981132141</v>
      </c>
      <c r="FI39" s="413" t="str">
        <f t="shared" si="120"/>
        <v>C-D</v>
      </c>
      <c r="FJ39" s="404">
        <f t="shared" si="112"/>
        <v>20.737704918032563</v>
      </c>
      <c r="FK39" s="414" t="str">
        <f t="shared" si="121"/>
        <v>C-R</v>
      </c>
      <c r="FL39" s="415">
        <f t="shared" si="71"/>
        <v>56.862745098039113</v>
      </c>
      <c r="FM39" s="413" t="str">
        <f t="shared" si="72"/>
        <v>T-R</v>
      </c>
      <c r="FN39" s="404">
        <f t="shared" si="73"/>
        <v>11.836734693877922</v>
      </c>
      <c r="FO39" s="414" t="str">
        <f t="shared" si="74"/>
        <v>C-R</v>
      </c>
      <c r="FQ39" s="135">
        <f t="shared" si="51"/>
        <v>82.158888897758885</v>
      </c>
      <c r="FR39" s="21">
        <f t="shared" si="12"/>
        <v>86.3</v>
      </c>
      <c r="FS39" s="21">
        <f t="shared" si="13"/>
        <v>82.158888897758885</v>
      </c>
      <c r="FT39" s="182">
        <f t="shared" si="14"/>
        <v>84.3</v>
      </c>
      <c r="FU39" s="141">
        <f t="shared" si="52"/>
        <v>1057.8123559641149</v>
      </c>
      <c r="FV39" s="118">
        <f t="shared" si="15"/>
        <v>1073.9000000000001</v>
      </c>
      <c r="FW39" s="118">
        <f t="shared" si="16"/>
        <v>1057.8123559641149</v>
      </c>
      <c r="FX39" s="181">
        <f t="shared" si="17"/>
        <v>1071.2624999999998</v>
      </c>
    </row>
    <row r="40" spans="1:180" x14ac:dyDescent="0.3">
      <c r="A40" s="94">
        <v>82.5</v>
      </c>
      <c r="B40" s="24">
        <f t="shared" ref="B40:B49" si="148">A40/180</f>
        <v>0.45833333333333331</v>
      </c>
      <c r="C40" s="25">
        <f t="shared" ca="1" si="141"/>
        <v>28.954625538948136</v>
      </c>
      <c r="D40" s="26" t="s">
        <v>36</v>
      </c>
      <c r="E40" s="270">
        <f t="shared" ca="1" si="142"/>
        <v>1188.9458700386845</v>
      </c>
      <c r="F40" s="265">
        <f t="shared" ca="1" si="143"/>
        <v>1166.540495560685</v>
      </c>
      <c r="G40" s="26" t="s">
        <v>37</v>
      </c>
      <c r="H40" s="25">
        <f t="shared" ca="1" si="144"/>
        <v>19.929827867596291</v>
      </c>
      <c r="I40" s="24">
        <f t="shared" si="145"/>
        <v>0.45833333333333331</v>
      </c>
      <c r="J40" s="95">
        <v>82.5</v>
      </c>
      <c r="L40" s="283">
        <f t="shared" si="40"/>
        <v>37</v>
      </c>
      <c r="M40" s="290">
        <f>'[6]ASHOKLEY-I'!C56</f>
        <v>42849</v>
      </c>
      <c r="N40" s="7">
        <f>'[6]ASHOKLEY-I'!D56</f>
        <v>86.45</v>
      </c>
      <c r="O40" s="7">
        <f>'[6]ASHOKLEY-I'!E56</f>
        <v>87.7</v>
      </c>
      <c r="P40" s="7">
        <f>'[6]ASHOKLEY-I'!F56</f>
        <v>85.75</v>
      </c>
      <c r="Q40" s="7">
        <f>'[6]ASHOKLEY-I'!G56</f>
        <v>87.3</v>
      </c>
      <c r="R40" s="11">
        <f>'[6]ASHOKLEY-I'!H56</f>
        <v>8966</v>
      </c>
      <c r="S40" s="291">
        <f>'[7]ASIANPAINT-I'!C56</f>
        <v>42849</v>
      </c>
      <c r="T40" s="9">
        <f>'[7]ASIANPAINT-I'!D56</f>
        <v>1069</v>
      </c>
      <c r="U40" s="9">
        <f>'[7]ASIANPAINT-I'!E56</f>
        <v>1076.8499999999999</v>
      </c>
      <c r="V40" s="9">
        <f>'[7]ASIANPAINT-I'!F56</f>
        <v>1064.3</v>
      </c>
      <c r="W40" s="9">
        <f>'[7]ASIANPAINT-I'!G56</f>
        <v>1072.5999999999999</v>
      </c>
      <c r="X40" s="12">
        <f>'[7]ASIANPAINT-I'!H56</f>
        <v>2942</v>
      </c>
      <c r="Y40" s="115"/>
      <c r="Z40" s="122">
        <f t="shared" si="18"/>
        <v>1.7482517482517484E-2</v>
      </c>
      <c r="AA40" s="19">
        <f t="shared" si="19"/>
        <v>-2.3302418791070514E-4</v>
      </c>
      <c r="AB40" s="305">
        <f>IF(OR(SUM(Z20:Z40)=0,SUM('BNF-Nifty'!AA20:AA40)=0),0,(_xlfn.COVARIANCE.P(Z20:Z40,'BNF-Nifty'!AA20:AA40)/_xlfn.VAR.P('BNF-Nifty'!AA20:AA40)))</f>
        <v>0.7831215106666749</v>
      </c>
      <c r="AC40" s="306">
        <f>IF(OR(SUM(AA20:AA40)=0,SUM('BNF-Nifty'!AA20:AA40)=0),0,(_xlfn.COVARIANCE.P(AA20:AA40,'BNF-Nifty'!AA20:AA40)/_xlfn.VAR.P('BNF-Nifty'!AA20:AA40)))</f>
        <v>1.4349463692572866</v>
      </c>
      <c r="AD40" s="466">
        <f t="shared" si="20"/>
        <v>1.7331456351639941E-2</v>
      </c>
      <c r="AE40" s="17">
        <f t="shared" si="41"/>
        <v>1.4717014709954089E-2</v>
      </c>
      <c r="AF40" s="17">
        <f t="shared" si="42"/>
        <v>1.4886834902381123E-2</v>
      </c>
      <c r="AG40" s="314">
        <f t="shared" si="43"/>
        <v>0.2844125814638388</v>
      </c>
      <c r="AH40" s="467">
        <f t="shared" si="21"/>
        <v>-2.3305134226528503E-4</v>
      </c>
      <c r="AI40" s="18">
        <f t="shared" ref="AI40:AI67" si="149">AJ39</f>
        <v>1.0629430778767589E-2</v>
      </c>
      <c r="AJ40" s="18">
        <f t="shared" ref="AJ40:AJ67" si="150">SQRT((0.94*(AI40^2))+(0.06*(AH40^2)))</f>
        <v>1.0305773601989468E-2</v>
      </c>
      <c r="AK40" s="385">
        <f t="shared" ref="AK40:AK67" si="151">AJ40*SQRT(365)</f>
        <v>0.19689152820892009</v>
      </c>
      <c r="AL40" s="10">
        <f t="shared" si="23"/>
        <v>2.2485813332087986E-2</v>
      </c>
      <c r="AM40" s="17">
        <f t="shared" si="45"/>
        <v>2.4161353483509146E-2</v>
      </c>
      <c r="AN40" s="17">
        <f t="shared" si="46"/>
        <v>2.4064111246794574E-2</v>
      </c>
      <c r="AO40" s="314">
        <f t="shared" si="47"/>
        <v>0.45974419983922399</v>
      </c>
      <c r="AP40" s="448">
        <f t="shared" si="24"/>
        <v>1.1722806643603163E-2</v>
      </c>
      <c r="AQ40" s="18">
        <f t="shared" ref="AQ40:AQ67" si="152">AR39</f>
        <v>1.680706883080435E-2</v>
      </c>
      <c r="AR40" s="18">
        <f t="shared" ref="AR40:AR67" si="153">SQRT((0.94*(AQ40^2))+(0.06*(AP40^2)))</f>
        <v>1.6546128267923885E-2</v>
      </c>
      <c r="AS40" s="385">
        <f t="shared" ref="AS40:AS67" si="154">AR40*SQRT(365)</f>
        <v>0.31611333670123015</v>
      </c>
      <c r="AT40" s="6">
        <f t="shared" si="0"/>
        <v>775110.70000000007</v>
      </c>
      <c r="AU40" s="319">
        <v>0</v>
      </c>
      <c r="AV40" s="140">
        <f t="shared" si="1"/>
        <v>3144998</v>
      </c>
      <c r="AW40" s="481">
        <v>0</v>
      </c>
      <c r="AX40" s="135">
        <f t="shared" si="97"/>
        <v>298420.5510443917</v>
      </c>
      <c r="AY40" s="21">
        <f t="shared" si="98"/>
        <v>3515.6317786885902</v>
      </c>
      <c r="AZ40" s="319">
        <f t="shared" si="99"/>
        <v>84.883904182851964</v>
      </c>
      <c r="BA40" s="21">
        <f t="shared" si="2"/>
        <v>86.916666666666671</v>
      </c>
      <c r="BB40" s="21">
        <f t="shared" si="3"/>
        <v>779294.83333333337</v>
      </c>
      <c r="BC40" s="21">
        <f t="shared" si="61"/>
        <v>359053.81038546626</v>
      </c>
      <c r="BD40" s="21">
        <f t="shared" si="57"/>
        <v>4193.3979052272643</v>
      </c>
      <c r="BE40" s="332">
        <f t="shared" si="58"/>
        <v>85.623596543959991</v>
      </c>
      <c r="BF40" s="141">
        <f t="shared" si="100"/>
        <v>2134624.6536344951</v>
      </c>
      <c r="BG40" s="118">
        <f t="shared" si="101"/>
        <v>1999.8939343098948</v>
      </c>
      <c r="BH40" s="329">
        <f t="shared" si="102"/>
        <v>1067.3689324284551</v>
      </c>
      <c r="BI40" s="118">
        <f t="shared" si="4"/>
        <v>1071.2499999999998</v>
      </c>
      <c r="BJ40" s="118">
        <f t="shared" si="5"/>
        <v>3151617.4999999995</v>
      </c>
      <c r="BK40" s="118">
        <f t="shared" si="62"/>
        <v>2004280.353991606</v>
      </c>
      <c r="BL40" s="118">
        <f t="shared" si="59"/>
        <v>1880.7563048802886</v>
      </c>
      <c r="BM40" s="325">
        <f t="shared" si="60"/>
        <v>1065.6778599070972</v>
      </c>
      <c r="BN40" s="6">
        <f t="shared" si="6"/>
        <v>782731.79999999993</v>
      </c>
      <c r="BO40" s="331">
        <f t="shared" si="87"/>
        <v>84.178918573437315</v>
      </c>
      <c r="BP40" s="319">
        <f t="shared" si="55"/>
        <v>84.725056067044378</v>
      </c>
      <c r="BQ40" s="331">
        <f t="shared" si="139"/>
        <v>86.831401216143405</v>
      </c>
      <c r="BR40" s="332">
        <f t="shared" si="88"/>
        <v>84.0218368912182</v>
      </c>
      <c r="BS40" s="140">
        <f t="shared" si="7"/>
        <v>3155589.1999999997</v>
      </c>
      <c r="BT40" s="339">
        <f t="shared" si="89"/>
        <v>1072.3473494842888</v>
      </c>
      <c r="BU40" s="329">
        <f t="shared" si="56"/>
        <v>1059.4066540324279</v>
      </c>
      <c r="BV40" s="339">
        <f t="shared" si="140"/>
        <v>1063.5651541441121</v>
      </c>
      <c r="BW40" s="325">
        <f t="shared" si="90"/>
        <v>1070.9178899816102</v>
      </c>
      <c r="BX40" s="21">
        <f t="shared" si="91"/>
        <v>299537.58781088173</v>
      </c>
      <c r="BY40" s="21">
        <f t="shared" si="92"/>
        <v>3530.7734714729818</v>
      </c>
      <c r="BZ40" s="21">
        <f t="shared" si="93"/>
        <v>84.836251951875994</v>
      </c>
      <c r="CA40" s="21">
        <f t="shared" si="129"/>
        <v>289883.81753281626</v>
      </c>
      <c r="CB40" s="21">
        <f t="shared" si="130"/>
        <v>3376.3526658938795</v>
      </c>
      <c r="CC40" s="21">
        <f t="shared" si="135"/>
        <v>85.857090836827723</v>
      </c>
      <c r="CD40" s="342">
        <f t="shared" si="131"/>
        <v>-1.0208388849517291</v>
      </c>
      <c r="CE40" s="342">
        <f t="shared" ref="CE40:CE55" si="155">((CD40-CE39)*(2/(1+9)))+CE39</f>
        <v>-1.8879799271397544</v>
      </c>
      <c r="CF40" s="343">
        <f t="shared" ref="CF40:CF67" si="156">(CD40-CE40)</f>
        <v>0.86714104218802524</v>
      </c>
      <c r="CG40" s="141">
        <f t="shared" si="94"/>
        <v>2107922.8306732392</v>
      </c>
      <c r="CH40" s="118">
        <f t="shared" si="95"/>
        <v>1975.9583601088127</v>
      </c>
      <c r="CI40" s="118">
        <f t="shared" si="96"/>
        <v>1066.7850462988297</v>
      </c>
      <c r="CJ40" s="118">
        <f t="shared" si="132"/>
        <v>2405473.8454733491</v>
      </c>
      <c r="CK40" s="118">
        <f t="shared" si="133"/>
        <v>2265.1551953411499</v>
      </c>
      <c r="CL40" s="118">
        <f t="shared" si="136"/>
        <v>1061.9465943970633</v>
      </c>
      <c r="CM40" s="350">
        <f t="shared" si="134"/>
        <v>4.8384519017663479</v>
      </c>
      <c r="CN40" s="350">
        <f t="shared" ref="CN40:CN55" si="157">((CM40-CN39)*(2/(1+9)))+CN39</f>
        <v>7.8443454219473026</v>
      </c>
      <c r="CO40" s="351">
        <f t="shared" ref="CO40:CO67" si="158">(CM40-CN40)</f>
        <v>-3.0058935201809547</v>
      </c>
      <c r="CP40" s="20">
        <f t="shared" si="26"/>
        <v>2.1000000000000085</v>
      </c>
      <c r="CQ40" s="21">
        <f t="shared" si="27"/>
        <v>779294.83333333337</v>
      </c>
      <c r="CR40" s="21">
        <f t="shared" si="28"/>
        <v>0</v>
      </c>
      <c r="CS40" s="21">
        <f t="shared" si="137"/>
        <v>183688.19420639204</v>
      </c>
      <c r="CT40" s="21">
        <f t="shared" si="137"/>
        <v>114217.14267584225</v>
      </c>
      <c r="CU40" s="21">
        <f t="shared" si="105"/>
        <v>1.6082366438435114</v>
      </c>
      <c r="CV40" s="342">
        <f t="shared" si="106"/>
        <v>61.659920607265349</v>
      </c>
      <c r="CW40" s="342">
        <v>0</v>
      </c>
      <c r="CX40" s="355">
        <f t="shared" si="146"/>
        <v>37.760583853302975</v>
      </c>
      <c r="CY40" s="141">
        <f t="shared" si="29"/>
        <v>-0.43333333333339397</v>
      </c>
      <c r="CZ40" s="118">
        <f t="shared" si="30"/>
        <v>0</v>
      </c>
      <c r="DA40" s="118">
        <f t="shared" si="31"/>
        <v>3151617.4999999995</v>
      </c>
      <c r="DB40" s="118">
        <f t="shared" si="138"/>
        <v>876807.0605998683</v>
      </c>
      <c r="DC40" s="118">
        <f t="shared" si="138"/>
        <v>1277255.1264130909</v>
      </c>
      <c r="DD40" s="118">
        <f t="shared" si="107"/>
        <v>0.68647762100763776</v>
      </c>
      <c r="DE40" s="350">
        <f t="shared" si="108"/>
        <v>40.704816503730456</v>
      </c>
      <c r="DF40" s="350">
        <v>0</v>
      </c>
      <c r="DG40" s="351">
        <f t="shared" si="147"/>
        <v>54.041070228410177</v>
      </c>
      <c r="DH40" s="135">
        <f t="shared" si="32"/>
        <v>1.9500000000000028</v>
      </c>
      <c r="DI40" s="20">
        <f t="shared" si="33"/>
        <v>17483.700000000026</v>
      </c>
      <c r="DJ40" s="21">
        <f t="shared" si="127"/>
        <v>6640.149948428174</v>
      </c>
      <c r="DK40" s="21">
        <f t="shared" si="122"/>
        <v>3327.3599015655323</v>
      </c>
      <c r="DL40" s="319">
        <f t="shared" si="123"/>
        <v>1.9956211966442117</v>
      </c>
      <c r="DM40" s="21">
        <f t="shared" si="124"/>
        <v>7982.484786576847</v>
      </c>
      <c r="DN40" s="21">
        <f>DM40*'Base Data'!$D$10</f>
        <v>15964.969573153694</v>
      </c>
      <c r="DO40" s="363">
        <f>IF(INT(('Base Data'!$D$7)/DN40)=0,0,INT(('Base Data'!$D$7)/DN40))</f>
        <v>0</v>
      </c>
      <c r="DP40" s="364">
        <f t="shared" si="113"/>
        <v>2.2859349331548817E-2</v>
      </c>
      <c r="DQ40" s="141">
        <f t="shared" si="34"/>
        <v>12.549999999999955</v>
      </c>
      <c r="DR40" s="143">
        <f t="shared" si="35"/>
        <v>36922.099999999868</v>
      </c>
      <c r="DS40" s="118">
        <f t="shared" si="128"/>
        <v>41953.366779832562</v>
      </c>
      <c r="DT40" s="118">
        <f t="shared" si="125"/>
        <v>2137.1742366201393</v>
      </c>
      <c r="DU40" s="329">
        <f t="shared" si="126"/>
        <v>19.63029783017609</v>
      </c>
      <c r="DV40" s="118">
        <f t="shared" si="114"/>
        <v>11778.178698105654</v>
      </c>
      <c r="DW40" s="118">
        <f>DV40*'Base Data'!$D$10</f>
        <v>23556.357396211308</v>
      </c>
      <c r="DX40" s="375">
        <f>IF(INT(('Base Data'!$D$7)/DW40)=0,0,INT(('Base Data'!$D$7)/DW40))</f>
        <v>0</v>
      </c>
      <c r="DY40" s="376">
        <f t="shared" si="115"/>
        <v>1.8301601557128559E-2</v>
      </c>
      <c r="DZ40" s="135">
        <f t="shared" si="36"/>
        <v>1.9500000000000028</v>
      </c>
      <c r="EA40" s="21">
        <f t="shared" si="37"/>
        <v>17483.700000000026</v>
      </c>
      <c r="EB40" s="21">
        <f t="shared" si="79"/>
        <v>6673.7606479491205</v>
      </c>
      <c r="EC40" s="21">
        <f t="shared" si="75"/>
        <v>3704.3024733556554</v>
      </c>
      <c r="ED40" s="319">
        <f t="shared" si="76"/>
        <v>1.8016241103290604</v>
      </c>
      <c r="EE40" s="21">
        <f t="shared" si="63"/>
        <v>7206.4964413162415</v>
      </c>
      <c r="EF40" s="21">
        <f>EE40*'Base Data'!$D$13</f>
        <v>5404.8723309871812</v>
      </c>
      <c r="EG40" s="363">
        <f>IF(INT(('Base Data'!$D$7)/EF40)=0,0,INT(('Base Data'!$D$7)/EF40))</f>
        <v>1</v>
      </c>
      <c r="EH40" s="314">
        <f t="shared" si="64"/>
        <v>2.0637160484868963E-2</v>
      </c>
      <c r="EI40" s="143">
        <f t="shared" si="38"/>
        <v>12.549999999999955</v>
      </c>
      <c r="EJ40" s="118">
        <f t="shared" si="39"/>
        <v>36922.099999999868</v>
      </c>
      <c r="EK40" s="118">
        <f t="shared" si="80"/>
        <v>35280.721976574125</v>
      </c>
      <c r="EL40" s="118">
        <f t="shared" si="77"/>
        <v>1894.0311504679769</v>
      </c>
      <c r="EM40" s="329">
        <f t="shared" si="78"/>
        <v>18.627318757591169</v>
      </c>
      <c r="EN40" s="118">
        <f t="shared" si="65"/>
        <v>11176.391254554701</v>
      </c>
      <c r="EO40" s="118">
        <f>EN40*'Base Data'!$D$13</f>
        <v>8382.2934409160262</v>
      </c>
      <c r="EP40" s="375">
        <f>IF(INT(('Base Data'!$D$7)/EO40)=0,0,INT(('Base Data'!$D$7)/EO40))</f>
        <v>1</v>
      </c>
      <c r="EQ40" s="385">
        <f t="shared" si="66"/>
        <v>1.7366510122684291E-2</v>
      </c>
      <c r="ER40" s="397">
        <f t="shared" si="116"/>
        <v>1.4122188985530308</v>
      </c>
      <c r="ES40" s="403">
        <f t="shared" si="67"/>
        <v>2.4306772103903724</v>
      </c>
      <c r="ET40" s="405">
        <f t="shared" si="117"/>
        <v>0.16309417866628351</v>
      </c>
      <c r="EU40" s="410">
        <f t="shared" si="68"/>
        <v>0.34089715662443909</v>
      </c>
      <c r="EV40" s="20">
        <f t="shared" si="8"/>
        <v>1.9500000000000028</v>
      </c>
      <c r="EW40" s="17">
        <f t="shared" si="9"/>
        <v>2.2556390977443642E-2</v>
      </c>
      <c r="EX40" s="388">
        <f t="shared" si="69"/>
        <v>2.146049292736112E-2</v>
      </c>
      <c r="EY40" s="388">
        <f t="shared" si="103"/>
        <v>2.0449542556595406E-2</v>
      </c>
      <c r="EZ40" s="314">
        <f t="shared" si="118"/>
        <v>2.2409460007454689E-2</v>
      </c>
      <c r="FA40" s="442">
        <f t="shared" si="10"/>
        <v>12.549999999999955</v>
      </c>
      <c r="FB40" s="18">
        <f t="shared" si="11"/>
        <v>1.1739943872778255E-2</v>
      </c>
      <c r="FC40" s="394">
        <f t="shared" si="70"/>
        <v>1.711141854724095E-2</v>
      </c>
      <c r="FD40" s="394">
        <f t="shared" si="104"/>
        <v>1.7341591039043421E-2</v>
      </c>
      <c r="FE40" s="385">
        <f t="shared" si="119"/>
        <v>1.6333685024501752E-2</v>
      </c>
      <c r="FF40" s="416">
        <f t="shared" si="49"/>
        <v>2</v>
      </c>
      <c r="FG40" s="417">
        <f t="shared" si="50"/>
        <v>2</v>
      </c>
      <c r="FH40" s="415">
        <f t="shared" si="111"/>
        <v>1.2658227848102337</v>
      </c>
      <c r="FI40" s="413" t="str">
        <f t="shared" si="120"/>
        <v>C-D</v>
      </c>
      <c r="FJ40" s="404">
        <f t="shared" si="112"/>
        <v>12.049180327868704</v>
      </c>
      <c r="FK40" s="414" t="str">
        <f t="shared" si="121"/>
        <v>C-D</v>
      </c>
      <c r="FL40" s="415">
        <f t="shared" si="71"/>
        <v>67.692307692307566</v>
      </c>
      <c r="FM40" s="413" t="str">
        <f t="shared" si="72"/>
        <v>T-R</v>
      </c>
      <c r="FN40" s="404">
        <f t="shared" si="73"/>
        <v>5.0000000000000924</v>
      </c>
      <c r="FO40" s="414" t="str">
        <f t="shared" si="74"/>
        <v>C-D</v>
      </c>
      <c r="FQ40" s="135">
        <f t="shared" si="51"/>
        <v>83.229444448879434</v>
      </c>
      <c r="FR40" s="21">
        <f t="shared" si="12"/>
        <v>87.7</v>
      </c>
      <c r="FS40" s="21">
        <f t="shared" si="13"/>
        <v>83.229444448879434</v>
      </c>
      <c r="FT40" s="182">
        <f t="shared" si="14"/>
        <v>86.8</v>
      </c>
      <c r="FU40" s="141">
        <f t="shared" si="52"/>
        <v>1064.5374279820574</v>
      </c>
      <c r="FV40" s="118">
        <f t="shared" si="15"/>
        <v>1076.8499999999999</v>
      </c>
      <c r="FW40" s="118">
        <f t="shared" si="16"/>
        <v>1064.3</v>
      </c>
      <c r="FX40" s="181">
        <f t="shared" si="17"/>
        <v>1070.6875</v>
      </c>
    </row>
    <row r="41" spans="1:180" x14ac:dyDescent="0.3">
      <c r="A41" s="94">
        <v>75</v>
      </c>
      <c r="B41" s="24">
        <f t="shared" si="148"/>
        <v>0.41666666666666669</v>
      </c>
      <c r="C41" s="25">
        <f t="shared" ca="1" si="141"/>
        <v>28.50794912964427</v>
      </c>
      <c r="D41" s="26" t="s">
        <v>38</v>
      </c>
      <c r="E41" s="270">
        <f t="shared" ca="1" si="142"/>
        <v>1187.5533121373517</v>
      </c>
      <c r="F41" s="265">
        <f t="shared" ca="1" si="143"/>
        <v>1167.2151718290693</v>
      </c>
      <c r="G41" s="26" t="s">
        <v>39</v>
      </c>
      <c r="H41" s="25">
        <f t="shared" ca="1" si="144"/>
        <v>20.303587610233492</v>
      </c>
      <c r="I41" s="24">
        <f t="shared" si="145"/>
        <v>0.41666666666666669</v>
      </c>
      <c r="J41" s="95">
        <v>75</v>
      </c>
      <c r="L41" s="283">
        <f t="shared" si="40"/>
        <v>38</v>
      </c>
      <c r="M41" s="290">
        <f>'[6]ASHOKLEY-I'!C57</f>
        <v>42850</v>
      </c>
      <c r="N41" s="7">
        <f>'[6]ASHOKLEY-I'!D57</f>
        <v>87.9</v>
      </c>
      <c r="O41" s="7">
        <f>'[6]ASHOKLEY-I'!E57</f>
        <v>88.5</v>
      </c>
      <c r="P41" s="7">
        <f>'[6]ASHOKLEY-I'!F57</f>
        <v>87.05</v>
      </c>
      <c r="Q41" s="7">
        <f>'[6]ASHOKLEY-I'!G57</f>
        <v>88.05</v>
      </c>
      <c r="R41" s="11">
        <f>'[6]ASHOKLEY-I'!H57</f>
        <v>6828</v>
      </c>
      <c r="S41" s="291">
        <f>'[7]ASIANPAINT-I'!C57</f>
        <v>42850</v>
      </c>
      <c r="T41" s="9">
        <f>'[7]ASIANPAINT-I'!D57</f>
        <v>1074.5999999999999</v>
      </c>
      <c r="U41" s="9">
        <f>'[7]ASIANPAINT-I'!E57</f>
        <v>1100.9000000000001</v>
      </c>
      <c r="V41" s="9">
        <f>'[7]ASIANPAINT-I'!F57</f>
        <v>1069.5999999999999</v>
      </c>
      <c r="W41" s="9">
        <f>'[7]ASIANPAINT-I'!G57</f>
        <v>1098.05</v>
      </c>
      <c r="X41" s="12">
        <f>'[7]ASIANPAINT-I'!H57</f>
        <v>5623</v>
      </c>
      <c r="Y41" s="115"/>
      <c r="Z41" s="122">
        <f t="shared" si="18"/>
        <v>8.5910652920962206E-3</v>
      </c>
      <c r="AA41" s="19">
        <f t="shared" si="19"/>
        <v>2.3727391385418652E-2</v>
      </c>
      <c r="AB41" s="305">
        <f>IF(OR(SUM(Z21:Z41)=0,SUM('BNF-Nifty'!AA21:AA41)=0),0,(_xlfn.COVARIANCE.P(Z21:Z41,'BNF-Nifty'!AA21:AA41)/_xlfn.VAR.P('BNF-Nifty'!AA21:AA41)))</f>
        <v>0.90404698917940285</v>
      </c>
      <c r="AC41" s="306">
        <f>IF(OR(SUM(AA21:AA41)=0,SUM('BNF-Nifty'!AA21:AA41)=0),0,(_xlfn.COVARIANCE.P(AA21:AA41,'BNF-Nifty'!AA21:AA41)/_xlfn.VAR.P('BNF-Nifty'!AA21:AA41)))</f>
        <v>1.7081394210704484</v>
      </c>
      <c r="AD41" s="466">
        <f t="shared" si="20"/>
        <v>8.5543720966585954E-3</v>
      </c>
      <c r="AE41" s="17">
        <f t="shared" si="41"/>
        <v>1.4886834902381123E-2</v>
      </c>
      <c r="AF41" s="17">
        <f t="shared" si="42"/>
        <v>1.458462955046144E-2</v>
      </c>
      <c r="AG41" s="314">
        <f t="shared" si="43"/>
        <v>0.27863895632221003</v>
      </c>
      <c r="AH41" s="467">
        <f t="shared" si="21"/>
        <v>2.3450271824477176E-2</v>
      </c>
      <c r="AI41" s="18">
        <f t="shared" si="149"/>
        <v>1.0305773601989468E-2</v>
      </c>
      <c r="AJ41" s="18">
        <f t="shared" si="150"/>
        <v>1.1525248209121019E-2</v>
      </c>
      <c r="AK41" s="385">
        <f t="shared" si="151"/>
        <v>0.2201895578652045</v>
      </c>
      <c r="AL41" s="10">
        <f t="shared" si="23"/>
        <v>1.6519885799685712E-2</v>
      </c>
      <c r="AM41" s="17">
        <f t="shared" si="45"/>
        <v>2.4064111246794574E-2</v>
      </c>
      <c r="AN41" s="17">
        <f t="shared" si="46"/>
        <v>2.3679336154172444E-2</v>
      </c>
      <c r="AO41" s="314">
        <f t="shared" si="47"/>
        <v>0.45239308201644601</v>
      </c>
      <c r="AP41" s="448">
        <f t="shared" si="24"/>
        <v>2.8843280288624318E-2</v>
      </c>
      <c r="AQ41" s="18">
        <f t="shared" si="152"/>
        <v>1.6546128267923885E-2</v>
      </c>
      <c r="AR41" s="18">
        <f t="shared" si="153"/>
        <v>1.7528947147149573E-2</v>
      </c>
      <c r="AS41" s="385">
        <f t="shared" si="154"/>
        <v>0.3348900650242711</v>
      </c>
      <c r="AT41" s="6">
        <f t="shared" si="0"/>
        <v>600181.20000000007</v>
      </c>
      <c r="AU41" s="319">
        <v>0</v>
      </c>
      <c r="AV41" s="140">
        <f t="shared" si="1"/>
        <v>6042475.7999999998</v>
      </c>
      <c r="AW41" s="481">
        <v>0</v>
      </c>
      <c r="AX41" s="135">
        <f t="shared" si="97"/>
        <v>341529.21518090717</v>
      </c>
      <c r="AY41" s="21">
        <f t="shared" si="98"/>
        <v>3988.8272388759342</v>
      </c>
      <c r="AZ41" s="319">
        <f t="shared" si="99"/>
        <v>85.621460827456474</v>
      </c>
      <c r="BA41" s="21">
        <f t="shared" si="2"/>
        <v>87.866666666666674</v>
      </c>
      <c r="BB41" s="21">
        <f t="shared" si="3"/>
        <v>599953.60000000009</v>
      </c>
      <c r="BC41" s="21">
        <f t="shared" si="61"/>
        <v>439353.7402569775</v>
      </c>
      <c r="BD41" s="21">
        <f t="shared" si="57"/>
        <v>5071.5986034848429</v>
      </c>
      <c r="BE41" s="332">
        <f t="shared" si="58"/>
        <v>86.630227391238094</v>
      </c>
      <c r="BF41" s="141">
        <f t="shared" si="100"/>
        <v>2692889.1031152816</v>
      </c>
      <c r="BG41" s="118">
        <f t="shared" si="101"/>
        <v>2517.480515122767</v>
      </c>
      <c r="BH41" s="329">
        <f t="shared" si="102"/>
        <v>1069.676244538465</v>
      </c>
      <c r="BI41" s="118">
        <f t="shared" si="4"/>
        <v>1089.5166666666667</v>
      </c>
      <c r="BJ41" s="118">
        <f t="shared" si="5"/>
        <v>6126352.2166666668</v>
      </c>
      <c r="BK41" s="118">
        <f t="shared" si="62"/>
        <v>3378304.3082166258</v>
      </c>
      <c r="BL41" s="118">
        <f t="shared" si="59"/>
        <v>3128.1708699201922</v>
      </c>
      <c r="BM41" s="325">
        <f t="shared" si="60"/>
        <v>1079.9615649840814</v>
      </c>
      <c r="BN41" s="6">
        <f t="shared" si="6"/>
        <v>601205.4</v>
      </c>
      <c r="BO41" s="331">
        <f t="shared" si="87"/>
        <v>84.655990078353213</v>
      </c>
      <c r="BP41" s="319">
        <f t="shared" si="55"/>
        <v>86.141752456165094</v>
      </c>
      <c r="BQ41" s="331">
        <f t="shared" si="139"/>
        <v>86.869368982544216</v>
      </c>
      <c r="BR41" s="332">
        <f t="shared" si="88"/>
        <v>84.569811998701837</v>
      </c>
      <c r="BS41" s="140">
        <f t="shared" si="7"/>
        <v>6174335.1499999994</v>
      </c>
      <c r="BT41" s="339">
        <f t="shared" si="89"/>
        <v>1070.8302729528536</v>
      </c>
      <c r="BU41" s="329">
        <f t="shared" si="56"/>
        <v>1079.5568834258524</v>
      </c>
      <c r="BV41" s="339">
        <f t="shared" si="140"/>
        <v>1065.4431659223553</v>
      </c>
      <c r="BW41" s="325">
        <f t="shared" si="90"/>
        <v>1075.0241722793332</v>
      </c>
      <c r="BX41" s="21">
        <f t="shared" si="91"/>
        <v>345755.43583997688</v>
      </c>
      <c r="BY41" s="21">
        <f t="shared" si="92"/>
        <v>4038.039091246369</v>
      </c>
      <c r="BZ41" s="21">
        <f t="shared" si="93"/>
        <v>85.62458857555464</v>
      </c>
      <c r="CA41" s="21">
        <f t="shared" si="129"/>
        <v>312851.94956742245</v>
      </c>
      <c r="CB41" s="21">
        <f t="shared" si="130"/>
        <v>3632.0302461980364</v>
      </c>
      <c r="CC41" s="21">
        <f t="shared" si="135"/>
        <v>86.136933990269469</v>
      </c>
      <c r="CD41" s="342">
        <f t="shared" si="131"/>
        <v>-0.51234541471482942</v>
      </c>
      <c r="CE41" s="342">
        <f t="shared" si="155"/>
        <v>-1.6128530246547694</v>
      </c>
      <c r="CF41" s="343">
        <f t="shared" si="156"/>
        <v>1.10050760993994</v>
      </c>
      <c r="CG41" s="141">
        <f t="shared" si="94"/>
        <v>2726142.7362106899</v>
      </c>
      <c r="CH41" s="118">
        <f t="shared" si="95"/>
        <v>2537.0416893228416</v>
      </c>
      <c r="CI41" s="118">
        <f t="shared" si="96"/>
        <v>1074.5360423849877</v>
      </c>
      <c r="CJ41" s="118">
        <f t="shared" si="132"/>
        <v>2681094.4655617429</v>
      </c>
      <c r="CK41" s="118">
        <f t="shared" si="133"/>
        <v>2513.8844401306942</v>
      </c>
      <c r="CL41" s="118">
        <f t="shared" si="136"/>
        <v>1066.5146029633549</v>
      </c>
      <c r="CM41" s="350">
        <f t="shared" si="134"/>
        <v>8.0214394216327491</v>
      </c>
      <c r="CN41" s="350">
        <f t="shared" si="157"/>
        <v>7.8797642218843915</v>
      </c>
      <c r="CO41" s="351">
        <f t="shared" si="158"/>
        <v>0.14167519974835763</v>
      </c>
      <c r="CP41" s="20">
        <f t="shared" si="26"/>
        <v>0.95000000000000284</v>
      </c>
      <c r="CQ41" s="21">
        <f t="shared" si="27"/>
        <v>599953.60000000009</v>
      </c>
      <c r="CR41" s="21">
        <f t="shared" si="28"/>
        <v>0</v>
      </c>
      <c r="CS41" s="21">
        <f t="shared" si="137"/>
        <v>239190.24831220644</v>
      </c>
      <c r="CT41" s="21">
        <f t="shared" si="137"/>
        <v>98988.190319063287</v>
      </c>
      <c r="CU41" s="21">
        <f t="shared" si="105"/>
        <v>2.4163513601090942</v>
      </c>
      <c r="CV41" s="342">
        <f t="shared" si="106"/>
        <v>70.729006047900555</v>
      </c>
      <c r="CW41" s="342">
        <v>0</v>
      </c>
      <c r="CX41" s="355">
        <f t="shared" si="146"/>
        <v>39.629928951756952</v>
      </c>
      <c r="CY41" s="141">
        <f t="shared" si="29"/>
        <v>18.266666666666879</v>
      </c>
      <c r="CZ41" s="118">
        <f t="shared" si="30"/>
        <v>6126352.2166666668</v>
      </c>
      <c r="DA41" s="118">
        <f t="shared" si="31"/>
        <v>0</v>
      </c>
      <c r="DB41" s="118">
        <f t="shared" si="138"/>
        <v>1576746.414742108</v>
      </c>
      <c r="DC41" s="118">
        <f t="shared" si="138"/>
        <v>1106954.4428913454</v>
      </c>
      <c r="DD41" s="118">
        <f t="shared" si="107"/>
        <v>1.4244004573699296</v>
      </c>
      <c r="DE41" s="350">
        <f t="shared" si="108"/>
        <v>58.752688857152201</v>
      </c>
      <c r="DF41" s="350">
        <v>0</v>
      </c>
      <c r="DG41" s="351">
        <f t="shared" si="147"/>
        <v>54.419568438163381</v>
      </c>
      <c r="DH41" s="135">
        <f t="shared" si="32"/>
        <v>1.4500000000000028</v>
      </c>
      <c r="DI41" s="20">
        <f t="shared" si="33"/>
        <v>9900.6000000000186</v>
      </c>
      <c r="DJ41" s="21">
        <f t="shared" si="127"/>
        <v>6936.5544985710685</v>
      </c>
      <c r="DK41" s="21">
        <f t="shared" si="122"/>
        <v>3645.5999105141204</v>
      </c>
      <c r="DL41" s="319">
        <f t="shared" si="123"/>
        <v>1.9027196260800987</v>
      </c>
      <c r="DM41" s="21">
        <f t="shared" si="124"/>
        <v>7610.8785043203952</v>
      </c>
      <c r="DN41" s="21">
        <f>DM41*'Base Data'!$D$10</f>
        <v>15221.75700864079</v>
      </c>
      <c r="DO41" s="363">
        <f>IF(INT(('Base Data'!$D$7)/DN41)=0,0,INT(('Base Data'!$D$7)/DN41))</f>
        <v>0</v>
      </c>
      <c r="DP41" s="364">
        <f t="shared" si="113"/>
        <v>2.1609535787394649E-2</v>
      </c>
      <c r="DQ41" s="141">
        <f t="shared" si="34"/>
        <v>31.300000000000182</v>
      </c>
      <c r="DR41" s="143">
        <f t="shared" si="35"/>
        <v>175999.90000000101</v>
      </c>
      <c r="DS41" s="118">
        <f t="shared" si="128"/>
        <v>54139.415254393331</v>
      </c>
      <c r="DT41" s="118">
        <f t="shared" si="125"/>
        <v>2454.0674878364903</v>
      </c>
      <c r="DU41" s="329">
        <f t="shared" si="126"/>
        <v>22.061094702054312</v>
      </c>
      <c r="DV41" s="118">
        <f t="shared" si="114"/>
        <v>13236.656821232587</v>
      </c>
      <c r="DW41" s="118">
        <f>DV41*'Base Data'!$D$10</f>
        <v>26473.313642465175</v>
      </c>
      <c r="DX41" s="375">
        <f>IF(INT(('Base Data'!$D$7)/DW41)=0,0,INT(('Base Data'!$D$7)/DW41))</f>
        <v>0</v>
      </c>
      <c r="DY41" s="376">
        <f t="shared" si="115"/>
        <v>2.0091156779795376E-2</v>
      </c>
      <c r="DZ41" s="135">
        <f t="shared" si="36"/>
        <v>1.4500000000000028</v>
      </c>
      <c r="EA41" s="21">
        <f t="shared" si="37"/>
        <v>9900.6000000000186</v>
      </c>
      <c r="EB41" s="21">
        <f t="shared" si="79"/>
        <v>7390.8360595159866</v>
      </c>
      <c r="EC41" s="21">
        <f t="shared" si="75"/>
        <v>4398.4574792766207</v>
      </c>
      <c r="ED41" s="319">
        <f t="shared" si="76"/>
        <v>1.6803245443062687</v>
      </c>
      <c r="EE41" s="21">
        <f t="shared" si="63"/>
        <v>6721.2981772250751</v>
      </c>
      <c r="EF41" s="21">
        <f>EE41*'Base Data'!$D$13</f>
        <v>5040.9736329188063</v>
      </c>
      <c r="EG41" s="363">
        <f>IF(INT(('Base Data'!$D$7)/EF41)=0,0,INT(('Base Data'!$D$7)/EF41))</f>
        <v>2</v>
      </c>
      <c r="EH41" s="314">
        <f t="shared" si="64"/>
        <v>1.9083754052314238E-2</v>
      </c>
      <c r="EI41" s="143">
        <f t="shared" si="38"/>
        <v>31.300000000000182</v>
      </c>
      <c r="EJ41" s="118">
        <f t="shared" si="39"/>
        <v>175999.90000000101</v>
      </c>
      <c r="EK41" s="118">
        <f t="shared" si="80"/>
        <v>66551.650426224543</v>
      </c>
      <c r="EL41" s="118">
        <f t="shared" si="77"/>
        <v>2722.6908948084265</v>
      </c>
      <c r="EM41" s="329">
        <f t="shared" si="78"/>
        <v>24.443336756707829</v>
      </c>
      <c r="EN41" s="118">
        <f t="shared" si="65"/>
        <v>14666.002054024697</v>
      </c>
      <c r="EO41" s="118">
        <f>EN41*'Base Data'!$D$13</f>
        <v>10999.501540518522</v>
      </c>
      <c r="EP41" s="375">
        <f>IF(INT(('Base Data'!$D$7)/EO41)=0,0,INT(('Base Data'!$D$7)/EO41))</f>
        <v>0</v>
      </c>
      <c r="EQ41" s="385">
        <f t="shared" si="66"/>
        <v>2.2260677343206439E-2</v>
      </c>
      <c r="ER41" s="397">
        <f t="shared" si="116"/>
        <v>1.8953655372646014</v>
      </c>
      <c r="ES41" s="403">
        <f t="shared" si="67"/>
        <v>2.7648428686444029</v>
      </c>
      <c r="ET41" s="405">
        <f t="shared" si="117"/>
        <v>1.2749227024337721</v>
      </c>
      <c r="EU41" s="410">
        <f t="shared" si="68"/>
        <v>1.3136674827283878</v>
      </c>
      <c r="EV41" s="20">
        <f t="shared" si="8"/>
        <v>1.4500000000000028</v>
      </c>
      <c r="EW41" s="17">
        <f t="shared" si="9"/>
        <v>1.6496018202502877E-2</v>
      </c>
      <c r="EX41" s="388">
        <f t="shared" si="69"/>
        <v>2.1039051494064702E-2</v>
      </c>
      <c r="EY41" s="388">
        <f t="shared" si="103"/>
        <v>2.0330448765599606E-2</v>
      </c>
      <c r="EZ41" s="314">
        <f t="shared" si="118"/>
        <v>2.2676199187914629E-2</v>
      </c>
      <c r="FA41" s="442">
        <f t="shared" si="10"/>
        <v>31.300000000000182</v>
      </c>
      <c r="FB41" s="18">
        <f t="shared" si="11"/>
        <v>2.9127117066815731E-2</v>
      </c>
      <c r="FC41" s="394">
        <f t="shared" si="70"/>
        <v>1.8539201024493558E-2</v>
      </c>
      <c r="FD41" s="394">
        <f t="shared" si="104"/>
        <v>1.8138777265063001E-2</v>
      </c>
      <c r="FE41" s="385">
        <f t="shared" si="119"/>
        <v>1.7121483877264688E-2</v>
      </c>
      <c r="FF41" s="416">
        <f t="shared" si="49"/>
        <v>2</v>
      </c>
      <c r="FG41" s="417">
        <f t="shared" si="50"/>
        <v>2</v>
      </c>
      <c r="FH41" s="415">
        <f t="shared" si="111"/>
        <v>8.2278481012657085</v>
      </c>
      <c r="FI41" s="413" t="str">
        <f t="shared" si="120"/>
        <v>C-R</v>
      </c>
      <c r="FJ41" s="404">
        <f t="shared" si="112"/>
        <v>47.919876733435842</v>
      </c>
      <c r="FK41" s="414" t="str">
        <f t="shared" si="121"/>
        <v>T-R</v>
      </c>
      <c r="FL41" s="415">
        <f t="shared" si="71"/>
        <v>68.493150684931535</v>
      </c>
      <c r="FM41" s="413" t="str">
        <f t="shared" si="72"/>
        <v>T-R</v>
      </c>
      <c r="FN41" s="404">
        <f t="shared" si="73"/>
        <v>26.348228043143116</v>
      </c>
      <c r="FO41" s="414" t="str">
        <f t="shared" si="74"/>
        <v>C-R</v>
      </c>
      <c r="FQ41" s="135">
        <f t="shared" si="51"/>
        <v>85.014722224439708</v>
      </c>
      <c r="FR41" s="21">
        <f t="shared" si="12"/>
        <v>88.5</v>
      </c>
      <c r="FS41" s="21">
        <f t="shared" si="13"/>
        <v>85.014722224439708</v>
      </c>
      <c r="FT41" s="182">
        <f t="shared" si="14"/>
        <v>87.875</v>
      </c>
      <c r="FU41" s="141">
        <f t="shared" si="52"/>
        <v>1067.6124639910286</v>
      </c>
      <c r="FV41" s="118">
        <f t="shared" si="15"/>
        <v>1100.9000000000001</v>
      </c>
      <c r="FW41" s="118">
        <f t="shared" si="16"/>
        <v>1067.6124639910286</v>
      </c>
      <c r="FX41" s="181">
        <f t="shared" si="17"/>
        <v>1085.7874999999999</v>
      </c>
    </row>
    <row r="42" spans="1:180" x14ac:dyDescent="0.3">
      <c r="A42" s="94">
        <v>71.25</v>
      </c>
      <c r="B42" s="24">
        <f t="shared" si="148"/>
        <v>0.39583333333333331</v>
      </c>
      <c r="C42" s="25">
        <f t="shared" ca="1" si="141"/>
        <v>28.285913008325661</v>
      </c>
      <c r="D42" s="26" t="s">
        <v>40</v>
      </c>
      <c r="E42" s="270">
        <f t="shared" ca="1" si="142"/>
        <v>1186.8715072324621</v>
      </c>
      <c r="F42" s="265">
        <f t="shared" ca="1" si="143"/>
        <v>1167.5636745472327</v>
      </c>
      <c r="G42" s="26" t="s">
        <v>41</v>
      </c>
      <c r="H42" s="25">
        <f t="shared" ca="1" si="144"/>
        <v>20.491769564885431</v>
      </c>
      <c r="I42" s="24">
        <f t="shared" si="145"/>
        <v>0.39583333333333331</v>
      </c>
      <c r="J42" s="95">
        <v>71.25</v>
      </c>
      <c r="L42" s="283">
        <f t="shared" si="40"/>
        <v>39</v>
      </c>
      <c r="M42" s="290">
        <f>'[6]ASHOKLEY-I'!C58</f>
        <v>42851</v>
      </c>
      <c r="N42" s="7">
        <f>'[6]ASHOKLEY-I'!D58</f>
        <v>87.95</v>
      </c>
      <c r="O42" s="7">
        <f>'[6]ASHOKLEY-I'!E58</f>
        <v>88.8</v>
      </c>
      <c r="P42" s="7">
        <f>'[6]ASHOKLEY-I'!F58</f>
        <v>86.2</v>
      </c>
      <c r="Q42" s="7">
        <f>'[6]ASHOKLEY-I'!G58</f>
        <v>87.8</v>
      </c>
      <c r="R42" s="11">
        <f>'[6]ASHOKLEY-I'!H58</f>
        <v>3996</v>
      </c>
      <c r="S42" s="291">
        <f>'[7]ASIANPAINT-I'!C58</f>
        <v>42851</v>
      </c>
      <c r="T42" s="9">
        <f>'[7]ASIANPAINT-I'!D58</f>
        <v>1102.75</v>
      </c>
      <c r="U42" s="9">
        <f>'[7]ASIANPAINT-I'!E58</f>
        <v>1121.7</v>
      </c>
      <c r="V42" s="9">
        <f>'[7]ASIANPAINT-I'!F58</f>
        <v>1095.1500000000001</v>
      </c>
      <c r="W42" s="9">
        <f>'[7]ASIANPAINT-I'!G58</f>
        <v>1106.9000000000001</v>
      </c>
      <c r="X42" s="12">
        <f>'[7]ASIANPAINT-I'!H58</f>
        <v>7119</v>
      </c>
      <c r="Y42" s="115"/>
      <c r="Z42" s="122">
        <f t="shared" si="18"/>
        <v>-2.8392958546280523E-3</v>
      </c>
      <c r="AA42" s="19">
        <f t="shared" si="19"/>
        <v>8.0597422703885396E-3</v>
      </c>
      <c r="AB42" s="305">
        <f>IF(OR(SUM(Z22:Z42)=0,SUM('BNF-Nifty'!AA22:AA42)=0),0,(_xlfn.COVARIANCE.P(Z22:Z42,'BNF-Nifty'!AA22:AA42)/_xlfn.VAR.P('BNF-Nifty'!AA22:AA42)))</f>
        <v>0.8350700293975778</v>
      </c>
      <c r="AC42" s="306">
        <f>IF(OR(SUM(AA22:AA42)=0,SUM('BNF-Nifty'!AA22:AA42)=0),0,(_xlfn.COVARIANCE.P(AA22:AA42,'BNF-Nifty'!AA22:AA42)/_xlfn.VAR.P('BNF-Nifty'!AA22:AA42)))</f>
        <v>1.7019316014641566</v>
      </c>
      <c r="AD42" s="466">
        <f t="shared" si="20"/>
        <v>-2.8433343011441733E-3</v>
      </c>
      <c r="AE42" s="17">
        <f t="shared" si="41"/>
        <v>1.458462955046144E-2</v>
      </c>
      <c r="AF42" s="17">
        <f t="shared" si="42"/>
        <v>1.4157464708542461E-2</v>
      </c>
      <c r="AG42" s="314">
        <f t="shared" si="43"/>
        <v>0.27047798347624008</v>
      </c>
      <c r="AH42" s="467">
        <f t="shared" si="21"/>
        <v>8.0274360182763672E-3</v>
      </c>
      <c r="AI42" s="18">
        <f t="shared" si="149"/>
        <v>1.1525248209121019E-2</v>
      </c>
      <c r="AJ42" s="18">
        <f t="shared" si="150"/>
        <v>1.1345829597106932E-2</v>
      </c>
      <c r="AK42" s="385">
        <f t="shared" si="151"/>
        <v>0.21676177009566167</v>
      </c>
      <c r="AL42" s="10">
        <f t="shared" si="23"/>
        <v>2.9716472328476871E-2</v>
      </c>
      <c r="AM42" s="17">
        <f t="shared" si="45"/>
        <v>2.3679336154172444E-2</v>
      </c>
      <c r="AN42" s="17">
        <f t="shared" si="46"/>
        <v>2.4084277583500575E-2</v>
      </c>
      <c r="AO42" s="314">
        <f t="shared" si="47"/>
        <v>0.46012947716102098</v>
      </c>
      <c r="AP42" s="448">
        <f t="shared" si="24"/>
        <v>2.395405148097314E-2</v>
      </c>
      <c r="AQ42" s="18">
        <f t="shared" si="152"/>
        <v>1.7528947147149573E-2</v>
      </c>
      <c r="AR42" s="18">
        <f t="shared" si="153"/>
        <v>1.7979319891016348E-2</v>
      </c>
      <c r="AS42" s="385">
        <f t="shared" si="154"/>
        <v>0.34349442421439108</v>
      </c>
      <c r="AT42" s="6">
        <f t="shared" si="0"/>
        <v>351448.2</v>
      </c>
      <c r="AU42" s="319">
        <v>0</v>
      </c>
      <c r="AV42" s="140">
        <f t="shared" si="1"/>
        <v>7850477.25</v>
      </c>
      <c r="AW42" s="481">
        <v>0</v>
      </c>
      <c r="AX42" s="135">
        <f t="shared" si="97"/>
        <v>342946.21301220614</v>
      </c>
      <c r="AY42" s="21">
        <f t="shared" si="98"/>
        <v>3989.851919036515</v>
      </c>
      <c r="AZ42" s="319">
        <f t="shared" si="99"/>
        <v>85.95462186852842</v>
      </c>
      <c r="BA42" s="21">
        <f t="shared" si="2"/>
        <v>87.600000000000009</v>
      </c>
      <c r="BB42" s="21">
        <f t="shared" si="3"/>
        <v>350049.60000000003</v>
      </c>
      <c r="BC42" s="21">
        <f t="shared" si="61"/>
        <v>409585.69350465166</v>
      </c>
      <c r="BD42" s="21">
        <f t="shared" si="57"/>
        <v>4713.0657356565616</v>
      </c>
      <c r="BE42" s="332">
        <f t="shared" si="58"/>
        <v>86.90430316003085</v>
      </c>
      <c r="BF42" s="141">
        <f t="shared" si="100"/>
        <v>3429687.4098130986</v>
      </c>
      <c r="BG42" s="118">
        <f t="shared" si="101"/>
        <v>3174.8404415338005</v>
      </c>
      <c r="BH42" s="329">
        <f t="shared" si="102"/>
        <v>1080.2707956423092</v>
      </c>
      <c r="BI42" s="118">
        <f t="shared" si="4"/>
        <v>1107.9166666666667</v>
      </c>
      <c r="BJ42" s="118">
        <f t="shared" si="5"/>
        <v>7887258.7500000009</v>
      </c>
      <c r="BK42" s="118">
        <f t="shared" si="62"/>
        <v>4881289.1221444178</v>
      </c>
      <c r="BL42" s="118">
        <f t="shared" si="59"/>
        <v>4458.4472466134612</v>
      </c>
      <c r="BM42" s="325">
        <f t="shared" si="60"/>
        <v>1094.8406142636627</v>
      </c>
      <c r="BN42" s="6">
        <f t="shared" si="6"/>
        <v>350848.8</v>
      </c>
      <c r="BO42" s="331">
        <f t="shared" si="87"/>
        <v>84.929086787137109</v>
      </c>
      <c r="BP42" s="319">
        <f t="shared" si="55"/>
        <v>86.974412440360496</v>
      </c>
      <c r="BQ42" s="331">
        <f t="shared" si="139"/>
        <v>86.855480190384569</v>
      </c>
      <c r="BR42" s="332">
        <f t="shared" si="88"/>
        <v>84.845300772566191</v>
      </c>
      <c r="BS42" s="140">
        <f t="shared" si="7"/>
        <v>7880021.1000000006</v>
      </c>
      <c r="BT42" s="339">
        <f t="shared" si="89"/>
        <v>1077.32209375</v>
      </c>
      <c r="BU42" s="329">
        <f t="shared" si="56"/>
        <v>1093.1527053601528</v>
      </c>
      <c r="BV42" s="339">
        <f t="shared" si="140"/>
        <v>1069.4893536461414</v>
      </c>
      <c r="BW42" s="325">
        <f t="shared" si="90"/>
        <v>1081.1204404761902</v>
      </c>
      <c r="BX42" s="21">
        <f t="shared" si="91"/>
        <v>346416.07647998043</v>
      </c>
      <c r="BY42" s="21">
        <f t="shared" si="92"/>
        <v>4031.5715387469277</v>
      </c>
      <c r="BZ42" s="21">
        <f t="shared" si="93"/>
        <v>85.925816558287266</v>
      </c>
      <c r="CA42" s="21">
        <f t="shared" si="129"/>
        <v>315607.33108094672</v>
      </c>
      <c r="CB42" s="21">
        <f t="shared" si="130"/>
        <v>3658.9909687018853</v>
      </c>
      <c r="CC42" s="21">
        <f t="shared" si="135"/>
        <v>86.255291084502446</v>
      </c>
      <c r="CD42" s="342">
        <f t="shared" si="131"/>
        <v>-0.32947452621517925</v>
      </c>
      <c r="CE42" s="342">
        <f t="shared" si="155"/>
        <v>-1.3561773249668514</v>
      </c>
      <c r="CF42" s="343">
        <f t="shared" si="156"/>
        <v>1.0267027987516721</v>
      </c>
      <c r="CG42" s="141">
        <f t="shared" si="94"/>
        <v>3520160.5844859686</v>
      </c>
      <c r="CH42" s="118">
        <f t="shared" si="95"/>
        <v>3241.9583525039429</v>
      </c>
      <c r="CI42" s="118">
        <f t="shared" si="96"/>
        <v>1085.8130184698871</v>
      </c>
      <c r="CJ42" s="118">
        <f t="shared" si="132"/>
        <v>3066736.2644090215</v>
      </c>
      <c r="CK42" s="118">
        <f t="shared" si="133"/>
        <v>2855.0041112321242</v>
      </c>
      <c r="CL42" s="118">
        <f t="shared" si="136"/>
        <v>1074.1617682243971</v>
      </c>
      <c r="CM42" s="350">
        <f t="shared" si="134"/>
        <v>11.651250245490019</v>
      </c>
      <c r="CN42" s="350">
        <f t="shared" si="157"/>
        <v>8.6340614266055162</v>
      </c>
      <c r="CO42" s="351">
        <f t="shared" si="158"/>
        <v>3.0171888188845024</v>
      </c>
      <c r="CP42" s="20">
        <f t="shared" si="26"/>
        <v>-0.26666666666666572</v>
      </c>
      <c r="CQ42" s="21">
        <f t="shared" si="27"/>
        <v>0</v>
      </c>
      <c r="CR42" s="21">
        <f t="shared" si="28"/>
        <v>350049.60000000003</v>
      </c>
      <c r="CS42" s="21">
        <f t="shared" si="137"/>
        <v>207298.21520391226</v>
      </c>
      <c r="CT42" s="21">
        <f t="shared" si="137"/>
        <v>132463.0449431882</v>
      </c>
      <c r="CU42" s="21">
        <f t="shared" si="105"/>
        <v>1.5649513061761486</v>
      </c>
      <c r="CV42" s="342">
        <f t="shared" si="106"/>
        <v>61.012905095231282</v>
      </c>
      <c r="CW42" s="342">
        <v>0</v>
      </c>
      <c r="CX42" s="355">
        <f t="shared" si="146"/>
        <v>40.486809082890439</v>
      </c>
      <c r="CY42" s="141">
        <f t="shared" si="29"/>
        <v>18.400000000000091</v>
      </c>
      <c r="CZ42" s="118">
        <f t="shared" si="30"/>
        <v>7887258.7500000009</v>
      </c>
      <c r="DA42" s="118">
        <f t="shared" si="31"/>
        <v>0</v>
      </c>
      <c r="DB42" s="118">
        <f t="shared" si="138"/>
        <v>2418148.0594431604</v>
      </c>
      <c r="DC42" s="118">
        <f t="shared" si="138"/>
        <v>959360.51717249933</v>
      </c>
      <c r="DD42" s="118">
        <f t="shared" si="107"/>
        <v>2.5205832595342899</v>
      </c>
      <c r="DE42" s="350">
        <f t="shared" si="108"/>
        <v>71.595615661358281</v>
      </c>
      <c r="DF42" s="350">
        <v>0</v>
      </c>
      <c r="DG42" s="351">
        <f t="shared" si="147"/>
        <v>55.217436090522988</v>
      </c>
      <c r="DH42" s="135">
        <f t="shared" si="32"/>
        <v>2.5999999999999943</v>
      </c>
      <c r="DI42" s="20">
        <f t="shared" si="33"/>
        <v>10389.599999999977</v>
      </c>
      <c r="DJ42" s="21">
        <f t="shared" si="127"/>
        <v>7250.4677259736964</v>
      </c>
      <c r="DK42" s="21">
        <f t="shared" si="122"/>
        <v>3677.454464103746</v>
      </c>
      <c r="DL42" s="319">
        <f t="shared" si="123"/>
        <v>1.9715995933455428</v>
      </c>
      <c r="DM42" s="21">
        <f t="shared" si="124"/>
        <v>7886.3983733821715</v>
      </c>
      <c r="DN42" s="21">
        <f>DM42*'Base Data'!$D$10</f>
        <v>15772.796746764343</v>
      </c>
      <c r="DO42" s="363">
        <f>IF(INT(('Base Data'!$D$7)/DN42)=0,0,INT(('Base Data'!$D$7)/DN42))</f>
        <v>0</v>
      </c>
      <c r="DP42" s="364">
        <f t="shared" si="113"/>
        <v>2.2455576234003904E-2</v>
      </c>
      <c r="DQ42" s="141">
        <f t="shared" si="34"/>
        <v>26.549999999999955</v>
      </c>
      <c r="DR42" s="143">
        <f t="shared" si="35"/>
        <v>189009.44999999966</v>
      </c>
      <c r="DS42" s="118">
        <f t="shared" si="128"/>
        <v>66400.327503993904</v>
      </c>
      <c r="DT42" s="118">
        <f t="shared" si="125"/>
        <v>2878.1522616695365</v>
      </c>
      <c r="DU42" s="329">
        <f t="shared" si="126"/>
        <v>23.070470728145882</v>
      </c>
      <c r="DV42" s="118">
        <f t="shared" si="114"/>
        <v>13842.282436887528</v>
      </c>
      <c r="DW42" s="118">
        <f>DV42*'Base Data'!$D$10</f>
        <v>27684.564873775056</v>
      </c>
      <c r="DX42" s="375">
        <f>IF(INT(('Base Data'!$D$7)/DW42)=0,0,INT(('Base Data'!$D$7)/DW42))</f>
        <v>0</v>
      </c>
      <c r="DY42" s="376">
        <f t="shared" si="115"/>
        <v>2.0842416413538602E-2</v>
      </c>
      <c r="DZ42" s="135">
        <f t="shared" si="36"/>
        <v>2.5999999999999943</v>
      </c>
      <c r="EA42" s="21">
        <f t="shared" si="37"/>
        <v>10389.599999999977</v>
      </c>
      <c r="EB42" s="21">
        <f t="shared" si="79"/>
        <v>8057.2280462902063</v>
      </c>
      <c r="EC42" s="21">
        <f t="shared" si="75"/>
        <v>4309.0224838818158</v>
      </c>
      <c r="ED42" s="319">
        <f t="shared" si="76"/>
        <v>1.8698505464821318</v>
      </c>
      <c r="EE42" s="21">
        <f t="shared" si="63"/>
        <v>7479.4021859285267</v>
      </c>
      <c r="EF42" s="21">
        <f>EE42*'Base Data'!$D$13</f>
        <v>5609.5516394463948</v>
      </c>
      <c r="EG42" s="363">
        <f>IF(INT(('Base Data'!$D$7)/EF42)=0,0,INT(('Base Data'!$D$7)/EF42))</f>
        <v>1</v>
      </c>
      <c r="EH42" s="314">
        <f t="shared" si="64"/>
        <v>2.1296703262894439E-2</v>
      </c>
      <c r="EI42" s="143">
        <f t="shared" si="38"/>
        <v>26.549999999999955</v>
      </c>
      <c r="EJ42" s="118">
        <f t="shared" si="39"/>
        <v>189009.44999999966</v>
      </c>
      <c r="EK42" s="118">
        <f t="shared" si="80"/>
        <v>93764.494775952349</v>
      </c>
      <c r="EL42" s="118">
        <f t="shared" si="77"/>
        <v>3699.6484737398873</v>
      </c>
      <c r="EM42" s="329">
        <f t="shared" si="78"/>
        <v>25.344163220233742</v>
      </c>
      <c r="EN42" s="118">
        <f t="shared" si="65"/>
        <v>15206.497932140246</v>
      </c>
      <c r="EO42" s="118">
        <f>EN42*'Base Data'!$D$13</f>
        <v>11404.873449105184</v>
      </c>
      <c r="EP42" s="375">
        <f>IF(INT(('Base Data'!$D$7)/EO42)=0,0,INT(('Base Data'!$D$7)/EO42))</f>
        <v>0</v>
      </c>
      <c r="EQ42" s="385">
        <f t="shared" si="66"/>
        <v>2.2896524726925414E-2</v>
      </c>
      <c r="ER42" s="397">
        <f t="shared" si="116"/>
        <v>1.6930898390128721</v>
      </c>
      <c r="ES42" s="403">
        <f t="shared" si="67"/>
        <v>2.0400471794443402</v>
      </c>
      <c r="ET42" s="405">
        <f t="shared" si="117"/>
        <v>1.5514231986778402</v>
      </c>
      <c r="EU42" s="410">
        <f t="shared" si="68"/>
        <v>1.5461317987165843</v>
      </c>
      <c r="EV42" s="20">
        <f t="shared" si="8"/>
        <v>2.5999999999999943</v>
      </c>
      <c r="EW42" s="17">
        <f t="shared" si="9"/>
        <v>2.9562251279135806E-2</v>
      </c>
      <c r="EX42" s="388">
        <f t="shared" si="69"/>
        <v>2.2849531938938582E-2</v>
      </c>
      <c r="EY42" s="388">
        <f t="shared" si="103"/>
        <v>2.1700554147371688E-2</v>
      </c>
      <c r="EZ42" s="314">
        <f t="shared" si="118"/>
        <v>2.3217632361525169E-2</v>
      </c>
      <c r="FA42" s="442">
        <f t="shared" si="10"/>
        <v>26.549999999999955</v>
      </c>
      <c r="FB42" s="18">
        <f t="shared" si="11"/>
        <v>2.4076173203355207E-2</v>
      </c>
      <c r="FC42" s="394">
        <f t="shared" si="70"/>
        <v>1.9982583876589709E-2</v>
      </c>
      <c r="FD42" s="394">
        <f t="shared" si="104"/>
        <v>1.8761279462037154E-2</v>
      </c>
      <c r="FE42" s="385">
        <f t="shared" si="119"/>
        <v>1.7819762809950578E-2</v>
      </c>
      <c r="FF42" s="416">
        <f t="shared" si="49"/>
        <v>2</v>
      </c>
      <c r="FG42" s="417">
        <f t="shared" si="50"/>
        <v>2</v>
      </c>
      <c r="FH42" s="415">
        <f t="shared" si="111"/>
        <v>22.360248447204942</v>
      </c>
      <c r="FI42" s="413" t="str">
        <f t="shared" si="120"/>
        <v>C-R</v>
      </c>
      <c r="FJ42" s="404">
        <f t="shared" si="112"/>
        <v>71.120186697782984</v>
      </c>
      <c r="FK42" s="414" t="str">
        <f t="shared" si="121"/>
        <v>T-R</v>
      </c>
      <c r="FL42" s="415">
        <f t="shared" si="71"/>
        <v>63.815789473684184</v>
      </c>
      <c r="FM42" s="413" t="str">
        <f t="shared" si="72"/>
        <v>T-D</v>
      </c>
      <c r="FN42" s="404">
        <f t="shared" si="73"/>
        <v>49.824970828471436</v>
      </c>
      <c r="FO42" s="414" t="str">
        <f t="shared" si="74"/>
        <v>T-R</v>
      </c>
      <c r="FQ42" s="135">
        <f t="shared" si="51"/>
        <v>86.444861112219854</v>
      </c>
      <c r="FR42" s="21">
        <f t="shared" si="12"/>
        <v>88.8</v>
      </c>
      <c r="FS42" s="21">
        <f t="shared" si="13"/>
        <v>86.2</v>
      </c>
      <c r="FT42" s="182">
        <f t="shared" si="14"/>
        <v>87.6875</v>
      </c>
      <c r="FU42" s="141">
        <f t="shared" si="52"/>
        <v>1076.6999819955142</v>
      </c>
      <c r="FV42" s="118">
        <f t="shared" si="15"/>
        <v>1121.7</v>
      </c>
      <c r="FW42" s="118">
        <f t="shared" si="16"/>
        <v>1076.6999819955142</v>
      </c>
      <c r="FX42" s="181">
        <f t="shared" si="17"/>
        <v>1106.625</v>
      </c>
    </row>
    <row r="43" spans="1:180" x14ac:dyDescent="0.3">
      <c r="A43" s="94">
        <v>63.75</v>
      </c>
      <c r="B43" s="24">
        <f t="shared" si="148"/>
        <v>0.35416666666666669</v>
      </c>
      <c r="C43" s="25">
        <f t="shared" ca="1" si="141"/>
        <v>27.844444932355128</v>
      </c>
      <c r="D43" s="26" t="s">
        <v>42</v>
      </c>
      <c r="E43" s="270">
        <f t="shared" ca="1" si="142"/>
        <v>1185.5365742468757</v>
      </c>
      <c r="F43" s="265">
        <f t="shared" ca="1" si="143"/>
        <v>1168.2832804188636</v>
      </c>
      <c r="G43" s="26" t="s">
        <v>43</v>
      </c>
      <c r="H43" s="25">
        <f t="shared" ca="1" si="144"/>
        <v>20.870737640855964</v>
      </c>
      <c r="I43" s="24">
        <f t="shared" si="145"/>
        <v>0.35416666666666669</v>
      </c>
      <c r="J43" s="95">
        <v>63.75</v>
      </c>
      <c r="L43" s="283">
        <f t="shared" si="40"/>
        <v>40</v>
      </c>
      <c r="M43" s="290">
        <f>'[6]ASHOKLEY-I'!C59</f>
        <v>42852</v>
      </c>
      <c r="N43" s="7">
        <f>'[6]ASHOKLEY-I'!D59</f>
        <v>87.85</v>
      </c>
      <c r="O43" s="7">
        <f>'[6]ASHOKLEY-I'!E59</f>
        <v>87.9</v>
      </c>
      <c r="P43" s="7">
        <f>'[6]ASHOKLEY-I'!F59</f>
        <v>86.55</v>
      </c>
      <c r="Q43" s="7">
        <f>'[6]ASHOKLEY-I'!G59</f>
        <v>86.65</v>
      </c>
      <c r="R43" s="11">
        <f>'[6]ASHOKLEY-I'!H59</f>
        <v>5522</v>
      </c>
      <c r="S43" s="291">
        <f>'[7]ASIANPAINT-I'!C59</f>
        <v>42852</v>
      </c>
      <c r="T43" s="9">
        <f>'[7]ASIANPAINT-I'!D59</f>
        <v>1107.25</v>
      </c>
      <c r="U43" s="9">
        <f>'[7]ASIANPAINT-I'!E59</f>
        <v>1107.9000000000001</v>
      </c>
      <c r="V43" s="9">
        <f>'[7]ASIANPAINT-I'!F59</f>
        <v>1092.4000000000001</v>
      </c>
      <c r="W43" s="9">
        <f>'[7]ASIANPAINT-I'!G59</f>
        <v>1104.9000000000001</v>
      </c>
      <c r="X43" s="12">
        <f>'[7]ASIANPAINT-I'!H59</f>
        <v>3284</v>
      </c>
      <c r="Y43" s="115"/>
      <c r="Z43" s="122">
        <f t="shared" si="18"/>
        <v>-1.3097949886104687E-2</v>
      </c>
      <c r="AA43" s="19">
        <f t="shared" si="19"/>
        <v>-1.8068479537446923E-3</v>
      </c>
      <c r="AB43" s="305">
        <f>IF(OR(SUM(Z23:Z43)=0,SUM('BNF-Nifty'!AA23:AA43)=0),0,(_xlfn.COVARIANCE.P(Z23:Z43,'BNF-Nifty'!AA23:AA43)/_xlfn.VAR.P('BNF-Nifty'!AA23:AA43)))</f>
        <v>0.66756677661911568</v>
      </c>
      <c r="AC43" s="306">
        <f>IF(OR(SUM(AA23:AA43)=0,SUM('BNF-Nifty'!AA23:AA43)=0),0,(_xlfn.COVARIANCE.P(AA23:AA43,'BNF-Nifty'!AA23:AA43)/_xlfn.VAR.P('BNF-Nifty'!AA23:AA43)))</f>
        <v>1.5169374220453256</v>
      </c>
      <c r="AD43" s="466">
        <f t="shared" si="20"/>
        <v>-1.3184484479455791E-2</v>
      </c>
      <c r="AE43" s="17">
        <f t="shared" si="41"/>
        <v>1.4157464708542461E-2</v>
      </c>
      <c r="AF43" s="17">
        <f t="shared" si="42"/>
        <v>1.4100979271474318E-2</v>
      </c>
      <c r="AG43" s="314">
        <f t="shared" si="43"/>
        <v>0.26939883071630094</v>
      </c>
      <c r="AH43" s="467">
        <f t="shared" si="21"/>
        <v>-1.8084822724489251E-3</v>
      </c>
      <c r="AI43" s="18">
        <f t="shared" si="149"/>
        <v>1.1345829597106932E-2</v>
      </c>
      <c r="AJ43" s="18">
        <f t="shared" si="150"/>
        <v>1.1009105993657163E-2</v>
      </c>
      <c r="AK43" s="385">
        <f t="shared" si="151"/>
        <v>0.21032867468451846</v>
      </c>
      <c r="AL43" s="10">
        <f t="shared" si="23"/>
        <v>1.5477523068913143E-2</v>
      </c>
      <c r="AM43" s="17">
        <f t="shared" si="45"/>
        <v>2.4084277583500575E-2</v>
      </c>
      <c r="AN43" s="17">
        <f t="shared" si="46"/>
        <v>2.3656341736136764E-2</v>
      </c>
      <c r="AO43" s="314">
        <f t="shared" si="47"/>
        <v>0.45195377427671007</v>
      </c>
      <c r="AP43" s="448">
        <f t="shared" si="24"/>
        <v>1.4089220927077317E-2</v>
      </c>
      <c r="AQ43" s="18">
        <f t="shared" si="152"/>
        <v>1.7979319891016348E-2</v>
      </c>
      <c r="AR43" s="18">
        <f t="shared" si="153"/>
        <v>1.7769945298137694E-2</v>
      </c>
      <c r="AS43" s="385">
        <f t="shared" si="154"/>
        <v>0.3394943282340136</v>
      </c>
      <c r="AT43" s="6">
        <f t="shared" si="0"/>
        <v>485107.69999999995</v>
      </c>
      <c r="AU43" s="319">
        <v>0</v>
      </c>
      <c r="AV43" s="140">
        <f t="shared" si="1"/>
        <v>3636209</v>
      </c>
      <c r="AW43" s="481">
        <v>0</v>
      </c>
      <c r="AX43" s="135">
        <f t="shared" si="97"/>
        <v>363254.99686760525</v>
      </c>
      <c r="AY43" s="21">
        <f t="shared" si="98"/>
        <v>4208.7302163170125</v>
      </c>
      <c r="AZ43" s="319">
        <f t="shared" si="99"/>
        <v>86.30987927410645</v>
      </c>
      <c r="BA43" s="21">
        <f t="shared" si="2"/>
        <v>87.033333333333346</v>
      </c>
      <c r="BB43" s="21">
        <f t="shared" si="3"/>
        <v>480598.06666666671</v>
      </c>
      <c r="BC43" s="21">
        <f t="shared" si="61"/>
        <v>433256.4845586567</v>
      </c>
      <c r="BD43" s="21">
        <f t="shared" si="57"/>
        <v>4982.7104904377074</v>
      </c>
      <c r="BE43" s="332">
        <f t="shared" si="58"/>
        <v>86.951968289170495</v>
      </c>
      <c r="BF43" s="141">
        <f t="shared" si="100"/>
        <v>3459190.4941255129</v>
      </c>
      <c r="BG43" s="118">
        <f t="shared" si="101"/>
        <v>3190.4346641718289</v>
      </c>
      <c r="BH43" s="329">
        <f t="shared" si="102"/>
        <v>1084.2379983429146</v>
      </c>
      <c r="BI43" s="118">
        <f t="shared" si="4"/>
        <v>1101.7333333333333</v>
      </c>
      <c r="BJ43" s="118">
        <f t="shared" si="5"/>
        <v>3618092.2666666666</v>
      </c>
      <c r="BK43" s="118">
        <f t="shared" si="62"/>
        <v>4460223.5036518341</v>
      </c>
      <c r="BL43" s="118">
        <f t="shared" si="59"/>
        <v>4066.9648310756406</v>
      </c>
      <c r="BM43" s="325">
        <f t="shared" si="60"/>
        <v>1096.6958626175735</v>
      </c>
      <c r="BN43" s="6">
        <f t="shared" si="6"/>
        <v>478481.30000000005</v>
      </c>
      <c r="BO43" s="331">
        <f t="shared" si="87"/>
        <v>85.285555670422838</v>
      </c>
      <c r="BP43" s="319">
        <f t="shared" si="55"/>
        <v>87.436473696663768</v>
      </c>
      <c r="BQ43" s="331">
        <f t="shared" si="139"/>
        <v>86.611887933699222</v>
      </c>
      <c r="BR43" s="332">
        <f t="shared" si="88"/>
        <v>85.104649023053852</v>
      </c>
      <c r="BS43" s="140">
        <f t="shared" si="7"/>
        <v>3628491.6</v>
      </c>
      <c r="BT43" s="339">
        <f t="shared" si="89"/>
        <v>1080.1890485988351</v>
      </c>
      <c r="BU43" s="329">
        <f t="shared" si="56"/>
        <v>1098.5870687384777</v>
      </c>
      <c r="BV43" s="339">
        <f t="shared" si="140"/>
        <v>1071.2994647650639</v>
      </c>
      <c r="BW43" s="325">
        <f t="shared" si="90"/>
        <v>1083.1610528298606</v>
      </c>
      <c r="BX43" s="21">
        <f t="shared" si="91"/>
        <v>367059.45958562446</v>
      </c>
      <c r="BY43" s="21">
        <f t="shared" si="92"/>
        <v>4260.8682250935544</v>
      </c>
      <c r="BZ43" s="21">
        <f t="shared" si="93"/>
        <v>86.146634956673665</v>
      </c>
      <c r="CA43" s="21">
        <f t="shared" si="129"/>
        <v>327828.86705025932</v>
      </c>
      <c r="CB43" s="21">
        <f t="shared" si="130"/>
        <v>3796.991637686931</v>
      </c>
      <c r="CC43" s="21">
        <f t="shared" si="135"/>
        <v>86.33910693834649</v>
      </c>
      <c r="CD43" s="342">
        <f t="shared" si="131"/>
        <v>-0.1924719816728242</v>
      </c>
      <c r="CE43" s="342">
        <f t="shared" si="155"/>
        <v>-1.123436256308046</v>
      </c>
      <c r="CF43" s="343">
        <f t="shared" si="156"/>
        <v>0.9309642746352218</v>
      </c>
      <c r="CG43" s="141">
        <f t="shared" si="94"/>
        <v>3535226.997129153</v>
      </c>
      <c r="CH43" s="118">
        <f t="shared" si="95"/>
        <v>3248.4262982725672</v>
      </c>
      <c r="CI43" s="118">
        <f t="shared" si="96"/>
        <v>1088.2891198760149</v>
      </c>
      <c r="CJ43" s="118">
        <f t="shared" si="132"/>
        <v>3107577.4497614396</v>
      </c>
      <c r="CK43" s="118">
        <f t="shared" si="133"/>
        <v>2886.781584474189</v>
      </c>
      <c r="CL43" s="118">
        <f t="shared" si="136"/>
        <v>1076.4851301791393</v>
      </c>
      <c r="CM43" s="350">
        <f t="shared" si="134"/>
        <v>11.803989696875533</v>
      </c>
      <c r="CN43" s="350">
        <f t="shared" si="157"/>
        <v>9.2680470806595192</v>
      </c>
      <c r="CO43" s="351">
        <f t="shared" si="158"/>
        <v>2.5359426162160137</v>
      </c>
      <c r="CP43" s="20">
        <f t="shared" si="26"/>
        <v>-0.56666666666666288</v>
      </c>
      <c r="CQ43" s="21">
        <f t="shared" si="27"/>
        <v>0</v>
      </c>
      <c r="CR43" s="21">
        <f t="shared" si="28"/>
        <v>480598.06666666671</v>
      </c>
      <c r="CS43" s="21">
        <f t="shared" si="137"/>
        <v>179658.45317672397</v>
      </c>
      <c r="CT43" s="21">
        <f t="shared" si="137"/>
        <v>178881.04783965199</v>
      </c>
      <c r="CU43" s="21">
        <f t="shared" si="105"/>
        <v>1.0043459346110766</v>
      </c>
      <c r="CV43" s="342">
        <f t="shared" si="106"/>
        <v>50.108412787833444</v>
      </c>
      <c r="CW43" s="342">
        <v>0</v>
      </c>
      <c r="CX43" s="355">
        <f t="shared" si="146"/>
        <v>41.275235371720086</v>
      </c>
      <c r="CY43" s="141">
        <f t="shared" si="29"/>
        <v>-6.183333333333394</v>
      </c>
      <c r="CZ43" s="118">
        <f t="shared" si="30"/>
        <v>0</v>
      </c>
      <c r="DA43" s="118">
        <f t="shared" si="31"/>
        <v>3618092.2666666666</v>
      </c>
      <c r="DB43" s="118">
        <f t="shared" si="138"/>
        <v>2095728.3181840724</v>
      </c>
      <c r="DC43" s="118">
        <f t="shared" si="138"/>
        <v>1313858.0837717215</v>
      </c>
      <c r="DD43" s="118">
        <f t="shared" si="107"/>
        <v>1.5950948919595782</v>
      </c>
      <c r="DE43" s="350">
        <f t="shared" si="108"/>
        <v>61.465763618189257</v>
      </c>
      <c r="DF43" s="350">
        <v>0</v>
      </c>
      <c r="DG43" s="351">
        <f t="shared" si="147"/>
        <v>55.925215487523161</v>
      </c>
      <c r="DH43" s="135">
        <f t="shared" si="32"/>
        <v>1.3500000000000085</v>
      </c>
      <c r="DI43" s="20">
        <f t="shared" si="33"/>
        <v>7454.7000000000471</v>
      </c>
      <c r="DJ43" s="21">
        <f t="shared" si="127"/>
        <v>7269.0342963397279</v>
      </c>
      <c r="DK43" s="21">
        <f t="shared" si="122"/>
        <v>3845.1404219124965</v>
      </c>
      <c r="DL43" s="319">
        <f t="shared" si="123"/>
        <v>1.8904470315089961</v>
      </c>
      <c r="DM43" s="21">
        <f t="shared" si="124"/>
        <v>7561.7881260359845</v>
      </c>
      <c r="DN43" s="21">
        <f>DM43*'Base Data'!$D$10</f>
        <v>15123.576252071969</v>
      </c>
      <c r="DO43" s="363">
        <f>IF(INT(('Base Data'!$D$7)/DN43)=0,0,INT(('Base Data'!$D$7)/DN43))</f>
        <v>0</v>
      </c>
      <c r="DP43" s="364">
        <f t="shared" si="113"/>
        <v>2.1817045949324824E-2</v>
      </c>
      <c r="DQ43" s="141">
        <f t="shared" si="34"/>
        <v>15.5</v>
      </c>
      <c r="DR43" s="143">
        <f t="shared" si="35"/>
        <v>50902</v>
      </c>
      <c r="DS43" s="118">
        <f t="shared" si="128"/>
        <v>64991.38863999446</v>
      </c>
      <c r="DT43" s="118">
        <f t="shared" si="125"/>
        <v>2915.0475106086697</v>
      </c>
      <c r="DU43" s="329">
        <f t="shared" si="126"/>
        <v>22.295138725345883</v>
      </c>
      <c r="DV43" s="118">
        <f t="shared" si="114"/>
        <v>13377.08323520753</v>
      </c>
      <c r="DW43" s="118">
        <f>DV43*'Base Data'!$D$10</f>
        <v>26754.166470415061</v>
      </c>
      <c r="DX43" s="375">
        <f>IF(INT(('Base Data'!$D$7)/DW43)=0,0,INT(('Base Data'!$D$7)/DW43))</f>
        <v>0</v>
      </c>
      <c r="DY43" s="376">
        <f t="shared" si="115"/>
        <v>2.0178422233094288E-2</v>
      </c>
      <c r="DZ43" s="135">
        <f t="shared" si="36"/>
        <v>1.3500000000000085</v>
      </c>
      <c r="EA43" s="21">
        <f t="shared" si="37"/>
        <v>7454.7000000000471</v>
      </c>
      <c r="EB43" s="21">
        <f t="shared" si="79"/>
        <v>7923.3329248923928</v>
      </c>
      <c r="EC43" s="21">
        <f t="shared" si="75"/>
        <v>4578.5730430191898</v>
      </c>
      <c r="ED43" s="319">
        <f t="shared" si="76"/>
        <v>1.7305245216023923</v>
      </c>
      <c r="EE43" s="21">
        <f t="shared" si="63"/>
        <v>6922.0980864095691</v>
      </c>
      <c r="EF43" s="21">
        <f>EE43*'Base Data'!$D$13</f>
        <v>5191.5735648071768</v>
      </c>
      <c r="EG43" s="363">
        <f>IF(INT(('Base Data'!$D$7)/EF43)=0,0,INT(('Base Data'!$D$7)/EF43))</f>
        <v>2</v>
      </c>
      <c r="EH43" s="314">
        <f t="shared" si="64"/>
        <v>1.9971431293737938E-2</v>
      </c>
      <c r="EI43" s="143">
        <f t="shared" si="38"/>
        <v>15.5</v>
      </c>
      <c r="EJ43" s="118">
        <f t="shared" si="39"/>
        <v>50902</v>
      </c>
      <c r="EK43" s="118">
        <f t="shared" si="80"/>
        <v>84239.495936851832</v>
      </c>
      <c r="EL43" s="118">
        <f t="shared" si="77"/>
        <v>3607.2821462421348</v>
      </c>
      <c r="EM43" s="329">
        <f t="shared" si="78"/>
        <v>23.352621869239655</v>
      </c>
      <c r="EN43" s="118">
        <f t="shared" si="65"/>
        <v>14011.573121543794</v>
      </c>
      <c r="EO43" s="118">
        <f>EN43*'Base Data'!$D$13</f>
        <v>10508.679841157846</v>
      </c>
      <c r="EP43" s="375">
        <f>IF(INT(('Base Data'!$D$7)/EO43)=0,0,INT(('Base Data'!$D$7)/EO43))</f>
        <v>0</v>
      </c>
      <c r="EQ43" s="385">
        <f t="shared" si="66"/>
        <v>2.113550716738135E-2</v>
      </c>
      <c r="ER43" s="397">
        <f t="shared" si="116"/>
        <v>1.1599675136662062</v>
      </c>
      <c r="ES43" s="403">
        <f t="shared" si="67"/>
        <v>1.2267475208620204</v>
      </c>
      <c r="ET43" s="405">
        <f t="shared" si="117"/>
        <v>1.4320510928905466</v>
      </c>
      <c r="EU43" s="410">
        <f t="shared" si="68"/>
        <v>1.4345284305796437</v>
      </c>
      <c r="EV43" s="20">
        <f t="shared" si="8"/>
        <v>1.3500000000000085</v>
      </c>
      <c r="EW43" s="17">
        <f t="shared" si="9"/>
        <v>1.5367103016505505E-2</v>
      </c>
      <c r="EX43" s="388">
        <f t="shared" si="69"/>
        <v>2.3124698690926954E-2</v>
      </c>
      <c r="EY43" s="388">
        <f t="shared" si="103"/>
        <v>2.1289557520056904E-2</v>
      </c>
      <c r="EZ43" s="314">
        <f t="shared" si="118"/>
        <v>2.296587323133828E-2</v>
      </c>
      <c r="FA43" s="442">
        <f t="shared" si="10"/>
        <v>15.5</v>
      </c>
      <c r="FB43" s="18">
        <f t="shared" si="11"/>
        <v>1.3998645292391058E-2</v>
      </c>
      <c r="FC43" s="394">
        <f t="shared" si="70"/>
        <v>1.9308591823457153E-2</v>
      </c>
      <c r="FD43" s="394">
        <f t="shared" si="104"/>
        <v>1.8752511989072893E-2</v>
      </c>
      <c r="FE43" s="385">
        <f t="shared" si="119"/>
        <v>1.7525246574420051E-2</v>
      </c>
      <c r="FF43" s="416">
        <f t="shared" si="49"/>
        <v>1</v>
      </c>
      <c r="FG43" s="417">
        <f t="shared" si="50"/>
        <v>2</v>
      </c>
      <c r="FH43" s="415">
        <f t="shared" si="111"/>
        <v>2.4844720496894772</v>
      </c>
      <c r="FI43" s="413" t="str">
        <f t="shared" si="120"/>
        <v>C-D</v>
      </c>
      <c r="FJ43" s="404">
        <f t="shared" si="112"/>
        <v>52.742123687281236</v>
      </c>
      <c r="FK43" s="414" t="str">
        <f t="shared" si="121"/>
        <v>T-D</v>
      </c>
      <c r="FL43" s="415">
        <f t="shared" si="71"/>
        <v>64.473684210526443</v>
      </c>
      <c r="FM43" s="413" t="str">
        <f t="shared" si="72"/>
        <v>T-R</v>
      </c>
      <c r="FN43" s="404">
        <f t="shared" si="73"/>
        <v>70.18669778296389</v>
      </c>
      <c r="FO43" s="414" t="str">
        <f t="shared" si="74"/>
        <v>T-R</v>
      </c>
      <c r="FQ43" s="135">
        <f t="shared" si="51"/>
        <v>87.066180556109927</v>
      </c>
      <c r="FR43" s="21">
        <f t="shared" si="12"/>
        <v>87.9</v>
      </c>
      <c r="FS43" s="21">
        <f t="shared" si="13"/>
        <v>86.55</v>
      </c>
      <c r="FT43" s="182">
        <f t="shared" si="14"/>
        <v>87.237500000000011</v>
      </c>
      <c r="FU43" s="141">
        <f t="shared" si="52"/>
        <v>1091.6624909977572</v>
      </c>
      <c r="FV43" s="118">
        <f t="shared" si="15"/>
        <v>1107.9000000000001</v>
      </c>
      <c r="FW43" s="118">
        <f t="shared" si="16"/>
        <v>1091.6624909977572</v>
      </c>
      <c r="FX43" s="181">
        <f t="shared" si="17"/>
        <v>1103.1125000000002</v>
      </c>
    </row>
    <row r="44" spans="1:180" x14ac:dyDescent="0.3">
      <c r="A44" s="96">
        <v>45</v>
      </c>
      <c r="B44" s="27">
        <f t="shared" si="148"/>
        <v>0.25</v>
      </c>
      <c r="C44" s="28">
        <f t="shared" ca="1" si="141"/>
        <v>26.755965714651001</v>
      </c>
      <c r="D44" s="29" t="s">
        <v>44</v>
      </c>
      <c r="E44" s="271">
        <f t="shared" ca="1" si="142"/>
        <v>1182.3639914286628</v>
      </c>
      <c r="F44" s="266">
        <f t="shared" ca="1" si="143"/>
        <v>1170.2166627992488</v>
      </c>
      <c r="G44" s="30" t="s">
        <v>44</v>
      </c>
      <c r="H44" s="31">
        <f t="shared" ca="1" si="144"/>
        <v>21.833348803004537</v>
      </c>
      <c r="I44" s="32">
        <f t="shared" si="145"/>
        <v>0.25</v>
      </c>
      <c r="J44" s="97">
        <v>45</v>
      </c>
      <c r="L44" s="283">
        <f t="shared" si="40"/>
        <v>41</v>
      </c>
      <c r="M44" s="290">
        <f>'[6]ASHOKLEY-I'!C60</f>
        <v>42853</v>
      </c>
      <c r="N44" s="7">
        <f>'[6]ASHOKLEY-I'!D60</f>
        <v>87.4</v>
      </c>
      <c r="O44" s="7">
        <f>'[6]ASHOKLEY-I'!E60</f>
        <v>87.5</v>
      </c>
      <c r="P44" s="7">
        <f>'[6]ASHOKLEY-I'!F60</f>
        <v>85.55</v>
      </c>
      <c r="Q44" s="7">
        <f>'[6]ASHOKLEY-I'!G60</f>
        <v>86.1</v>
      </c>
      <c r="R44" s="11">
        <f>'[6]ASHOKLEY-I'!H60</f>
        <v>1893</v>
      </c>
      <c r="S44" s="291">
        <f>'[7]ASIANPAINT-I'!C60</f>
        <v>42853</v>
      </c>
      <c r="T44" s="9">
        <f>'[7]ASIANPAINT-I'!D60</f>
        <v>1107.7</v>
      </c>
      <c r="U44" s="9">
        <f>'[7]ASIANPAINT-I'!E60</f>
        <v>1128</v>
      </c>
      <c r="V44" s="9">
        <f>'[7]ASIANPAINT-I'!F60</f>
        <v>1107.7</v>
      </c>
      <c r="W44" s="9">
        <f>'[7]ASIANPAINT-I'!G60</f>
        <v>1124.3</v>
      </c>
      <c r="X44" s="12">
        <f>'[7]ASIANPAINT-I'!H60</f>
        <v>3057</v>
      </c>
      <c r="Y44" s="115"/>
      <c r="Z44" s="122">
        <f t="shared" si="18"/>
        <v>-6.3473744950953417E-3</v>
      </c>
      <c r="AA44" s="19">
        <f t="shared" si="19"/>
        <v>1.7558150058828728E-2</v>
      </c>
      <c r="AB44" s="305">
        <f>IF(OR(SUM(Z24:Z44)=0,SUM('BNF-Nifty'!AA24:AA44)=0),0,(_xlfn.COVARIANCE.P(Z24:Z44,'BNF-Nifty'!AA24:AA44)/_xlfn.VAR.P('BNF-Nifty'!AA24:AA44)))</f>
        <v>0.67606988393074685</v>
      </c>
      <c r="AC44" s="306">
        <f>IF(OR(SUM(AA24:AA44)=0,SUM('BNF-Nifty'!AA24:AA44)=0),0,(_xlfn.COVARIANCE.P(AA24:AA44,'BNF-Nifty'!AA24:AA44)/_xlfn.VAR.P('BNF-Nifty'!AA24:AA44)))</f>
        <v>1.3353185999207022</v>
      </c>
      <c r="AD44" s="466">
        <f t="shared" si="20"/>
        <v>-6.3676047279301309E-3</v>
      </c>
      <c r="AE44" s="17">
        <f t="shared" si="41"/>
        <v>1.4100979271474318E-2</v>
      </c>
      <c r="AF44" s="17">
        <f t="shared" si="42"/>
        <v>1.3760092398961024E-2</v>
      </c>
      <c r="AG44" s="314">
        <f t="shared" si="43"/>
        <v>0.26288619616138065</v>
      </c>
      <c r="AH44" s="467">
        <f t="shared" si="21"/>
        <v>1.7405786636584427E-2</v>
      </c>
      <c r="AI44" s="18">
        <f t="shared" si="149"/>
        <v>1.1009105993657163E-2</v>
      </c>
      <c r="AJ44" s="18">
        <f t="shared" si="150"/>
        <v>1.1493740661729819E-2</v>
      </c>
      <c r="AK44" s="385">
        <f t="shared" si="151"/>
        <v>0.21958760701749999</v>
      </c>
      <c r="AL44" s="10">
        <f t="shared" si="23"/>
        <v>2.2537793025366255E-2</v>
      </c>
      <c r="AM44" s="17">
        <f t="shared" si="45"/>
        <v>2.3656341736136764E-2</v>
      </c>
      <c r="AN44" s="17">
        <f t="shared" si="46"/>
        <v>2.3590724468399181E-2</v>
      </c>
      <c r="AO44" s="314">
        <f t="shared" si="47"/>
        <v>0.45070015813679681</v>
      </c>
      <c r="AP44" s="448">
        <f t="shared" si="24"/>
        <v>1.8160359535117063E-2</v>
      </c>
      <c r="AQ44" s="18">
        <f t="shared" si="152"/>
        <v>1.7769945298137694E-2</v>
      </c>
      <c r="AR44" s="18">
        <f t="shared" si="153"/>
        <v>1.7793611720265244E-2</v>
      </c>
      <c r="AS44" s="385">
        <f t="shared" si="154"/>
        <v>0.33994647459389782</v>
      </c>
      <c r="AT44" s="6">
        <f t="shared" si="0"/>
        <v>165448.20000000001</v>
      </c>
      <c r="AU44" s="319">
        <v>0</v>
      </c>
      <c r="AV44" s="140">
        <f t="shared" si="1"/>
        <v>3386238.9</v>
      </c>
      <c r="AW44" s="481">
        <v>0</v>
      </c>
      <c r="AX44" s="135">
        <f t="shared" si="97"/>
        <v>334996.88302937592</v>
      </c>
      <c r="AY44" s="21">
        <f t="shared" si="98"/>
        <v>3877.9116139860107</v>
      </c>
      <c r="AZ44" s="319">
        <f t="shared" si="99"/>
        <v>86.385899519004454</v>
      </c>
      <c r="BA44" s="21">
        <f t="shared" si="2"/>
        <v>86.383333333333326</v>
      </c>
      <c r="BB44" s="21">
        <f t="shared" si="3"/>
        <v>163523.65</v>
      </c>
      <c r="BC44" s="21">
        <f t="shared" si="61"/>
        <v>343345.53970577114</v>
      </c>
      <c r="BD44" s="21">
        <f t="shared" si="57"/>
        <v>3952.8069936251386</v>
      </c>
      <c r="BE44" s="332">
        <f t="shared" si="58"/>
        <v>86.861195160679287</v>
      </c>
      <c r="BF44" s="141">
        <f t="shared" si="100"/>
        <v>3448768.8378218682</v>
      </c>
      <c r="BG44" s="118">
        <f t="shared" si="101"/>
        <v>3171.3725692901389</v>
      </c>
      <c r="BH44" s="329">
        <f t="shared" si="102"/>
        <v>1087.4688364331221</v>
      </c>
      <c r="BI44" s="118">
        <f t="shared" si="4"/>
        <v>1120</v>
      </c>
      <c r="BJ44" s="118">
        <f t="shared" si="5"/>
        <v>3423840</v>
      </c>
      <c r="BK44" s="118">
        <f t="shared" si="62"/>
        <v>4114762.3357678894</v>
      </c>
      <c r="BL44" s="118">
        <f t="shared" si="59"/>
        <v>3730.3098873837603</v>
      </c>
      <c r="BM44" s="325">
        <f t="shared" si="60"/>
        <v>1103.0617991508914</v>
      </c>
      <c r="BN44" s="6">
        <f t="shared" si="6"/>
        <v>162987.29999999999</v>
      </c>
      <c r="BO44" s="331">
        <f t="shared" si="87"/>
        <v>85.473606529283231</v>
      </c>
      <c r="BP44" s="319">
        <f t="shared" si="55"/>
        <v>87.346245175519186</v>
      </c>
      <c r="BQ44" s="331">
        <f t="shared" si="139"/>
        <v>86.500105689550594</v>
      </c>
      <c r="BR44" s="332">
        <f t="shared" si="88"/>
        <v>85.317725247418707</v>
      </c>
      <c r="BS44" s="140">
        <f t="shared" si="7"/>
        <v>3436985.1</v>
      </c>
      <c r="BT44" s="339">
        <f t="shared" si="89"/>
        <v>1082.6173794976239</v>
      </c>
      <c r="BU44" s="329">
        <f t="shared" si="56"/>
        <v>1102.1758070374576</v>
      </c>
      <c r="BV44" s="339">
        <f t="shared" si="140"/>
        <v>1073.5417011372595</v>
      </c>
      <c r="BW44" s="325">
        <f t="shared" si="90"/>
        <v>1087.8735898959042</v>
      </c>
      <c r="BX44" s="21">
        <f t="shared" si="91"/>
        <v>335746.25811091298</v>
      </c>
      <c r="BY44" s="21">
        <f t="shared" si="92"/>
        <v>3896.5808058483922</v>
      </c>
      <c r="BZ44" s="21">
        <f t="shared" si="93"/>
        <v>86.164325812771594</v>
      </c>
      <c r="CA44" s="21">
        <f t="shared" si="129"/>
        <v>315658.1102317216</v>
      </c>
      <c r="CB44" s="21">
        <f t="shared" si="130"/>
        <v>3655.9552200804915</v>
      </c>
      <c r="CC44" s="21">
        <f t="shared" si="135"/>
        <v>86.340803218254933</v>
      </c>
      <c r="CD44" s="342">
        <f t="shared" si="131"/>
        <v>-0.17647740548333957</v>
      </c>
      <c r="CE44" s="342">
        <f t="shared" si="155"/>
        <v>-0.93404448614310476</v>
      </c>
      <c r="CF44" s="343">
        <f t="shared" si="156"/>
        <v>0.75756708065976519</v>
      </c>
      <c r="CG44" s="141">
        <f t="shared" si="94"/>
        <v>3518090.53603236</v>
      </c>
      <c r="CH44" s="118">
        <f t="shared" si="95"/>
        <v>3218.9760985383259</v>
      </c>
      <c r="CI44" s="118">
        <f t="shared" si="96"/>
        <v>1092.9222300314241</v>
      </c>
      <c r="CJ44" s="118">
        <f t="shared" si="132"/>
        <v>3131004.3053346663</v>
      </c>
      <c r="CK44" s="118">
        <f t="shared" si="133"/>
        <v>2899.3903559946193</v>
      </c>
      <c r="CL44" s="118">
        <f t="shared" si="136"/>
        <v>1079.8836723938102</v>
      </c>
      <c r="CM44" s="350">
        <f t="shared" si="134"/>
        <v>13.038557637613849</v>
      </c>
      <c r="CN44" s="350">
        <f t="shared" si="157"/>
        <v>10.022149192050385</v>
      </c>
      <c r="CO44" s="351">
        <f t="shared" si="158"/>
        <v>3.0164084455634637</v>
      </c>
      <c r="CP44" s="20">
        <f t="shared" si="26"/>
        <v>-0.6500000000000199</v>
      </c>
      <c r="CQ44" s="21">
        <f t="shared" si="27"/>
        <v>0</v>
      </c>
      <c r="CR44" s="21">
        <f t="shared" si="28"/>
        <v>163523.65</v>
      </c>
      <c r="CS44" s="21">
        <f t="shared" si="137"/>
        <v>155703.99275316077</v>
      </c>
      <c r="CT44" s="21">
        <f t="shared" si="137"/>
        <v>176833.39479436507</v>
      </c>
      <c r="CU44" s="21">
        <f t="shared" si="105"/>
        <v>0.88051237682918926</v>
      </c>
      <c r="CV44" s="342">
        <f t="shared" si="106"/>
        <v>46.823003542994918</v>
      </c>
      <c r="CW44" s="342">
        <v>0</v>
      </c>
      <c r="CX44" s="355">
        <f t="shared" si="146"/>
        <v>41.348880630051653</v>
      </c>
      <c r="CY44" s="141">
        <f t="shared" si="29"/>
        <v>18.266666666666652</v>
      </c>
      <c r="CZ44" s="118">
        <f t="shared" si="30"/>
        <v>3423840</v>
      </c>
      <c r="DA44" s="118">
        <f t="shared" si="31"/>
        <v>0</v>
      </c>
      <c r="DB44" s="118">
        <f t="shared" si="138"/>
        <v>2272809.8757595294</v>
      </c>
      <c r="DC44" s="118">
        <f t="shared" si="138"/>
        <v>1138677.005935492</v>
      </c>
      <c r="DD44" s="118">
        <f t="shared" si="107"/>
        <v>1.996009284381991</v>
      </c>
      <c r="DE44" s="350">
        <f t="shared" si="108"/>
        <v>66.622266318968457</v>
      </c>
      <c r="DF44" s="350">
        <v>0</v>
      </c>
      <c r="DG44" s="351">
        <f t="shared" si="147"/>
        <v>56.524784229257747</v>
      </c>
      <c r="DH44" s="135">
        <f t="shared" si="32"/>
        <v>1.9500000000000028</v>
      </c>
      <c r="DI44" s="20">
        <f t="shared" si="33"/>
        <v>3691.3500000000054</v>
      </c>
      <c r="DJ44" s="21">
        <f t="shared" si="127"/>
        <v>6943.790269399753</v>
      </c>
      <c r="DK44" s="21">
        <f t="shared" si="122"/>
        <v>3667.6731108295421</v>
      </c>
      <c r="DL44" s="319">
        <f t="shared" si="123"/>
        <v>1.8932413166530071</v>
      </c>
      <c r="DM44" s="21">
        <f t="shared" si="124"/>
        <v>7572.9652666120282</v>
      </c>
      <c r="DN44" s="21">
        <f>DM44*'Base Data'!$D$10</f>
        <v>15145.930533224056</v>
      </c>
      <c r="DO44" s="363">
        <f>IF(INT(('Base Data'!$D$7)/DN44)=0,0,INT(('Base Data'!$D$7)/DN44))</f>
        <v>0</v>
      </c>
      <c r="DP44" s="364">
        <f t="shared" si="113"/>
        <v>2.1988865466353161E-2</v>
      </c>
      <c r="DQ44" s="141">
        <f t="shared" si="34"/>
        <v>23.099999999999909</v>
      </c>
      <c r="DR44" s="143">
        <f t="shared" si="35"/>
        <v>70616.699999999721</v>
      </c>
      <c r="DS44" s="118">
        <f t="shared" si="128"/>
        <v>65502.780581813124</v>
      </c>
      <c r="DT44" s="118">
        <f t="shared" si="125"/>
        <v>2927.9522823715179</v>
      </c>
      <c r="DU44" s="329">
        <f t="shared" si="126"/>
        <v>22.371532820459297</v>
      </c>
      <c r="DV44" s="118">
        <f t="shared" si="114"/>
        <v>13422.919692275578</v>
      </c>
      <c r="DW44" s="118">
        <f>DV44*'Base Data'!$D$10</f>
        <v>26845.839384551156</v>
      </c>
      <c r="DX44" s="375">
        <f>IF(INT(('Base Data'!$D$7)/DW44)=0,0,INT(('Base Data'!$D$7)/DW44))</f>
        <v>0</v>
      </c>
      <c r="DY44" s="376">
        <f t="shared" si="115"/>
        <v>1.9898188046303743E-2</v>
      </c>
      <c r="DZ44" s="135">
        <f t="shared" si="36"/>
        <v>1.9500000000000028</v>
      </c>
      <c r="EA44" s="21">
        <f t="shared" si="37"/>
        <v>3691.3500000000054</v>
      </c>
      <c r="EB44" s="21">
        <f t="shared" si="79"/>
        <v>6982.8922749163066</v>
      </c>
      <c r="EC44" s="21">
        <f t="shared" si="75"/>
        <v>3981.7790334593701</v>
      </c>
      <c r="ED44" s="319">
        <f t="shared" si="76"/>
        <v>1.7537116490488849</v>
      </c>
      <c r="EE44" s="21">
        <f t="shared" si="63"/>
        <v>7014.8465961955399</v>
      </c>
      <c r="EF44" s="21">
        <f>EE44*'Base Data'!$D$13</f>
        <v>5261.1349471466547</v>
      </c>
      <c r="EG44" s="363">
        <f>IF(INT(('Base Data'!$D$7)/EF44)=0,0,INT(('Base Data'!$D$7)/EF44))</f>
        <v>1</v>
      </c>
      <c r="EH44" s="314">
        <f t="shared" si="64"/>
        <v>2.0368311835643263E-2</v>
      </c>
      <c r="EI44" s="143">
        <f t="shared" si="38"/>
        <v>23.099999999999909</v>
      </c>
      <c r="EJ44" s="118">
        <f t="shared" si="39"/>
        <v>70616.699999999721</v>
      </c>
      <c r="EK44" s="118">
        <f t="shared" si="80"/>
        <v>81212.207950884695</v>
      </c>
      <c r="EL44" s="118">
        <f t="shared" si="77"/>
        <v>3484.9972248549939</v>
      </c>
      <c r="EM44" s="329">
        <f t="shared" si="78"/>
        <v>23.30337808354032</v>
      </c>
      <c r="EN44" s="118">
        <f t="shared" si="65"/>
        <v>13982.026850124192</v>
      </c>
      <c r="EO44" s="118">
        <f>EN44*'Base Data'!$D$13</f>
        <v>10486.520137593143</v>
      </c>
      <c r="EP44" s="375">
        <f>IF(INT(('Base Data'!$D$7)/EO44)=0,0,INT(('Base Data'!$D$7)/EO44))</f>
        <v>1</v>
      </c>
      <c r="EQ44" s="385">
        <f t="shared" si="66"/>
        <v>2.0727010658667902E-2</v>
      </c>
      <c r="ER44" s="397">
        <f t="shared" si="116"/>
        <v>0.85098032508573151</v>
      </c>
      <c r="ES44" s="403">
        <f t="shared" si="67"/>
        <v>0.61298560717380346</v>
      </c>
      <c r="ET44" s="405">
        <f t="shared" si="117"/>
        <v>2.1867004671715082</v>
      </c>
      <c r="EU44" s="410">
        <f t="shared" si="68"/>
        <v>2.09840821466734</v>
      </c>
      <c r="EV44" s="20">
        <f t="shared" si="8"/>
        <v>1.9500000000000028</v>
      </c>
      <c r="EW44" s="17">
        <f t="shared" si="9"/>
        <v>2.2311212814645341E-2</v>
      </c>
      <c r="EX44" s="388">
        <f t="shared" si="69"/>
        <v>2.2606324285541744E-2</v>
      </c>
      <c r="EY44" s="388">
        <f t="shared" si="103"/>
        <v>2.0989952733131974E-2</v>
      </c>
      <c r="EZ44" s="314">
        <f t="shared" si="118"/>
        <v>2.3589679373812688E-2</v>
      </c>
      <c r="FA44" s="442">
        <f t="shared" si="10"/>
        <v>20.299999999999955</v>
      </c>
      <c r="FB44" s="18">
        <f t="shared" si="11"/>
        <v>1.832626162318313E-2</v>
      </c>
      <c r="FC44" s="394">
        <f t="shared" si="70"/>
        <v>1.7971932753252103E-2</v>
      </c>
      <c r="FD44" s="394">
        <f t="shared" si="104"/>
        <v>1.8651413572293187E-2</v>
      </c>
      <c r="FE44" s="385">
        <f t="shared" si="119"/>
        <v>1.7796302451703133E-2</v>
      </c>
      <c r="FF44" s="416">
        <f t="shared" si="49"/>
        <v>1</v>
      </c>
      <c r="FG44" s="417">
        <f t="shared" si="50"/>
        <v>1</v>
      </c>
      <c r="FH44" s="415">
        <f t="shared" si="111"/>
        <v>23.602484472049593</v>
      </c>
      <c r="FI44" s="413" t="str">
        <f t="shared" si="120"/>
        <v>C-R</v>
      </c>
      <c r="FJ44" s="404">
        <f t="shared" si="112"/>
        <v>61.032608695652023</v>
      </c>
      <c r="FK44" s="414" t="str">
        <f t="shared" si="121"/>
        <v>T-R</v>
      </c>
      <c r="FL44" s="415">
        <f t="shared" si="71"/>
        <v>60.526315789473649</v>
      </c>
      <c r="FM44" s="413" t="str">
        <f t="shared" si="72"/>
        <v>T-D</v>
      </c>
      <c r="FN44" s="404">
        <f t="shared" si="73"/>
        <v>75.271739130434781</v>
      </c>
      <c r="FO44" s="414" t="str">
        <f t="shared" si="74"/>
        <v>T-R</v>
      </c>
      <c r="FQ44" s="135">
        <f t="shared" si="51"/>
        <v>87.151840278054976</v>
      </c>
      <c r="FR44" s="21">
        <f t="shared" si="12"/>
        <v>87.5</v>
      </c>
      <c r="FS44" s="21">
        <f t="shared" si="13"/>
        <v>85.55</v>
      </c>
      <c r="FT44" s="182">
        <f t="shared" si="14"/>
        <v>86.637499999999989</v>
      </c>
      <c r="FU44" s="141">
        <f t="shared" si="52"/>
        <v>1097.3874954988787</v>
      </c>
      <c r="FV44" s="118">
        <f t="shared" si="15"/>
        <v>1128</v>
      </c>
      <c r="FW44" s="118">
        <f t="shared" si="16"/>
        <v>1097.3874954988787</v>
      </c>
      <c r="FX44" s="181">
        <f t="shared" si="17"/>
        <v>1116.925</v>
      </c>
    </row>
    <row r="45" spans="1:180" x14ac:dyDescent="0.3">
      <c r="A45" s="98">
        <f>90-A43</f>
        <v>26.25</v>
      </c>
      <c r="B45" s="33">
        <f t="shared" si="148"/>
        <v>0.14583333333333334</v>
      </c>
      <c r="C45" s="34">
        <f t="shared" ca="1" si="141"/>
        <v>25.689187885835761</v>
      </c>
      <c r="D45" s="26" t="s">
        <v>43</v>
      </c>
      <c r="E45" s="272">
        <f t="shared" ca="1" si="142"/>
        <v>1179.4213399000178</v>
      </c>
      <c r="F45" s="267">
        <f t="shared" ca="1" si="143"/>
        <v>1172.3474243858689</v>
      </c>
      <c r="G45" s="26" t="s">
        <v>42</v>
      </c>
      <c r="H45" s="34">
        <f t="shared" ca="1" si="144"/>
        <v>22.817661354041999</v>
      </c>
      <c r="I45" s="33">
        <f t="shared" si="145"/>
        <v>0.14583333333333334</v>
      </c>
      <c r="J45" s="99">
        <f>90-J43</f>
        <v>26.25</v>
      </c>
      <c r="L45" s="283">
        <f t="shared" si="40"/>
        <v>42</v>
      </c>
      <c r="M45" s="290">
        <f>'[6]ASHOKLEY-I'!C61</f>
        <v>42857</v>
      </c>
      <c r="N45" s="7">
        <f>'[6]ASHOKLEY-I'!D61</f>
        <v>86.4</v>
      </c>
      <c r="O45" s="7">
        <f>'[6]ASHOKLEY-I'!E61</f>
        <v>86.4</v>
      </c>
      <c r="P45" s="7">
        <f>'[6]ASHOKLEY-I'!F61</f>
        <v>82.85</v>
      </c>
      <c r="Q45" s="7">
        <f>'[6]ASHOKLEY-I'!G61</f>
        <v>83.9</v>
      </c>
      <c r="R45" s="11">
        <f>'[6]ASHOKLEY-I'!H61</f>
        <v>3916</v>
      </c>
      <c r="S45" s="291">
        <f>'[7]ASIANPAINT-I'!C61</f>
        <v>42857</v>
      </c>
      <c r="T45" s="9">
        <f>'[7]ASIANPAINT-I'!D61</f>
        <v>1127.8499999999999</v>
      </c>
      <c r="U45" s="9">
        <f>'[7]ASIANPAINT-I'!E61</f>
        <v>1139.1500000000001</v>
      </c>
      <c r="V45" s="9">
        <f>'[7]ASIANPAINT-I'!F61</f>
        <v>1103.95</v>
      </c>
      <c r="W45" s="9">
        <f>'[7]ASIANPAINT-I'!G61</f>
        <v>1118.05</v>
      </c>
      <c r="X45" s="12">
        <f>'[7]ASIANPAINT-I'!H61</f>
        <v>3484</v>
      </c>
      <c r="Y45" s="115"/>
      <c r="Z45" s="122">
        <f t="shared" si="18"/>
        <v>-2.5551684088269324E-2</v>
      </c>
      <c r="AA45" s="19">
        <f t="shared" si="19"/>
        <v>-5.5590144979098107E-3</v>
      </c>
      <c r="AB45" s="305">
        <f>IF(OR(SUM(Z25:Z45)=0,SUM('BNF-Nifty'!AA25:AA45)=0),0,(_xlfn.COVARIANCE.P(Z25:Z45,'BNF-Nifty'!AA25:AA45)/_xlfn.VAR.P('BNF-Nifty'!AA25:AA45)))</f>
        <v>0.90822149090126847</v>
      </c>
      <c r="AC45" s="306">
        <f>IF(OR(SUM(AA25:AA45)=0,SUM('BNF-Nifty'!AA25:AA45)=0),0,(_xlfn.COVARIANCE.P(AA25:AA45,'BNF-Nifty'!AA25:AA45)/_xlfn.VAR.P('BNF-Nifty'!AA25:AA45)))</f>
        <v>1.3311424881265153</v>
      </c>
      <c r="AD45" s="466">
        <f t="shared" si="20"/>
        <v>-2.5883797960524521E-2</v>
      </c>
      <c r="AE45" s="17">
        <f t="shared" si="41"/>
        <v>1.3760092398961024E-2</v>
      </c>
      <c r="AF45" s="17">
        <f t="shared" si="42"/>
        <v>1.4770849470153823E-2</v>
      </c>
      <c r="AG45" s="314">
        <f t="shared" si="43"/>
        <v>0.2821966828924985</v>
      </c>
      <c r="AH45" s="467">
        <f t="shared" si="21"/>
        <v>-5.5745233215591626E-3</v>
      </c>
      <c r="AI45" s="18">
        <f t="shared" si="149"/>
        <v>1.1493740661729819E-2</v>
      </c>
      <c r="AJ45" s="18">
        <f t="shared" si="150"/>
        <v>1.1226942083707021E-2</v>
      </c>
      <c r="AK45" s="385">
        <f t="shared" si="151"/>
        <v>0.21449042734136828</v>
      </c>
      <c r="AL45" s="10">
        <f t="shared" si="23"/>
        <v>4.1955931937438178E-2</v>
      </c>
      <c r="AM45" s="17">
        <f t="shared" si="45"/>
        <v>2.3590724468399181E-2</v>
      </c>
      <c r="AN45" s="17">
        <f t="shared" si="46"/>
        <v>2.5074867049929273E-2</v>
      </c>
      <c r="AO45" s="314">
        <f t="shared" si="47"/>
        <v>0.47905466234412591</v>
      </c>
      <c r="AP45" s="448">
        <f t="shared" si="24"/>
        <v>3.1387713288707493E-2</v>
      </c>
      <c r="AQ45" s="18">
        <f t="shared" si="152"/>
        <v>1.7793611720265244E-2</v>
      </c>
      <c r="AR45" s="18">
        <f t="shared" si="153"/>
        <v>1.8887222498242384E-2</v>
      </c>
      <c r="AS45" s="385">
        <f t="shared" si="154"/>
        <v>0.36083987917054194</v>
      </c>
      <c r="AT45" s="6">
        <f t="shared" si="0"/>
        <v>338342.40000000002</v>
      </c>
      <c r="AU45" s="319">
        <v>0</v>
      </c>
      <c r="AV45" s="140">
        <f t="shared" si="1"/>
        <v>3929429.4</v>
      </c>
      <c r="AW45" s="481">
        <v>0</v>
      </c>
      <c r="AX45" s="135">
        <f t="shared" si="97"/>
        <v>335474.81402517937</v>
      </c>
      <c r="AY45" s="21">
        <f t="shared" si="98"/>
        <v>3883.3528119880093</v>
      </c>
      <c r="AZ45" s="319">
        <f t="shared" si="99"/>
        <v>86.387930808027548</v>
      </c>
      <c r="BA45" s="21">
        <f t="shared" si="2"/>
        <v>84.38333333333334</v>
      </c>
      <c r="BB45" s="21">
        <f t="shared" si="3"/>
        <v>330445.13333333336</v>
      </c>
      <c r="BC45" s="21">
        <f t="shared" si="61"/>
        <v>339045.40424829186</v>
      </c>
      <c r="BD45" s="21">
        <f t="shared" si="57"/>
        <v>3940.5379957500923</v>
      </c>
      <c r="BE45" s="332">
        <f t="shared" si="58"/>
        <v>86.040384489111787</v>
      </c>
      <c r="BF45" s="141">
        <f t="shared" si="100"/>
        <v>3517434.6324187443</v>
      </c>
      <c r="BG45" s="118">
        <f t="shared" si="101"/>
        <v>3216.033630820119</v>
      </c>
      <c r="BH45" s="329">
        <f t="shared" si="102"/>
        <v>1093.7182368711005</v>
      </c>
      <c r="BI45" s="118">
        <f t="shared" si="4"/>
        <v>1120.3833333333334</v>
      </c>
      <c r="BJ45" s="118">
        <f t="shared" si="5"/>
        <v>3903415.5333333337</v>
      </c>
      <c r="BK45" s="118">
        <f t="shared" si="62"/>
        <v>4044313.4016230376</v>
      </c>
      <c r="BL45" s="118">
        <f t="shared" si="59"/>
        <v>3648.2065915891735</v>
      </c>
      <c r="BM45" s="325">
        <f t="shared" si="60"/>
        <v>1108.5757618406469</v>
      </c>
      <c r="BN45" s="6">
        <f t="shared" si="6"/>
        <v>328552.40000000002</v>
      </c>
      <c r="BO45" s="331">
        <f t="shared" si="87"/>
        <v>85.698607523155445</v>
      </c>
      <c r="BP45" s="319">
        <f t="shared" si="55"/>
        <v>86.755820356578653</v>
      </c>
      <c r="BQ45" s="331">
        <f t="shared" si="139"/>
        <v>86.447996947572463</v>
      </c>
      <c r="BR45" s="332">
        <f t="shared" si="88"/>
        <v>85.352696742486287</v>
      </c>
      <c r="BS45" s="140">
        <f t="shared" si="7"/>
        <v>3895286.1999999997</v>
      </c>
      <c r="BT45" s="339">
        <f t="shared" si="89"/>
        <v>1087.9080968575704</v>
      </c>
      <c r="BU45" s="329">
        <f t="shared" si="56"/>
        <v>1108.4822594939515</v>
      </c>
      <c r="BV45" s="339">
        <f t="shared" si="140"/>
        <v>1076.8522447116934</v>
      </c>
      <c r="BW45" s="325">
        <f t="shared" si="90"/>
        <v>1091.2562290844783</v>
      </c>
      <c r="BX45" s="21">
        <f t="shared" si="91"/>
        <v>334930.70045282383</v>
      </c>
      <c r="BY45" s="21">
        <f t="shared" si="92"/>
        <v>3899.5683741794087</v>
      </c>
      <c r="BZ45" s="21">
        <f t="shared" si="93"/>
        <v>85.889172419833187</v>
      </c>
      <c r="CA45" s="21">
        <f t="shared" si="129"/>
        <v>316753.44527628541</v>
      </c>
      <c r="CB45" s="21">
        <f t="shared" si="130"/>
        <v>3675.2177963708255</v>
      </c>
      <c r="CC45" s="21">
        <f t="shared" si="135"/>
        <v>86.18630590793029</v>
      </c>
      <c r="CD45" s="342">
        <f t="shared" si="131"/>
        <v>-0.29713348809710283</v>
      </c>
      <c r="CE45" s="342">
        <f t="shared" si="155"/>
        <v>-0.80666228653390437</v>
      </c>
      <c r="CF45" s="343">
        <f t="shared" si="156"/>
        <v>0.50952879843680154</v>
      </c>
      <c r="CG45" s="141">
        <f t="shared" si="94"/>
        <v>3577371.3048478942</v>
      </c>
      <c r="CH45" s="118">
        <f t="shared" si="95"/>
        <v>3259.7490064555063</v>
      </c>
      <c r="CI45" s="118">
        <f t="shared" si="96"/>
        <v>1097.4376547897948</v>
      </c>
      <c r="CJ45" s="118">
        <f t="shared" si="132"/>
        <v>3188219.9518530862</v>
      </c>
      <c r="CK45" s="118">
        <f t="shared" si="133"/>
        <v>2942.6947740690921</v>
      </c>
      <c r="CL45" s="118">
        <f t="shared" si="136"/>
        <v>1083.4354891127521</v>
      </c>
      <c r="CM45" s="350">
        <f t="shared" si="134"/>
        <v>14.00216567704274</v>
      </c>
      <c r="CN45" s="350">
        <f t="shared" si="157"/>
        <v>10.818152489048856</v>
      </c>
      <c r="CO45" s="351">
        <f t="shared" si="158"/>
        <v>3.1840131879938838</v>
      </c>
      <c r="CP45" s="20">
        <f t="shared" si="26"/>
        <v>-1.9999999999999858</v>
      </c>
      <c r="CQ45" s="21">
        <f t="shared" si="27"/>
        <v>0</v>
      </c>
      <c r="CR45" s="21">
        <f t="shared" si="28"/>
        <v>330445.13333333336</v>
      </c>
      <c r="CS45" s="21">
        <f t="shared" si="137"/>
        <v>134943.46038607266</v>
      </c>
      <c r="CT45" s="21">
        <f t="shared" si="137"/>
        <v>197314.95993289418</v>
      </c>
      <c r="CU45" s="21">
        <f t="shared" si="105"/>
        <v>0.68389878006191851</v>
      </c>
      <c r="CV45" s="342">
        <f t="shared" si="106"/>
        <v>40.61400769212333</v>
      </c>
      <c r="CW45" s="342">
        <v>0</v>
      </c>
      <c r="CX45" s="355">
        <f t="shared" si="146"/>
        <v>41.845888463091192</v>
      </c>
      <c r="CY45" s="141">
        <f t="shared" si="29"/>
        <v>0.38333333333343944</v>
      </c>
      <c r="CZ45" s="118">
        <f t="shared" si="30"/>
        <v>3903415.5333333337</v>
      </c>
      <c r="DA45" s="118">
        <f t="shared" si="31"/>
        <v>0</v>
      </c>
      <c r="DB45" s="118">
        <f t="shared" si="138"/>
        <v>2490223.9634360368</v>
      </c>
      <c r="DC45" s="118">
        <f t="shared" si="138"/>
        <v>986853.40514409309</v>
      </c>
      <c r="DD45" s="118">
        <f t="shared" si="107"/>
        <v>2.5233980553296389</v>
      </c>
      <c r="DE45" s="350">
        <f t="shared" si="108"/>
        <v>71.618307545826156</v>
      </c>
      <c r="DF45" s="350">
        <v>0</v>
      </c>
      <c r="DG45" s="351">
        <f t="shared" si="147"/>
        <v>56.875585419816453</v>
      </c>
      <c r="DH45" s="135">
        <f t="shared" si="32"/>
        <v>3.5500000000000114</v>
      </c>
      <c r="DI45" s="20">
        <f t="shared" si="33"/>
        <v>13901.800000000045</v>
      </c>
      <c r="DJ45" s="21">
        <f t="shared" si="127"/>
        <v>7576.3366085452344</v>
      </c>
      <c r="DK45" s="21">
        <f t="shared" si="122"/>
        <v>3690.2482825723109</v>
      </c>
      <c r="DL45" s="319">
        <f t="shared" si="123"/>
        <v>2.0530696116913036</v>
      </c>
      <c r="DM45" s="21">
        <f t="shared" si="124"/>
        <v>8212.2784467652145</v>
      </c>
      <c r="DN45" s="21">
        <f>DM45*'Base Data'!$D$10</f>
        <v>16424.556893530429</v>
      </c>
      <c r="DO45" s="363">
        <f>IF(INT(('Base Data'!$D$7)/DN45)=0,0,INT(('Base Data'!$D$7)/DN45))</f>
        <v>0</v>
      </c>
      <c r="DP45" s="364">
        <f t="shared" si="113"/>
        <v>2.4470436372959516E-2</v>
      </c>
      <c r="DQ45" s="141">
        <f t="shared" si="34"/>
        <v>35.200000000000045</v>
      </c>
      <c r="DR45" s="143">
        <f t="shared" si="35"/>
        <v>122636.80000000016</v>
      </c>
      <c r="DS45" s="118">
        <f t="shared" si="128"/>
        <v>70696.782347102853</v>
      </c>
      <c r="DT45" s="118">
        <f t="shared" si="125"/>
        <v>2978.502074883198</v>
      </c>
      <c r="DU45" s="329">
        <f t="shared" si="126"/>
        <v>23.735683430697367</v>
      </c>
      <c r="DV45" s="118">
        <f t="shared" si="114"/>
        <v>14241.41005841842</v>
      </c>
      <c r="DW45" s="118">
        <f>DV45*'Base Data'!$D$10</f>
        <v>28482.82011683684</v>
      </c>
      <c r="DX45" s="375">
        <f>IF(INT(('Base Data'!$D$7)/DW45)=0,0,INT(('Base Data'!$D$7)/DW45))</f>
        <v>0</v>
      </c>
      <c r="DY45" s="376">
        <f t="shared" si="115"/>
        <v>2.1229536631364759E-2</v>
      </c>
      <c r="DZ45" s="135">
        <f t="shared" si="36"/>
        <v>3.5500000000000114</v>
      </c>
      <c r="EA45" s="21">
        <f t="shared" si="37"/>
        <v>13901.800000000045</v>
      </c>
      <c r="EB45" s="21">
        <f t="shared" si="79"/>
        <v>8520.4273249349153</v>
      </c>
      <c r="EC45" s="21">
        <f t="shared" si="75"/>
        <v>3967.1614704683989</v>
      </c>
      <c r="ED45" s="319">
        <f t="shared" si="76"/>
        <v>2.1477389787033085</v>
      </c>
      <c r="EE45" s="21">
        <f t="shared" si="63"/>
        <v>8590.9559148132339</v>
      </c>
      <c r="EF45" s="21">
        <f>EE45*'Base Data'!$D$13</f>
        <v>6443.2169361099259</v>
      </c>
      <c r="EG45" s="363">
        <f>IF(INT(('Base Data'!$D$7)/EF45)=0,0,INT(('Base Data'!$D$7)/EF45))</f>
        <v>1</v>
      </c>
      <c r="EH45" s="314">
        <f t="shared" si="64"/>
        <v>2.5598795932101411E-2</v>
      </c>
      <c r="EI45" s="143">
        <f t="shared" si="38"/>
        <v>35.200000000000045</v>
      </c>
      <c r="EJ45" s="118">
        <f t="shared" si="39"/>
        <v>122636.80000000016</v>
      </c>
      <c r="EK45" s="118">
        <f t="shared" si="80"/>
        <v>90417.672850688134</v>
      </c>
      <c r="EL45" s="118">
        <f t="shared" si="77"/>
        <v>3484.7756193316618</v>
      </c>
      <c r="EM45" s="329">
        <f t="shared" si="78"/>
        <v>25.946483426106258</v>
      </c>
      <c r="EN45" s="118">
        <f t="shared" si="65"/>
        <v>15567.890055663755</v>
      </c>
      <c r="EO45" s="118">
        <f>EN45*'Base Data'!$D$13</f>
        <v>11675.917541747816</v>
      </c>
      <c r="EP45" s="375">
        <f>IF(INT(('Base Data'!$D$7)/EO45)=0,0,INT(('Base Data'!$D$7)/EO45))</f>
        <v>0</v>
      </c>
      <c r="EQ45" s="385">
        <f t="shared" si="66"/>
        <v>2.3206907943389168E-2</v>
      </c>
      <c r="ER45" s="397">
        <f t="shared" si="116"/>
        <v>-0.28296769756080981</v>
      </c>
      <c r="ES45" s="403">
        <f t="shared" si="67"/>
        <v>-0.76630975628472131</v>
      </c>
      <c r="ET45" s="405">
        <f t="shared" si="117"/>
        <v>1.6709487732641948</v>
      </c>
      <c r="EU45" s="410">
        <f t="shared" si="68"/>
        <v>1.3223532493094912</v>
      </c>
      <c r="EV45" s="20">
        <f t="shared" si="8"/>
        <v>3.5500000000000114</v>
      </c>
      <c r="EW45" s="17">
        <f t="shared" si="9"/>
        <v>4.108796296296309E-2</v>
      </c>
      <c r="EX45" s="388">
        <f t="shared" si="69"/>
        <v>2.5917502137663952E-2</v>
      </c>
      <c r="EY45" s="388">
        <f t="shared" si="103"/>
        <v>2.2808345514972427E-2</v>
      </c>
      <c r="EZ45" s="314">
        <f t="shared" si="118"/>
        <v>2.1828162613862351E-2</v>
      </c>
      <c r="FA45" s="442">
        <f t="shared" si="10"/>
        <v>35.200000000000045</v>
      </c>
      <c r="FB45" s="18">
        <f t="shared" si="11"/>
        <v>3.1209824001418671E-2</v>
      </c>
      <c r="FC45" s="394">
        <f t="shared" si="70"/>
        <v>1.9036188131708379E-2</v>
      </c>
      <c r="FD45" s="394">
        <f t="shared" si="104"/>
        <v>1.950995150500703E-2</v>
      </c>
      <c r="FE45" s="385">
        <f t="shared" si="119"/>
        <v>1.8411951637274965E-2</v>
      </c>
      <c r="FF45" s="416">
        <f t="shared" si="49"/>
        <v>1</v>
      </c>
      <c r="FG45" s="417">
        <f t="shared" si="50"/>
        <v>2</v>
      </c>
      <c r="FH45" s="415">
        <f t="shared" si="111"/>
        <v>11.842105263157979</v>
      </c>
      <c r="FI45" s="413" t="str">
        <f t="shared" si="120"/>
        <v>C-D</v>
      </c>
      <c r="FJ45" s="404">
        <f t="shared" si="112"/>
        <v>46.388754241395894</v>
      </c>
      <c r="FK45" s="414" t="str">
        <f t="shared" si="121"/>
        <v>T-D</v>
      </c>
      <c r="FL45" s="415">
        <f t="shared" si="71"/>
        <v>23.972602739726039</v>
      </c>
      <c r="FM45" s="413" t="str">
        <f t="shared" si="72"/>
        <v>C-D</v>
      </c>
      <c r="FN45" s="404">
        <f t="shared" si="73"/>
        <v>59.350026638252494</v>
      </c>
      <c r="FO45" s="414" t="str">
        <f t="shared" si="74"/>
        <v>T-D</v>
      </c>
      <c r="FQ45" s="135">
        <f t="shared" si="51"/>
        <v>86.894670139027482</v>
      </c>
      <c r="FR45" s="21">
        <f t="shared" si="12"/>
        <v>86.894670139027482</v>
      </c>
      <c r="FS45" s="21">
        <f t="shared" si="13"/>
        <v>82.85</v>
      </c>
      <c r="FT45" s="182">
        <f t="shared" si="14"/>
        <v>84.887500000000003</v>
      </c>
      <c r="FU45" s="141">
        <f t="shared" si="52"/>
        <v>1107.1562477494394</v>
      </c>
      <c r="FV45" s="118">
        <f t="shared" si="15"/>
        <v>1139.1500000000001</v>
      </c>
      <c r="FW45" s="118">
        <f t="shared" si="16"/>
        <v>1103.95</v>
      </c>
      <c r="FX45" s="181">
        <f t="shared" si="17"/>
        <v>1122.25</v>
      </c>
    </row>
    <row r="46" spans="1:180" x14ac:dyDescent="0.3">
      <c r="A46" s="100">
        <f>90-A42</f>
        <v>18.75</v>
      </c>
      <c r="B46" s="35">
        <f t="shared" si="148"/>
        <v>0.10416666666666667</v>
      </c>
      <c r="C46" s="36">
        <f t="shared" ca="1" si="141"/>
        <v>25.268553143198563</v>
      </c>
      <c r="D46" s="37" t="s">
        <v>41</v>
      </c>
      <c r="E46" s="270">
        <f t="shared" ca="1" si="142"/>
        <v>1178.3071409524164</v>
      </c>
      <c r="F46" s="265">
        <f t="shared" ca="1" si="143"/>
        <v>1173.2565142954847</v>
      </c>
      <c r="G46" s="37" t="s">
        <v>40</v>
      </c>
      <c r="H46" s="36">
        <f t="shared" ca="1" si="144"/>
        <v>23.217462763345864</v>
      </c>
      <c r="I46" s="35">
        <f t="shared" si="145"/>
        <v>0.10416666666666667</v>
      </c>
      <c r="J46" s="101">
        <f>90-J42</f>
        <v>18.75</v>
      </c>
      <c r="L46" s="283">
        <f t="shared" si="40"/>
        <v>43</v>
      </c>
      <c r="M46" s="290">
        <f>'[6]ASHOKLEY-I'!C62</f>
        <v>42858</v>
      </c>
      <c r="N46" s="7">
        <f>'[6]ASHOKLEY-I'!D62</f>
        <v>83.9</v>
      </c>
      <c r="O46" s="7">
        <f>'[6]ASHOKLEY-I'!E62</f>
        <v>84.1</v>
      </c>
      <c r="P46" s="7">
        <f>'[6]ASHOKLEY-I'!F62</f>
        <v>82.9</v>
      </c>
      <c r="Q46" s="7">
        <f>'[6]ASHOKLEY-I'!G62</f>
        <v>83.25</v>
      </c>
      <c r="R46" s="11">
        <f>'[6]ASHOKLEY-I'!H62</f>
        <v>1597</v>
      </c>
      <c r="S46" s="291">
        <f>'[7]ASIANPAINT-I'!C62</f>
        <v>42858</v>
      </c>
      <c r="T46" s="9">
        <f>'[7]ASIANPAINT-I'!D62</f>
        <v>1123.4000000000001</v>
      </c>
      <c r="U46" s="9">
        <f>'[7]ASIANPAINT-I'!E62</f>
        <v>1129.9000000000001</v>
      </c>
      <c r="V46" s="9">
        <f>'[7]ASIANPAINT-I'!F62</f>
        <v>1116.7</v>
      </c>
      <c r="W46" s="9">
        <f>'[7]ASIANPAINT-I'!G62</f>
        <v>1121.4000000000001</v>
      </c>
      <c r="X46" s="12">
        <f>'[7]ASIANPAINT-I'!H62</f>
        <v>1264</v>
      </c>
      <c r="Y46" s="115"/>
      <c r="Z46" s="122">
        <f t="shared" si="18"/>
        <v>-7.7473182359952993E-3</v>
      </c>
      <c r="AA46" s="19">
        <f t="shared" si="19"/>
        <v>2.9962881803140616E-3</v>
      </c>
      <c r="AB46" s="305">
        <f>IF(OR(SUM(Z26:Z46)=0,SUM('BNF-Nifty'!AA26:AA46)=0),0,(_xlfn.COVARIANCE.P(Z26:Z46,'BNF-Nifty'!AA26:AA46)/_xlfn.VAR.P('BNF-Nifty'!AA26:AA46)))</f>
        <v>1.0287717918278196</v>
      </c>
      <c r="AC46" s="306">
        <f>IF(OR(SUM(AA26:AA46)=0,SUM('BNF-Nifty'!AA26:AA46)=0),0,(_xlfn.COVARIANCE.P(AA26:AA46,'BNF-Nifty'!AA26:AA46)/_xlfn.VAR.P('BNF-Nifty'!AA26:AA46)))</f>
        <v>1.3478062814820309</v>
      </c>
      <c r="AD46" s="466">
        <f t="shared" si="20"/>
        <v>-7.777484612607335E-3</v>
      </c>
      <c r="AE46" s="17">
        <f t="shared" si="41"/>
        <v>1.4770849470153823E-2</v>
      </c>
      <c r="AF46" s="17">
        <f t="shared" si="42"/>
        <v>1.4447029813761286E-2</v>
      </c>
      <c r="AG46" s="314">
        <f t="shared" si="43"/>
        <v>0.27601011704372941</v>
      </c>
      <c r="AH46" s="467">
        <f t="shared" si="21"/>
        <v>2.9918082554174618E-3</v>
      </c>
      <c r="AI46" s="18">
        <f t="shared" si="149"/>
        <v>1.1226942083707021E-2</v>
      </c>
      <c r="AJ46" s="18">
        <f t="shared" si="150"/>
        <v>1.0909565978355329E-2</v>
      </c>
      <c r="AK46" s="385">
        <f t="shared" si="151"/>
        <v>0.20842696536238331</v>
      </c>
      <c r="AL46" s="10">
        <f t="shared" si="23"/>
        <v>1.4371504837652873E-2</v>
      </c>
      <c r="AM46" s="17">
        <f t="shared" si="45"/>
        <v>2.5074867049929273E-2</v>
      </c>
      <c r="AN46" s="17">
        <f t="shared" si="46"/>
        <v>2.4564536006105465E-2</v>
      </c>
      <c r="AO46" s="314">
        <f t="shared" si="47"/>
        <v>0.46930480144173559</v>
      </c>
      <c r="AP46" s="448">
        <f t="shared" si="24"/>
        <v>1.1751225763454231E-2</v>
      </c>
      <c r="AQ46" s="18">
        <f t="shared" si="152"/>
        <v>1.8887222498242384E-2</v>
      </c>
      <c r="AR46" s="18">
        <f t="shared" si="153"/>
        <v>1.8536693925639672E-2</v>
      </c>
      <c r="AS46" s="385">
        <f t="shared" si="154"/>
        <v>0.3541430401940564</v>
      </c>
      <c r="AT46" s="6">
        <f t="shared" si="0"/>
        <v>133988.30000000002</v>
      </c>
      <c r="AU46" s="319">
        <v>0</v>
      </c>
      <c r="AV46" s="140">
        <f t="shared" si="1"/>
        <v>1419977.6</v>
      </c>
      <c r="AW46" s="481">
        <v>0</v>
      </c>
      <c r="AX46" s="135">
        <f t="shared" si="97"/>
        <v>306691.02630729659</v>
      </c>
      <c r="AY46" s="21">
        <f t="shared" si="98"/>
        <v>3556.7309817040082</v>
      </c>
      <c r="AZ46" s="319">
        <f t="shared" si="99"/>
        <v>86.228345040693171</v>
      </c>
      <c r="BA46" s="21">
        <f t="shared" si="2"/>
        <v>83.416666666666671</v>
      </c>
      <c r="BB46" s="21">
        <f t="shared" si="3"/>
        <v>133216.41666666669</v>
      </c>
      <c r="BC46" s="21">
        <f t="shared" si="61"/>
        <v>270435.74172108347</v>
      </c>
      <c r="BD46" s="21">
        <f t="shared" si="57"/>
        <v>3159.358663833395</v>
      </c>
      <c r="BE46" s="332">
        <f t="shared" si="58"/>
        <v>85.598303483831543</v>
      </c>
      <c r="BF46" s="141">
        <f t="shared" si="100"/>
        <v>3217797.9135017809</v>
      </c>
      <c r="BG46" s="118">
        <f t="shared" si="101"/>
        <v>2937.1716835601019</v>
      </c>
      <c r="BH46" s="329">
        <f t="shared" si="102"/>
        <v>1095.5430121815475</v>
      </c>
      <c r="BI46" s="118">
        <f t="shared" si="4"/>
        <v>1122.6666666666667</v>
      </c>
      <c r="BJ46" s="118">
        <f t="shared" si="5"/>
        <v>1419050.6666666667</v>
      </c>
      <c r="BK46" s="118">
        <f t="shared" si="62"/>
        <v>3169225.8233042476</v>
      </c>
      <c r="BL46" s="118">
        <f t="shared" si="59"/>
        <v>2853.4710610594493</v>
      </c>
      <c r="BM46" s="325">
        <f t="shared" si="60"/>
        <v>1110.6563744605012</v>
      </c>
      <c r="BN46" s="6">
        <f t="shared" si="6"/>
        <v>132950.25</v>
      </c>
      <c r="BO46" s="331">
        <f t="shared" si="87"/>
        <v>85.896357911660942</v>
      </c>
      <c r="BP46" s="319">
        <f t="shared" si="55"/>
        <v>85.902862798392832</v>
      </c>
      <c r="BQ46" s="331">
        <f t="shared" si="139"/>
        <v>86.358781567321628</v>
      </c>
      <c r="BR46" s="332">
        <f t="shared" si="88"/>
        <v>85.520231342950282</v>
      </c>
      <c r="BS46" s="140">
        <f t="shared" si="7"/>
        <v>1417449.6</v>
      </c>
      <c r="BT46" s="339">
        <f t="shared" si="89"/>
        <v>1089.637974508174</v>
      </c>
      <c r="BU46" s="329">
        <f t="shared" si="56"/>
        <v>1112.6007029876978</v>
      </c>
      <c r="BV46" s="339">
        <f t="shared" si="140"/>
        <v>1078.3834300245071</v>
      </c>
      <c r="BW46" s="325">
        <f t="shared" si="90"/>
        <v>1093.1781892490994</v>
      </c>
      <c r="BX46" s="21">
        <f t="shared" si="91"/>
        <v>303897.73371649196</v>
      </c>
      <c r="BY46" s="21">
        <f t="shared" si="92"/>
        <v>3545.3270858441151</v>
      </c>
      <c r="BZ46" s="21">
        <f t="shared" si="93"/>
        <v>85.717826975655825</v>
      </c>
      <c r="CA46" s="21">
        <f t="shared" si="129"/>
        <v>303158.10982372105</v>
      </c>
      <c r="CB46" s="21">
        <f t="shared" si="130"/>
        <v>3521.2757373803938</v>
      </c>
      <c r="CC46" s="21">
        <f t="shared" si="135"/>
        <v>86.093260634355062</v>
      </c>
      <c r="CD46" s="342">
        <f t="shared" si="131"/>
        <v>-0.37543365869923662</v>
      </c>
      <c r="CE46" s="342">
        <f t="shared" si="155"/>
        <v>-0.72041656096697082</v>
      </c>
      <c r="CF46" s="343">
        <f t="shared" si="156"/>
        <v>0.3449829022677342</v>
      </c>
      <c r="CG46" s="141">
        <f t="shared" si="94"/>
        <v>3245321.9758969364</v>
      </c>
      <c r="CH46" s="118">
        <f t="shared" si="95"/>
        <v>2952.7106977700437</v>
      </c>
      <c r="CI46" s="118">
        <f t="shared" si="96"/>
        <v>1099.0992034363135</v>
      </c>
      <c r="CJ46" s="118">
        <f t="shared" si="132"/>
        <v>3057170.3751726109</v>
      </c>
      <c r="CK46" s="118">
        <f t="shared" si="133"/>
        <v>2818.347013026937</v>
      </c>
      <c r="CL46" s="118">
        <f t="shared" si="136"/>
        <v>1084.7388064854281</v>
      </c>
      <c r="CM46" s="350">
        <f t="shared" si="134"/>
        <v>14.360396950885388</v>
      </c>
      <c r="CN46" s="350">
        <f t="shared" si="157"/>
        <v>11.526601381416162</v>
      </c>
      <c r="CO46" s="351">
        <f t="shared" si="158"/>
        <v>2.8337955694692258</v>
      </c>
      <c r="CP46" s="20">
        <f t="shared" si="26"/>
        <v>-0.96666666666666856</v>
      </c>
      <c r="CQ46" s="21">
        <f t="shared" si="27"/>
        <v>0</v>
      </c>
      <c r="CR46" s="21">
        <f t="shared" si="28"/>
        <v>133216.41666666669</v>
      </c>
      <c r="CS46" s="21">
        <f t="shared" si="137"/>
        <v>116950.99900126297</v>
      </c>
      <c r="CT46" s="21">
        <f t="shared" si="137"/>
        <v>188768.48749739717</v>
      </c>
      <c r="CU46" s="21">
        <f t="shared" si="105"/>
        <v>0.61954725892940976</v>
      </c>
      <c r="CV46" s="342">
        <f t="shared" si="106"/>
        <v>38.254348893712255</v>
      </c>
      <c r="CW46" s="342">
        <v>0</v>
      </c>
      <c r="CX46" s="355">
        <f t="shared" si="146"/>
        <v>42.497026253347698</v>
      </c>
      <c r="CY46" s="141">
        <f t="shared" si="29"/>
        <v>2.283333333333303</v>
      </c>
      <c r="CZ46" s="118">
        <f t="shared" si="30"/>
        <v>1419050.6666666667</v>
      </c>
      <c r="DA46" s="118">
        <f t="shared" si="31"/>
        <v>0</v>
      </c>
      <c r="DB46" s="118">
        <f t="shared" si="138"/>
        <v>2347400.857200121</v>
      </c>
      <c r="DC46" s="118">
        <f t="shared" si="138"/>
        <v>855272.9511248807</v>
      </c>
      <c r="DD46" s="118">
        <f t="shared" si="107"/>
        <v>2.7446218825379067</v>
      </c>
      <c r="DE46" s="350">
        <f t="shared" si="108"/>
        <v>73.295034014963008</v>
      </c>
      <c r="DF46" s="350">
        <v>0</v>
      </c>
      <c r="DG46" s="351">
        <f t="shared" si="147"/>
        <v>57.818712568035458</v>
      </c>
      <c r="DH46" s="135">
        <f t="shared" si="32"/>
        <v>1.1999999999999886</v>
      </c>
      <c r="DI46" s="20">
        <f t="shared" si="33"/>
        <v>1916.3999999999819</v>
      </c>
      <c r="DJ46" s="21">
        <f t="shared" si="127"/>
        <v>7061.7969168593027</v>
      </c>
      <c r="DK46" s="21">
        <f t="shared" si="122"/>
        <v>3499.9529841566464</v>
      </c>
      <c r="DL46" s="319">
        <f t="shared" si="123"/>
        <v>2.0176833656983888</v>
      </c>
      <c r="DM46" s="21">
        <f t="shared" si="124"/>
        <v>8070.7334627935552</v>
      </c>
      <c r="DN46" s="21">
        <f>DM46*'Base Data'!$D$10</f>
        <v>16141.46692558711</v>
      </c>
      <c r="DO46" s="363">
        <f>IF(INT(('Base Data'!$D$7)/DN46)=0,0,INT(('Base Data'!$D$7)/DN46))</f>
        <v>0</v>
      </c>
      <c r="DP46" s="364">
        <f t="shared" si="113"/>
        <v>2.4236436825205872E-2</v>
      </c>
      <c r="DQ46" s="141">
        <f t="shared" si="34"/>
        <v>13.200000000000045</v>
      </c>
      <c r="DR46" s="143">
        <f t="shared" si="35"/>
        <v>16684.800000000057</v>
      </c>
      <c r="DS46" s="118">
        <f t="shared" si="128"/>
        <v>65786.602133729873</v>
      </c>
      <c r="DT46" s="118">
        <f t="shared" si="125"/>
        <v>2822.6382498938165</v>
      </c>
      <c r="DU46" s="329">
        <f t="shared" si="126"/>
        <v>23.306777670218516</v>
      </c>
      <c r="DV46" s="118">
        <f t="shared" si="114"/>
        <v>13984.06660213111</v>
      </c>
      <c r="DW46" s="118">
        <f>DV46*'Base Data'!$D$10</f>
        <v>27968.13320426222</v>
      </c>
      <c r="DX46" s="375">
        <f>IF(INT(('Base Data'!$D$7)/DW46)=0,0,INT(('Base Data'!$D$7)/DW46))</f>
        <v>0</v>
      </c>
      <c r="DY46" s="376">
        <f t="shared" si="115"/>
        <v>2.0783643365630919E-2</v>
      </c>
      <c r="DZ46" s="135">
        <f t="shared" si="36"/>
        <v>1.1999999999999886</v>
      </c>
      <c r="EA46" s="21">
        <f t="shared" si="37"/>
        <v>1916.3999999999819</v>
      </c>
      <c r="EB46" s="21">
        <f t="shared" si="79"/>
        <v>7052.8656971715973</v>
      </c>
      <c r="EC46" s="21">
        <f t="shared" si="75"/>
        <v>3440.4589214754214</v>
      </c>
      <c r="ED46" s="319">
        <f t="shared" si="76"/>
        <v>2.0499781738847256</v>
      </c>
      <c r="EE46" s="21">
        <f t="shared" si="63"/>
        <v>8199.912695538902</v>
      </c>
      <c r="EF46" s="21">
        <f>EE46*'Base Data'!$D$13</f>
        <v>6149.9345216541769</v>
      </c>
      <c r="EG46" s="363">
        <f>IF(INT(('Base Data'!$D$7)/EF46)=0,0,INT(('Base Data'!$D$7)/EF46))</f>
        <v>1</v>
      </c>
      <c r="EH46" s="314">
        <f t="shared" si="64"/>
        <v>2.4624362449065774E-2</v>
      </c>
      <c r="EI46" s="143">
        <f t="shared" si="38"/>
        <v>13.200000000000045</v>
      </c>
      <c r="EJ46" s="118">
        <f t="shared" si="39"/>
        <v>16684.800000000057</v>
      </c>
      <c r="EK46" s="118">
        <f t="shared" si="80"/>
        <v>74032.589994979673</v>
      </c>
      <c r="EL46" s="118">
        <f t="shared" si="77"/>
        <v>2991.2699261468479</v>
      </c>
      <c r="EM46" s="329">
        <f t="shared" si="78"/>
        <v>24.749551803351782</v>
      </c>
      <c r="EN46" s="118">
        <f t="shared" si="65"/>
        <v>14849.731082011069</v>
      </c>
      <c r="EO46" s="118">
        <f>EN46*'Base Data'!$D$13</f>
        <v>11137.298311508301</v>
      </c>
      <c r="EP46" s="375">
        <f>IF(INT(('Base Data'!$D$7)/EO46)=0,0,INT(('Base Data'!$D$7)/EO46))</f>
        <v>0</v>
      </c>
      <c r="EQ46" s="385">
        <f t="shared" si="66"/>
        <v>2.2070226327226484E-2</v>
      </c>
      <c r="ER46" s="397">
        <f t="shared" si="116"/>
        <v>-0.61558890417554368</v>
      </c>
      <c r="ES46" s="403">
        <f t="shared" si="67"/>
        <v>-1.2835502511784151</v>
      </c>
      <c r="ET46" s="405">
        <f t="shared" si="117"/>
        <v>1.7423230736793571</v>
      </c>
      <c r="EU46" s="410">
        <f t="shared" si="68"/>
        <v>1.1675295602492559</v>
      </c>
      <c r="EV46" s="20">
        <f t="shared" si="8"/>
        <v>1.1999999999999886</v>
      </c>
      <c r="EW46" s="17">
        <f t="shared" si="9"/>
        <v>1.4302741358760293E-2</v>
      </c>
      <c r="EX46" s="388">
        <f t="shared" si="69"/>
        <v>2.6177227448095787E-2</v>
      </c>
      <c r="EY46" s="388">
        <f t="shared" si="103"/>
        <v>2.2380283337271361E-2</v>
      </c>
      <c r="EZ46" s="314">
        <f t="shared" si="118"/>
        <v>2.1197583146201387E-2</v>
      </c>
      <c r="FA46" s="442">
        <f t="shared" si="10"/>
        <v>13.200000000000045</v>
      </c>
      <c r="FB46" s="18">
        <f t="shared" si="11"/>
        <v>1.1750044507744388E-2</v>
      </c>
      <c r="FC46" s="394">
        <f t="shared" si="70"/>
        <v>1.8182706803437455E-2</v>
      </c>
      <c r="FD46" s="394">
        <f t="shared" si="104"/>
        <v>1.9051888986464684E-2</v>
      </c>
      <c r="FE46" s="385">
        <f t="shared" si="119"/>
        <v>1.8504166009600382E-2</v>
      </c>
      <c r="FF46" s="416">
        <f t="shared" si="49"/>
        <v>1</v>
      </c>
      <c r="FG46" s="417">
        <f t="shared" si="50"/>
        <v>1</v>
      </c>
      <c r="FH46" s="415">
        <f t="shared" si="111"/>
        <v>20.394736842105239</v>
      </c>
      <c r="FI46" s="413" t="str">
        <f t="shared" si="120"/>
        <v>C-R</v>
      </c>
      <c r="FJ46" s="404">
        <f t="shared" si="112"/>
        <v>42.365487154629186</v>
      </c>
      <c r="FK46" s="414" t="str">
        <f t="shared" si="121"/>
        <v>T-D</v>
      </c>
      <c r="FL46" s="415">
        <f t="shared" si="71"/>
        <v>39.534883720930168</v>
      </c>
      <c r="FM46" s="413" t="str">
        <f t="shared" si="72"/>
        <v>T-R</v>
      </c>
      <c r="FN46" s="404">
        <f t="shared" si="73"/>
        <v>64.863059452237934</v>
      </c>
      <c r="FO46" s="414" t="str">
        <f t="shared" si="74"/>
        <v>T-R</v>
      </c>
      <c r="FQ46" s="135">
        <f t="shared" si="51"/>
        <v>85.891085069513736</v>
      </c>
      <c r="FR46" s="21">
        <f t="shared" si="12"/>
        <v>85.891085069513736</v>
      </c>
      <c r="FS46" s="21">
        <f t="shared" si="13"/>
        <v>82.9</v>
      </c>
      <c r="FT46" s="182">
        <f t="shared" si="14"/>
        <v>83.537499999999994</v>
      </c>
      <c r="FU46" s="141">
        <f t="shared" si="52"/>
        <v>1114.7031238747197</v>
      </c>
      <c r="FV46" s="118">
        <f t="shared" si="15"/>
        <v>1129.9000000000001</v>
      </c>
      <c r="FW46" s="118">
        <f t="shared" si="16"/>
        <v>1114.7031238747197</v>
      </c>
      <c r="FX46" s="181">
        <f t="shared" si="17"/>
        <v>1122.8499999999999</v>
      </c>
    </row>
    <row r="47" spans="1:180" x14ac:dyDescent="0.3">
      <c r="A47" s="96">
        <f>90-A41</f>
        <v>15</v>
      </c>
      <c r="B47" s="27">
        <f t="shared" si="148"/>
        <v>8.3333333333333329E-2</v>
      </c>
      <c r="C47" s="28">
        <f t="shared" ca="1" si="141"/>
        <v>25.059537855213289</v>
      </c>
      <c r="D47" s="29" t="s">
        <v>39</v>
      </c>
      <c r="E47" s="271">
        <f t="shared" ca="1" si="142"/>
        <v>1177.7632948212677</v>
      </c>
      <c r="F47" s="266">
        <f t="shared" ca="1" si="143"/>
        <v>1173.723444537389</v>
      </c>
      <c r="G47" s="30" t="s">
        <v>38</v>
      </c>
      <c r="H47" s="31">
        <f t="shared" ca="1" si="144"/>
        <v>23.418665551331138</v>
      </c>
      <c r="I47" s="32">
        <f t="shared" si="145"/>
        <v>8.3333333333333329E-2</v>
      </c>
      <c r="J47" s="97">
        <f>90-J41</f>
        <v>15</v>
      </c>
      <c r="L47" s="283">
        <f t="shared" si="40"/>
        <v>44</v>
      </c>
      <c r="M47" s="290">
        <f>'[6]ASHOKLEY-I'!C63</f>
        <v>42859</v>
      </c>
      <c r="N47" s="7">
        <f>'[6]ASHOKLEY-I'!D63</f>
        <v>83.5</v>
      </c>
      <c r="O47" s="7">
        <f>'[6]ASHOKLEY-I'!E63</f>
        <v>84.7</v>
      </c>
      <c r="P47" s="7">
        <f>'[6]ASHOKLEY-I'!F63</f>
        <v>83.1</v>
      </c>
      <c r="Q47" s="7">
        <f>'[6]ASHOKLEY-I'!G63</f>
        <v>83.7</v>
      </c>
      <c r="R47" s="11">
        <f>'[6]ASHOKLEY-I'!H63</f>
        <v>2000</v>
      </c>
      <c r="S47" s="291">
        <f>'[7]ASIANPAINT-I'!C63</f>
        <v>42859</v>
      </c>
      <c r="T47" s="9">
        <f>'[7]ASIANPAINT-I'!D63</f>
        <v>1121</v>
      </c>
      <c r="U47" s="9">
        <f>'[7]ASIANPAINT-I'!E63</f>
        <v>1137</v>
      </c>
      <c r="V47" s="9">
        <f>'[7]ASIANPAINT-I'!F63</f>
        <v>1119.75</v>
      </c>
      <c r="W47" s="9">
        <f>'[7]ASIANPAINT-I'!G63</f>
        <v>1134.3</v>
      </c>
      <c r="X47" s="12">
        <f>'[7]ASIANPAINT-I'!H63</f>
        <v>2338</v>
      </c>
      <c r="Y47" s="115"/>
      <c r="Z47" s="122">
        <f t="shared" si="18"/>
        <v>5.4054054054054395E-3</v>
      </c>
      <c r="AA47" s="19">
        <f t="shared" si="19"/>
        <v>1.1503477795612504E-2</v>
      </c>
      <c r="AB47" s="305">
        <f>IF(OR(SUM(Z27:Z47)=0,SUM('BNF-Nifty'!AA27:AA47)=0),0,(_xlfn.COVARIANCE.P(Z27:Z47,'BNF-Nifty'!AA27:AA47)/_xlfn.VAR.P('BNF-Nifty'!AA27:AA47)))</f>
        <v>0.94322599362661241</v>
      </c>
      <c r="AC47" s="306">
        <f>IF(OR(SUM(AA27:AA47)=0,SUM('BNF-Nifty'!AA27:AA47)=0),0,(_xlfn.COVARIANCE.P(AA27:AA47,'BNF-Nifty'!AA27:AA47)/_xlfn.VAR.P('BNF-Nifty'!AA27:AA47)))</f>
        <v>1.379393160922515</v>
      </c>
      <c r="AD47" s="466">
        <f t="shared" si="20"/>
        <v>5.390848634876373E-3</v>
      </c>
      <c r="AE47" s="17">
        <f t="shared" si="41"/>
        <v>1.4447029813761286E-2</v>
      </c>
      <c r="AF47" s="17">
        <f t="shared" si="42"/>
        <v>1.4069020760293658E-2</v>
      </c>
      <c r="AG47" s="314">
        <f t="shared" si="43"/>
        <v>0.26878826421749608</v>
      </c>
      <c r="AH47" s="467">
        <f t="shared" si="21"/>
        <v>1.1437815875424535E-2</v>
      </c>
      <c r="AI47" s="18">
        <f t="shared" si="149"/>
        <v>1.0909565978355329E-2</v>
      </c>
      <c r="AJ47" s="18">
        <f t="shared" si="150"/>
        <v>1.0941980166584547E-2</v>
      </c>
      <c r="AK47" s="385">
        <f t="shared" si="151"/>
        <v>0.20904623755897711</v>
      </c>
      <c r="AL47" s="10">
        <f t="shared" si="23"/>
        <v>1.9070899796606325E-2</v>
      </c>
      <c r="AM47" s="17">
        <f t="shared" si="45"/>
        <v>2.4564536006105465E-2</v>
      </c>
      <c r="AN47" s="17">
        <f t="shared" si="46"/>
        <v>2.4270010230460732E-2</v>
      </c>
      <c r="AO47" s="314">
        <f t="shared" si="47"/>
        <v>0.46367789439883156</v>
      </c>
      <c r="AP47" s="448">
        <f t="shared" si="24"/>
        <v>1.5287768663126635E-2</v>
      </c>
      <c r="AQ47" s="18">
        <f t="shared" si="152"/>
        <v>1.8536693925639672E-2</v>
      </c>
      <c r="AR47" s="18">
        <f t="shared" si="153"/>
        <v>1.8357980080420406E-2</v>
      </c>
      <c r="AS47" s="385">
        <f t="shared" si="154"/>
        <v>0.3507287169752229</v>
      </c>
      <c r="AT47" s="6">
        <f t="shared" si="0"/>
        <v>167000</v>
      </c>
      <c r="AU47" s="319">
        <v>0</v>
      </c>
      <c r="AV47" s="140">
        <f t="shared" si="1"/>
        <v>2620898</v>
      </c>
      <c r="AW47" s="481">
        <v>0</v>
      </c>
      <c r="AX47" s="135">
        <f t="shared" si="97"/>
        <v>286735.16540625424</v>
      </c>
      <c r="AY47" s="21">
        <f t="shared" si="98"/>
        <v>3334.3408414605783</v>
      </c>
      <c r="AZ47" s="319">
        <f t="shared" si="99"/>
        <v>85.994557557184962</v>
      </c>
      <c r="BA47" s="21">
        <f t="shared" si="2"/>
        <v>83.833333333333329</v>
      </c>
      <c r="BB47" s="21">
        <f t="shared" si="3"/>
        <v>167666.66666666666</v>
      </c>
      <c r="BC47" s="21">
        <f t="shared" si="61"/>
        <v>236179.3833696112</v>
      </c>
      <c r="BD47" s="21">
        <f t="shared" si="57"/>
        <v>2772.9057758889298</v>
      </c>
      <c r="BE47" s="332">
        <f t="shared" si="58"/>
        <v>85.173966394115041</v>
      </c>
      <c r="BF47" s="141">
        <f t="shared" si="100"/>
        <v>3132526.4972872408</v>
      </c>
      <c r="BG47" s="118">
        <f t="shared" si="101"/>
        <v>2851.5757287658016</v>
      </c>
      <c r="BH47" s="329">
        <f t="shared" si="102"/>
        <v>1098.5247439467576</v>
      </c>
      <c r="BI47" s="118">
        <f t="shared" si="4"/>
        <v>1130.3500000000001</v>
      </c>
      <c r="BJ47" s="118">
        <f t="shared" si="5"/>
        <v>2642758.3000000003</v>
      </c>
      <c r="BK47" s="118">
        <f t="shared" si="62"/>
        <v>2993736.6488694986</v>
      </c>
      <c r="BL47" s="118">
        <f t="shared" si="59"/>
        <v>2681.6473740396327</v>
      </c>
      <c r="BM47" s="325">
        <f t="shared" si="60"/>
        <v>1116.3796843131297</v>
      </c>
      <c r="BN47" s="6">
        <f t="shared" si="6"/>
        <v>167400</v>
      </c>
      <c r="BO47" s="331">
        <f t="shared" si="87"/>
        <v>85.941150571691736</v>
      </c>
      <c r="BP47" s="319">
        <f t="shared" si="55"/>
        <v>85.099896168274384</v>
      </c>
      <c r="BQ47" s="331">
        <f t="shared" si="139"/>
        <v>86.217617018119455</v>
      </c>
      <c r="BR47" s="332">
        <f t="shared" si="88"/>
        <v>85.564138419030925</v>
      </c>
      <c r="BS47" s="140">
        <f t="shared" si="7"/>
        <v>2651993.4</v>
      </c>
      <c r="BT47" s="339">
        <f t="shared" si="89"/>
        <v>1092.1167651006713</v>
      </c>
      <c r="BU47" s="329">
        <f t="shared" si="56"/>
        <v>1119.4016459372906</v>
      </c>
      <c r="BV47" s="339">
        <f t="shared" si="140"/>
        <v>1080.7336043860237</v>
      </c>
      <c r="BW47" s="325">
        <f t="shared" si="90"/>
        <v>1096.1459100671143</v>
      </c>
      <c r="BX47" s="21">
        <f t="shared" si="91"/>
        <v>282939.10801651882</v>
      </c>
      <c r="BY47" s="21">
        <f t="shared" si="92"/>
        <v>3307.5844572527126</v>
      </c>
      <c r="BZ47" s="21">
        <f t="shared" si="93"/>
        <v>85.542519525420886</v>
      </c>
      <c r="CA47" s="21">
        <f t="shared" si="129"/>
        <v>293121.70662690222</v>
      </c>
      <c r="CB47" s="21">
        <f t="shared" si="130"/>
        <v>3408.588645722587</v>
      </c>
      <c r="CC47" s="21">
        <f t="shared" si="135"/>
        <v>85.995036976591038</v>
      </c>
      <c r="CD47" s="342">
        <f t="shared" si="131"/>
        <v>-0.45251745117015219</v>
      </c>
      <c r="CE47" s="342">
        <f t="shared" si="155"/>
        <v>-0.66683673900760709</v>
      </c>
      <c r="CF47" s="343">
        <f t="shared" si="156"/>
        <v>0.21431928783745491</v>
      </c>
      <c r="CG47" s="141">
        <f t="shared" si="94"/>
        <v>3152619.8719127923</v>
      </c>
      <c r="CH47" s="118">
        <f t="shared" si="95"/>
        <v>2858.1398211900369</v>
      </c>
      <c r="CI47" s="118">
        <f t="shared" si="96"/>
        <v>1103.0320660100328</v>
      </c>
      <c r="CJ47" s="118">
        <f t="shared" si="132"/>
        <v>3026473.1844190843</v>
      </c>
      <c r="CK47" s="118">
        <f t="shared" si="133"/>
        <v>2782.7657528027194</v>
      </c>
      <c r="CL47" s="118">
        <f t="shared" si="136"/>
        <v>1087.5774151564535</v>
      </c>
      <c r="CM47" s="350">
        <f t="shared" si="134"/>
        <v>15.454650853579324</v>
      </c>
      <c r="CN47" s="350">
        <f t="shared" si="157"/>
        <v>12.312211275848794</v>
      </c>
      <c r="CO47" s="351">
        <f t="shared" si="158"/>
        <v>3.1424395777305296</v>
      </c>
      <c r="CP47" s="20">
        <f t="shared" si="26"/>
        <v>0.41666666666665719</v>
      </c>
      <c r="CQ47" s="21">
        <f t="shared" si="27"/>
        <v>167666.66666666666</v>
      </c>
      <c r="CR47" s="21">
        <f t="shared" si="28"/>
        <v>0</v>
      </c>
      <c r="CS47" s="21">
        <f t="shared" si="137"/>
        <v>123713.0880233168</v>
      </c>
      <c r="CT47" s="21">
        <f t="shared" si="137"/>
        <v>163599.35583107756</v>
      </c>
      <c r="CU47" s="21">
        <f t="shared" si="105"/>
        <v>0.75619544707165709</v>
      </c>
      <c r="CV47" s="342">
        <f t="shared" si="106"/>
        <v>43.058729501466608</v>
      </c>
      <c r="CW47" s="342">
        <v>0</v>
      </c>
      <c r="CX47" s="355">
        <f t="shared" si="146"/>
        <v>43.062486255874788</v>
      </c>
      <c r="CY47" s="141">
        <f t="shared" si="29"/>
        <v>7.683333333333394</v>
      </c>
      <c r="CZ47" s="118">
        <f t="shared" si="30"/>
        <v>2642758.3000000003</v>
      </c>
      <c r="DA47" s="118">
        <f t="shared" si="31"/>
        <v>0</v>
      </c>
      <c r="DB47" s="118">
        <f t="shared" si="138"/>
        <v>2386781.8495734381</v>
      </c>
      <c r="DC47" s="118">
        <f t="shared" si="138"/>
        <v>741236.55764156324</v>
      </c>
      <c r="DD47" s="118">
        <f t="shared" si="107"/>
        <v>3.2200001807352905</v>
      </c>
      <c r="DE47" s="350">
        <f t="shared" si="108"/>
        <v>76.303318550432849</v>
      </c>
      <c r="DF47" s="350">
        <v>0</v>
      </c>
      <c r="DG47" s="351">
        <f t="shared" si="147"/>
        <v>58.689568555592572</v>
      </c>
      <c r="DH47" s="135">
        <f t="shared" si="32"/>
        <v>1.6000000000000085</v>
      </c>
      <c r="DI47" s="20">
        <f t="shared" si="33"/>
        <v>3200.0000000000173</v>
      </c>
      <c r="DJ47" s="21">
        <f t="shared" si="127"/>
        <v>6710.7244698720951</v>
      </c>
      <c r="DK47" s="21">
        <f t="shared" si="122"/>
        <v>3363.5936219605878</v>
      </c>
      <c r="DL47" s="319">
        <f t="shared" si="123"/>
        <v>1.9951055995761211</v>
      </c>
      <c r="DM47" s="21">
        <f t="shared" si="124"/>
        <v>7980.422398304484</v>
      </c>
      <c r="DN47" s="21">
        <f>DM47*'Base Data'!$D$10</f>
        <v>15960.844796608968</v>
      </c>
      <c r="DO47" s="363">
        <f>IF(INT(('Base Data'!$D$7)/DN47)=0,0,INT(('Base Data'!$D$7)/DN47))</f>
        <v>0</v>
      </c>
      <c r="DP47" s="364">
        <f t="shared" si="113"/>
        <v>2.3836387091709928E-2</v>
      </c>
      <c r="DQ47" s="141">
        <f t="shared" si="34"/>
        <v>17.25</v>
      </c>
      <c r="DR47" s="143">
        <f t="shared" si="35"/>
        <v>40330.5</v>
      </c>
      <c r="DS47" s="118">
        <f t="shared" si="128"/>
        <v>63472.411030663519</v>
      </c>
      <c r="DT47" s="118">
        <f t="shared" si="125"/>
        <v>2778.5802271761968</v>
      </c>
      <c r="DU47" s="329">
        <f t="shared" si="126"/>
        <v>22.843468909000688</v>
      </c>
      <c r="DV47" s="118">
        <f t="shared" si="114"/>
        <v>13706.081345400413</v>
      </c>
      <c r="DW47" s="118">
        <f>DV47*'Base Data'!$D$10</f>
        <v>27412.162690800826</v>
      </c>
      <c r="DX47" s="375">
        <f>IF(INT(('Base Data'!$D$7)/DW47)=0,0,INT(('Base Data'!$D$7)/DW47))</f>
        <v>0</v>
      </c>
      <c r="DY47" s="376">
        <f t="shared" si="115"/>
        <v>2.0138824745658722E-2</v>
      </c>
      <c r="DZ47" s="135">
        <f t="shared" si="36"/>
        <v>1.6000000000000085</v>
      </c>
      <c r="EA47" s="21">
        <f t="shared" si="37"/>
        <v>3200.0000000000173</v>
      </c>
      <c r="EB47" s="21">
        <f t="shared" si="79"/>
        <v>6196.6733200223571</v>
      </c>
      <c r="EC47" s="21">
        <f t="shared" si="75"/>
        <v>3120.356938925328</v>
      </c>
      <c r="ED47" s="319">
        <f t="shared" si="76"/>
        <v>1.9858860512786505</v>
      </c>
      <c r="EE47" s="21">
        <f t="shared" si="63"/>
        <v>7943.5442051146019</v>
      </c>
      <c r="EF47" s="21">
        <f>EE47*'Base Data'!$D$13</f>
        <v>5957.6581538359515</v>
      </c>
      <c r="EG47" s="363">
        <f>IF(INT(('Base Data'!$D$7)/EF47)=0,0,INT(('Base Data'!$D$7)/EF47))</f>
        <v>1</v>
      </c>
      <c r="EH47" s="314">
        <f t="shared" si="64"/>
        <v>2.3726237171787939E-2</v>
      </c>
      <c r="EI47" s="143">
        <f t="shared" si="38"/>
        <v>17.25</v>
      </c>
      <c r="EJ47" s="118">
        <f t="shared" si="39"/>
        <v>40330.5</v>
      </c>
      <c r="EK47" s="118">
        <f t="shared" si="80"/>
        <v>66543.236662761963</v>
      </c>
      <c r="EL47" s="118">
        <f t="shared" si="77"/>
        <v>2846.0988314475485</v>
      </c>
      <c r="EM47" s="329">
        <f t="shared" si="78"/>
        <v>23.380508058083684</v>
      </c>
      <c r="EN47" s="118">
        <f t="shared" si="65"/>
        <v>14028.304834850211</v>
      </c>
      <c r="EO47" s="118">
        <f>EN47*'Base Data'!$D$13</f>
        <v>10521.228626137658</v>
      </c>
      <c r="EP47" s="375">
        <f>IF(INT(('Base Data'!$D$7)/EO47)=0,0,INT(('Base Data'!$D$7)/EO47))</f>
        <v>0</v>
      </c>
      <c r="EQ47" s="385">
        <f t="shared" si="66"/>
        <v>2.0612278989759047E-2</v>
      </c>
      <c r="ER47" s="397">
        <f t="shared" si="116"/>
        <v>-0.39342310256028656</v>
      </c>
      <c r="ES47" s="403">
        <f t="shared" si="67"/>
        <v>-1.1843999467234823</v>
      </c>
      <c r="ET47" s="405">
        <f t="shared" si="117"/>
        <v>2.2305010309666438</v>
      </c>
      <c r="EU47" s="410">
        <f t="shared" si="68"/>
        <v>1.4395003699829154</v>
      </c>
      <c r="EV47" s="20">
        <f t="shared" si="8"/>
        <v>1.6000000000000085</v>
      </c>
      <c r="EW47" s="17">
        <f t="shared" si="9"/>
        <v>1.9161676646706687E-2</v>
      </c>
      <c r="EX47" s="388">
        <f t="shared" si="69"/>
        <v>2.2605669657332909E-2</v>
      </c>
      <c r="EY47" s="388">
        <f t="shared" si="103"/>
        <v>2.2694380947006893E-2</v>
      </c>
      <c r="EZ47" s="314">
        <f t="shared" si="118"/>
        <v>2.1117389581149074E-2</v>
      </c>
      <c r="FA47" s="442">
        <f t="shared" si="10"/>
        <v>17.25</v>
      </c>
      <c r="FB47" s="18">
        <f t="shared" si="11"/>
        <v>1.5388046387154327E-2</v>
      </c>
      <c r="FC47" s="394">
        <f t="shared" si="70"/>
        <v>1.9452006994355096E-2</v>
      </c>
      <c r="FD47" s="394">
        <f t="shared" si="104"/>
        <v>1.9271807140354556E-2</v>
      </c>
      <c r="FE47" s="385">
        <f t="shared" si="119"/>
        <v>1.872838365567369E-2</v>
      </c>
      <c r="FF47" s="416">
        <f t="shared" si="49"/>
        <v>1</v>
      </c>
      <c r="FG47" s="417">
        <f t="shared" si="50"/>
        <v>2</v>
      </c>
      <c r="FH47" s="415">
        <f t="shared" si="111"/>
        <v>11.184210526315724</v>
      </c>
      <c r="FI47" s="413" t="str">
        <f t="shared" si="120"/>
        <v>C-D</v>
      </c>
      <c r="FJ47" s="404">
        <f t="shared" si="112"/>
        <v>41.39602520601067</v>
      </c>
      <c r="FK47" s="414" t="str">
        <f t="shared" si="121"/>
        <v>T-D</v>
      </c>
      <c r="FL47" s="415">
        <f t="shared" si="71"/>
        <v>60.504201680672139</v>
      </c>
      <c r="FM47" s="413" t="str">
        <f t="shared" si="72"/>
        <v>T-R</v>
      </c>
      <c r="FN47" s="404">
        <f t="shared" si="73"/>
        <v>82.431529726118811</v>
      </c>
      <c r="FO47" s="414" t="str">
        <f t="shared" si="74"/>
        <v>T-R</v>
      </c>
      <c r="FQ47" s="135">
        <f t="shared" si="51"/>
        <v>84.714292534756865</v>
      </c>
      <c r="FR47" s="21">
        <f t="shared" si="12"/>
        <v>84.714292534756865</v>
      </c>
      <c r="FS47" s="21">
        <f t="shared" si="13"/>
        <v>83.1</v>
      </c>
      <c r="FT47" s="182">
        <f t="shared" si="14"/>
        <v>83.75</v>
      </c>
      <c r="FU47" s="141">
        <f t="shared" si="52"/>
        <v>1118.7765619373599</v>
      </c>
      <c r="FV47" s="118">
        <f t="shared" si="15"/>
        <v>1137</v>
      </c>
      <c r="FW47" s="118">
        <f t="shared" si="16"/>
        <v>1118.7765619373599</v>
      </c>
      <c r="FX47" s="181">
        <f t="shared" si="17"/>
        <v>1128.0125</v>
      </c>
    </row>
    <row r="48" spans="1:180" x14ac:dyDescent="0.3">
      <c r="A48" s="100">
        <f>90-A40</f>
        <v>7.5</v>
      </c>
      <c r="B48" s="35">
        <f t="shared" si="148"/>
        <v>4.1666666666666664E-2</v>
      </c>
      <c r="C48" s="36">
        <f t="shared" ca="1" si="141"/>
        <v>24.64411144590942</v>
      </c>
      <c r="D48" s="37" t="s">
        <v>37</v>
      </c>
      <c r="E48" s="270">
        <f t="shared" ca="1" si="142"/>
        <v>1176.7018379769129</v>
      </c>
      <c r="F48" s="265">
        <f t="shared" ca="1" si="143"/>
        <v>1174.6823468627513</v>
      </c>
      <c r="G48" s="37" t="s">
        <v>36</v>
      </c>
      <c r="H48" s="36">
        <f t="shared" ca="1" si="144"/>
        <v>23.823675293968339</v>
      </c>
      <c r="I48" s="35">
        <f t="shared" si="145"/>
        <v>4.1666666666666664E-2</v>
      </c>
      <c r="J48" s="101">
        <f>90-J40</f>
        <v>7.5</v>
      </c>
      <c r="L48" s="283">
        <f t="shared" si="40"/>
        <v>45</v>
      </c>
      <c r="M48" s="290">
        <f>'[6]ASHOKLEY-I'!C64</f>
        <v>42860</v>
      </c>
      <c r="N48" s="7">
        <f>'[6]ASHOKLEY-I'!D64</f>
        <v>83.8</v>
      </c>
      <c r="O48" s="7">
        <f>'[6]ASHOKLEY-I'!E64</f>
        <v>84.6</v>
      </c>
      <c r="P48" s="7">
        <f>'[6]ASHOKLEY-I'!F64</f>
        <v>82.45</v>
      </c>
      <c r="Q48" s="7">
        <f>'[6]ASHOKLEY-I'!G64</f>
        <v>83.25</v>
      </c>
      <c r="R48" s="11">
        <f>'[6]ASHOKLEY-I'!H64</f>
        <v>2560</v>
      </c>
      <c r="S48" s="291">
        <f>'[7]ASIANPAINT-I'!C64</f>
        <v>42860</v>
      </c>
      <c r="T48" s="9">
        <f>'[7]ASIANPAINT-I'!D64</f>
        <v>1137</v>
      </c>
      <c r="U48" s="9">
        <f>'[7]ASIANPAINT-I'!E64</f>
        <v>1162.8499999999999</v>
      </c>
      <c r="V48" s="9">
        <f>'[7]ASIANPAINT-I'!F64</f>
        <v>1136.25</v>
      </c>
      <c r="W48" s="9">
        <f>'[7]ASIANPAINT-I'!G64</f>
        <v>1147.45</v>
      </c>
      <c r="X48" s="12">
        <f>'[7]ASIANPAINT-I'!H64</f>
        <v>5172</v>
      </c>
      <c r="Y48" s="115"/>
      <c r="Z48" s="122">
        <f t="shared" si="18"/>
        <v>-5.3763440860215388E-3</v>
      </c>
      <c r="AA48" s="19">
        <f t="shared" si="19"/>
        <v>1.1593052984219422E-2</v>
      </c>
      <c r="AB48" s="305">
        <f>IF(OR(SUM(Z28:Z48)=0,SUM('BNF-Nifty'!AA28:AA48)=0),0,(_xlfn.COVARIANCE.P(Z28:Z48,'BNF-Nifty'!AA28:AA48)/_xlfn.VAR.P('BNF-Nifty'!AA28:AA48)))</f>
        <v>1.058393917940355</v>
      </c>
      <c r="AC48" s="306">
        <f>IF(OR(SUM(AA28:AA48)=0,SUM('BNF-Nifty'!AA28:AA48)=0),0,(_xlfn.COVARIANCE.P(AA28:AA48,'BNF-Nifty'!AA28:AA48)/_xlfn.VAR.P('BNF-Nifty'!AA28:AA48)))</f>
        <v>0.9911615775981123</v>
      </c>
      <c r="AD48" s="466">
        <f t="shared" si="20"/>
        <v>-5.3908486348764233E-3</v>
      </c>
      <c r="AE48" s="17">
        <f t="shared" si="41"/>
        <v>1.4069020760293658E-2</v>
      </c>
      <c r="AF48" s="17">
        <f t="shared" si="42"/>
        <v>1.3704188388394566E-2</v>
      </c>
      <c r="AG48" s="314">
        <f t="shared" si="43"/>
        <v>0.26181815153915911</v>
      </c>
      <c r="AH48" s="467">
        <f t="shared" si="21"/>
        <v>1.1526368435623902E-2</v>
      </c>
      <c r="AI48" s="18">
        <f t="shared" si="149"/>
        <v>1.0941980166584547E-2</v>
      </c>
      <c r="AJ48" s="18">
        <f t="shared" si="150"/>
        <v>1.0977920765190403E-2</v>
      </c>
      <c r="AK48" s="385">
        <f t="shared" si="151"/>
        <v>0.20973288173121901</v>
      </c>
      <c r="AL48" s="10">
        <f t="shared" si="23"/>
        <v>2.5742217606569594E-2</v>
      </c>
      <c r="AM48" s="17">
        <f t="shared" si="45"/>
        <v>2.4270010230460732E-2</v>
      </c>
      <c r="AN48" s="17">
        <f t="shared" si="46"/>
        <v>2.4360851767327583E-2</v>
      </c>
      <c r="AO48" s="314">
        <f t="shared" si="47"/>
        <v>0.46541341952380699</v>
      </c>
      <c r="AP48" s="448">
        <f t="shared" si="24"/>
        <v>2.3140521924576236E-2</v>
      </c>
      <c r="AQ48" s="18">
        <f t="shared" si="152"/>
        <v>1.8357980080420406E-2</v>
      </c>
      <c r="AR48" s="18">
        <f t="shared" si="153"/>
        <v>1.8679494960293579E-2</v>
      </c>
      <c r="AS48" s="385">
        <f t="shared" si="154"/>
        <v>0.35687125013041621</v>
      </c>
      <c r="AT48" s="6">
        <f t="shared" si="0"/>
        <v>214528</v>
      </c>
      <c r="AU48" s="319">
        <v>0</v>
      </c>
      <c r="AV48" s="140">
        <f t="shared" si="1"/>
        <v>5880564</v>
      </c>
      <c r="AW48" s="481">
        <v>0</v>
      </c>
      <c r="AX48" s="135">
        <f t="shared" si="97"/>
        <v>276419.85606250365</v>
      </c>
      <c r="AY48" s="21">
        <f t="shared" si="98"/>
        <v>3223.7207212519243</v>
      </c>
      <c r="AZ48" s="319">
        <f t="shared" si="99"/>
        <v>85.745596459471415</v>
      </c>
      <c r="BA48" s="21">
        <f t="shared" si="2"/>
        <v>83.433333333333337</v>
      </c>
      <c r="BB48" s="21">
        <f t="shared" si="3"/>
        <v>213589.33333333334</v>
      </c>
      <c r="BC48" s="21">
        <f t="shared" si="61"/>
        <v>228649.36669085192</v>
      </c>
      <c r="BD48" s="21">
        <f t="shared" si="57"/>
        <v>2701.9371839259534</v>
      </c>
      <c r="BE48" s="332">
        <f t="shared" si="58"/>
        <v>84.624234808679418</v>
      </c>
      <c r="BF48" s="141">
        <f t="shared" si="100"/>
        <v>3525103.2833890636</v>
      </c>
      <c r="BG48" s="118">
        <f t="shared" si="101"/>
        <v>3183.0649103706869</v>
      </c>
      <c r="BH48" s="329">
        <f t="shared" si="102"/>
        <v>1107.4556701322638</v>
      </c>
      <c r="BI48" s="118">
        <f t="shared" si="4"/>
        <v>1148.8500000000001</v>
      </c>
      <c r="BJ48" s="118">
        <f t="shared" si="5"/>
        <v>5941852.2000000011</v>
      </c>
      <c r="BK48" s="118">
        <f t="shared" si="62"/>
        <v>3976441.8325796658</v>
      </c>
      <c r="BL48" s="118">
        <f t="shared" si="59"/>
        <v>3511.7649160264218</v>
      </c>
      <c r="BM48" s="325">
        <f t="shared" si="60"/>
        <v>1132.3200520720015</v>
      </c>
      <c r="BN48" s="6">
        <f t="shared" si="6"/>
        <v>213120</v>
      </c>
      <c r="BO48" s="331">
        <f t="shared" si="87"/>
        <v>85.916246464557176</v>
      </c>
      <c r="BP48" s="319">
        <f t="shared" si="55"/>
        <v>83.988797426040449</v>
      </c>
      <c r="BQ48" s="331">
        <f t="shared" si="139"/>
        <v>86.087932832022574</v>
      </c>
      <c r="BR48" s="332">
        <f t="shared" si="88"/>
        <v>85.538421424783436</v>
      </c>
      <c r="BS48" s="140">
        <f t="shared" si="7"/>
        <v>5934611.4000000004</v>
      </c>
      <c r="BT48" s="339">
        <f t="shared" si="89"/>
        <v>1098.1543255221725</v>
      </c>
      <c r="BU48" s="329">
        <f t="shared" si="56"/>
        <v>1131.9833953640225</v>
      </c>
      <c r="BV48" s="339">
        <f t="shared" si="140"/>
        <v>1084.2524108160937</v>
      </c>
      <c r="BW48" s="325">
        <f t="shared" si="90"/>
        <v>1103.8815335830946</v>
      </c>
      <c r="BX48" s="21">
        <f t="shared" si="91"/>
        <v>272269.91191141336</v>
      </c>
      <c r="BY48" s="21">
        <f t="shared" si="92"/>
        <v>3192.5714638292184</v>
      </c>
      <c r="BZ48" s="21">
        <f t="shared" si="93"/>
        <v>85.282323354744491</v>
      </c>
      <c r="CA48" s="21">
        <f t="shared" si="129"/>
        <v>287230.4197162675</v>
      </c>
      <c r="CB48" s="21">
        <f t="shared" si="130"/>
        <v>3345.730227520914</v>
      </c>
      <c r="CC48" s="21">
        <f t="shared" si="135"/>
        <v>85.849844483455755</v>
      </c>
      <c r="CD48" s="342">
        <f t="shared" si="131"/>
        <v>-0.56752112871126315</v>
      </c>
      <c r="CE48" s="342">
        <f t="shared" si="155"/>
        <v>-0.64697361694833833</v>
      </c>
      <c r="CF48" s="343">
        <f t="shared" si="156"/>
        <v>7.9452488237075181E-2</v>
      </c>
      <c r="CG48" s="141">
        <f t="shared" si="94"/>
        <v>3581732.5377723631</v>
      </c>
      <c r="CH48" s="118">
        <f t="shared" si="95"/>
        <v>3214.1183102377236</v>
      </c>
      <c r="CI48" s="118">
        <f t="shared" si="96"/>
        <v>1114.3748275736152</v>
      </c>
      <c r="CJ48" s="118">
        <f t="shared" si="132"/>
        <v>3242427.1855732263</v>
      </c>
      <c r="CK48" s="118">
        <f t="shared" si="133"/>
        <v>2959.7460674099252</v>
      </c>
      <c r="CL48" s="118">
        <f t="shared" si="136"/>
        <v>1095.5085712507341</v>
      </c>
      <c r="CM48" s="350">
        <f t="shared" si="134"/>
        <v>18.8662563228811</v>
      </c>
      <c r="CN48" s="350">
        <f t="shared" si="157"/>
        <v>13.623020285255254</v>
      </c>
      <c r="CO48" s="351">
        <f t="shared" si="158"/>
        <v>5.2432360376258451</v>
      </c>
      <c r="CP48" s="20">
        <f t="shared" si="26"/>
        <v>-0.39999999999999147</v>
      </c>
      <c r="CQ48" s="21">
        <f t="shared" si="27"/>
        <v>0</v>
      </c>
      <c r="CR48" s="21">
        <f t="shared" si="28"/>
        <v>213589.33333333334</v>
      </c>
      <c r="CS48" s="21">
        <f t="shared" si="137"/>
        <v>107218.00962020789</v>
      </c>
      <c r="CT48" s="21">
        <f t="shared" si="137"/>
        <v>170264.68616471166</v>
      </c>
      <c r="CU48" s="21">
        <f t="shared" si="105"/>
        <v>0.62971372417464588</v>
      </c>
      <c r="CV48" s="342">
        <f t="shared" si="106"/>
        <v>38.639530049583328</v>
      </c>
      <c r="CW48" s="342">
        <v>0</v>
      </c>
      <c r="CX48" s="355">
        <f t="shared" si="146"/>
        <v>43.158281993444177</v>
      </c>
      <c r="CY48" s="141">
        <f t="shared" si="29"/>
        <v>18.5</v>
      </c>
      <c r="CZ48" s="118">
        <f t="shared" si="30"/>
        <v>5941852.2000000011</v>
      </c>
      <c r="DA48" s="118">
        <f t="shared" si="31"/>
        <v>0</v>
      </c>
      <c r="DB48" s="118">
        <f t="shared" si="138"/>
        <v>2860791.2296303129</v>
      </c>
      <c r="DC48" s="118">
        <f t="shared" si="138"/>
        <v>642405.01662268816</v>
      </c>
      <c r="DD48" s="118">
        <f t="shared" si="107"/>
        <v>4.4532516957453607</v>
      </c>
      <c r="DE48" s="350">
        <f t="shared" si="108"/>
        <v>81.66231716793483</v>
      </c>
      <c r="DF48" s="350">
        <v>0</v>
      </c>
      <c r="DG48" s="351">
        <f t="shared" si="147"/>
        <v>59.528663396862648</v>
      </c>
      <c r="DH48" s="135">
        <f t="shared" si="32"/>
        <v>2.1499999999999915</v>
      </c>
      <c r="DI48" s="20">
        <f t="shared" si="33"/>
        <v>5503.9999999999782</v>
      </c>
      <c r="DJ48" s="21">
        <f t="shared" si="127"/>
        <v>6601.0222453382667</v>
      </c>
      <c r="DK48" s="21">
        <f t="shared" si="122"/>
        <v>3290.5396563278073</v>
      </c>
      <c r="DL48" s="319">
        <f t="shared" si="123"/>
        <v>2.006060687536253</v>
      </c>
      <c r="DM48" s="21">
        <f t="shared" si="124"/>
        <v>8024.242750145012</v>
      </c>
      <c r="DN48" s="21">
        <f>DM48*'Base Data'!$D$10</f>
        <v>16048.485500290024</v>
      </c>
      <c r="DO48" s="363">
        <f>IF(INT(('Base Data'!$D$7)/DN48)=0,0,INT(('Base Data'!$D$7)/DN48))</f>
        <v>0</v>
      </c>
      <c r="DP48" s="364">
        <f t="shared" si="113"/>
        <v>2.4096825075510548E-2</v>
      </c>
      <c r="DQ48" s="141">
        <f t="shared" si="34"/>
        <v>28.549999999999955</v>
      </c>
      <c r="DR48" s="143">
        <f t="shared" si="35"/>
        <v>147660.59999999977</v>
      </c>
      <c r="DS48" s="118">
        <f t="shared" si="128"/>
        <v>71125.882755148632</v>
      </c>
      <c r="DT48" s="118">
        <f t="shared" si="125"/>
        <v>2996.1638428874517</v>
      </c>
      <c r="DU48" s="329">
        <f t="shared" si="126"/>
        <v>23.738983074638355</v>
      </c>
      <c r="DV48" s="118">
        <f t="shared" si="114"/>
        <v>14243.389844783012</v>
      </c>
      <c r="DW48" s="118">
        <f>DV48*'Base Data'!$D$10</f>
        <v>28486.779689566025</v>
      </c>
      <c r="DX48" s="375">
        <f>IF(INT(('Base Data'!$D$7)/DW48)=0,0,INT(('Base Data'!$D$7)/DW48))</f>
        <v>0</v>
      </c>
      <c r="DY48" s="376">
        <f t="shared" si="115"/>
        <v>2.0688468407894334E-2</v>
      </c>
      <c r="DZ48" s="135">
        <f t="shared" si="36"/>
        <v>2.1499999999999915</v>
      </c>
      <c r="EA48" s="21">
        <f t="shared" si="37"/>
        <v>5503.9999999999782</v>
      </c>
      <c r="EB48" s="21">
        <f t="shared" si="79"/>
        <v>6042.7459155729393</v>
      </c>
      <c r="EC48" s="21">
        <f t="shared" si="75"/>
        <v>2995.8331747196994</v>
      </c>
      <c r="ED48" s="319">
        <f t="shared" si="76"/>
        <v>2.0170502037845681</v>
      </c>
      <c r="EE48" s="21">
        <f t="shared" si="63"/>
        <v>8068.2008151382724</v>
      </c>
      <c r="EF48" s="21">
        <f>EE48*'Base Data'!$D$13</f>
        <v>6051.1506113537043</v>
      </c>
      <c r="EG48" s="363">
        <f>IF(INT(('Base Data'!$D$7)/EF48)=0,0,INT(('Base Data'!$D$7)/EF48))</f>
        <v>1</v>
      </c>
      <c r="EH48" s="314">
        <f t="shared" si="64"/>
        <v>2.4228831276691509E-2</v>
      </c>
      <c r="EI48" s="143">
        <f t="shared" si="38"/>
        <v>28.549999999999955</v>
      </c>
      <c r="EJ48" s="118">
        <f t="shared" si="39"/>
        <v>147660.59999999977</v>
      </c>
      <c r="EK48" s="118">
        <f t="shared" si="80"/>
        <v>84569.317404370362</v>
      </c>
      <c r="EL48" s="118">
        <f t="shared" si="77"/>
        <v>3362.9657577925377</v>
      </c>
      <c r="EM48" s="329">
        <f t="shared" si="78"/>
        <v>25.147243086971528</v>
      </c>
      <c r="EN48" s="118">
        <f t="shared" si="65"/>
        <v>15088.345852182916</v>
      </c>
      <c r="EO48" s="118">
        <f>EN48*'Base Data'!$D$13</f>
        <v>11316.259389137187</v>
      </c>
      <c r="EP48" s="375">
        <f>IF(INT(('Base Data'!$D$7)/EO48)=0,0,INT(('Base Data'!$D$7)/EO48))</f>
        <v>0</v>
      </c>
      <c r="EQ48" s="385">
        <f t="shared" si="66"/>
        <v>2.1915763725627719E-2</v>
      </c>
      <c r="ER48" s="397">
        <f t="shared" si="116"/>
        <v>-0.59858291339550596</v>
      </c>
      <c r="ES48" s="403">
        <f t="shared" si="67"/>
        <v>-1.3282597833409324</v>
      </c>
      <c r="ET48" s="405">
        <f t="shared" si="117"/>
        <v>2.592514203331703</v>
      </c>
      <c r="EU48" s="410">
        <f t="shared" si="68"/>
        <v>1.569671734199644</v>
      </c>
      <c r="EV48" s="20">
        <f t="shared" si="8"/>
        <v>2.1499999999999915</v>
      </c>
      <c r="EW48" s="17">
        <f t="shared" si="9"/>
        <v>2.56563245823388E-2</v>
      </c>
      <c r="EX48" s="388">
        <f t="shared" si="69"/>
        <v>2.29931613579448E-2</v>
      </c>
      <c r="EY48" s="388">
        <f t="shared" si="103"/>
        <v>2.3655192914833069E-2</v>
      </c>
      <c r="EZ48" s="314">
        <f t="shared" si="118"/>
        <v>2.1418540195204699E-2</v>
      </c>
      <c r="FA48" s="442">
        <f t="shared" si="10"/>
        <v>26.599999999999909</v>
      </c>
      <c r="FB48" s="18">
        <f t="shared" si="11"/>
        <v>2.3394898856640201E-2</v>
      </c>
      <c r="FC48" s="394">
        <f t="shared" si="70"/>
        <v>2.0908876367337837E-2</v>
      </c>
      <c r="FD48" s="394">
        <f t="shared" si="104"/>
        <v>1.9579831535676766E-2</v>
      </c>
      <c r="FE48" s="385">
        <f t="shared" si="119"/>
        <v>1.8700556878393677E-2</v>
      </c>
      <c r="FF48" s="416">
        <f t="shared" si="49"/>
        <v>2</v>
      </c>
      <c r="FG48" s="417">
        <f t="shared" si="50"/>
        <v>2</v>
      </c>
      <c r="FH48" s="415">
        <f t="shared" si="111"/>
        <v>28.28947368421062</v>
      </c>
      <c r="FI48" s="413" t="str">
        <f t="shared" si="120"/>
        <v>C-R</v>
      </c>
      <c r="FJ48" s="404">
        <f t="shared" si="112"/>
        <v>48.403626330311496</v>
      </c>
      <c r="FK48" s="414" t="str">
        <f t="shared" si="121"/>
        <v>T-R</v>
      </c>
      <c r="FL48" s="415">
        <f t="shared" si="71"/>
        <v>75.590551181102384</v>
      </c>
      <c r="FM48" s="413" t="str">
        <f t="shared" si="72"/>
        <v>T-R</v>
      </c>
      <c r="FN48" s="404">
        <f t="shared" si="73"/>
        <v>52.975871313673018</v>
      </c>
      <c r="FO48" s="414" t="str">
        <f t="shared" si="74"/>
        <v>T-D</v>
      </c>
      <c r="FQ48" s="135">
        <f t="shared" si="51"/>
        <v>84.232146267378425</v>
      </c>
      <c r="FR48" s="21">
        <f t="shared" si="12"/>
        <v>84.6</v>
      </c>
      <c r="FS48" s="21">
        <f t="shared" si="13"/>
        <v>82.45</v>
      </c>
      <c r="FT48" s="182">
        <f t="shared" si="14"/>
        <v>83.524999999999991</v>
      </c>
      <c r="FU48" s="141">
        <f t="shared" si="52"/>
        <v>1123.3945309686801</v>
      </c>
      <c r="FV48" s="118">
        <f t="shared" si="15"/>
        <v>1162.8499999999999</v>
      </c>
      <c r="FW48" s="118">
        <f t="shared" si="16"/>
        <v>1123.3945309686801</v>
      </c>
      <c r="FX48" s="181">
        <f t="shared" si="17"/>
        <v>1145.8875</v>
      </c>
    </row>
    <row r="49" spans="1:180" ht="11.15" thickBot="1" x14ac:dyDescent="0.35">
      <c r="A49" s="102">
        <f>90-A39</f>
        <v>3.75</v>
      </c>
      <c r="B49" s="103">
        <f t="shared" si="148"/>
        <v>2.0833333333333332E-2</v>
      </c>
      <c r="C49" s="104">
        <f t="shared" ca="1" si="141"/>
        <v>24.437700324590814</v>
      </c>
      <c r="D49" s="105" t="s">
        <v>35</v>
      </c>
      <c r="E49" s="273">
        <f t="shared" ca="1" si="142"/>
        <v>1176.1841187567622</v>
      </c>
      <c r="F49" s="268">
        <f t="shared" ca="1" si="143"/>
        <v>1175.1744274531536</v>
      </c>
      <c r="G49" s="105" t="s">
        <v>34</v>
      </c>
      <c r="H49" s="104">
        <f t="shared" ca="1" si="144"/>
        <v>24.027482248620281</v>
      </c>
      <c r="I49" s="103">
        <f t="shared" si="145"/>
        <v>2.0833333333333332E-2</v>
      </c>
      <c r="J49" s="106">
        <f>90-J39</f>
        <v>3.75</v>
      </c>
      <c r="L49" s="283">
        <f t="shared" si="40"/>
        <v>46</v>
      </c>
      <c r="M49" s="290">
        <f>'[6]ASHOKLEY-I'!C65</f>
        <v>42863</v>
      </c>
      <c r="N49" s="7">
        <f>'[6]ASHOKLEY-I'!D65</f>
        <v>83.75</v>
      </c>
      <c r="O49" s="7">
        <f>'[6]ASHOKLEY-I'!E65</f>
        <v>84.6</v>
      </c>
      <c r="P49" s="7">
        <f>'[6]ASHOKLEY-I'!F65</f>
        <v>82.8</v>
      </c>
      <c r="Q49" s="7">
        <f>'[6]ASHOKLEY-I'!G65</f>
        <v>83.9</v>
      </c>
      <c r="R49" s="11">
        <f>'[6]ASHOKLEY-I'!H65</f>
        <v>2274</v>
      </c>
      <c r="S49" s="291">
        <f>'[7]ASIANPAINT-I'!C65</f>
        <v>42863</v>
      </c>
      <c r="T49" s="9">
        <f>'[7]ASIANPAINT-I'!D65</f>
        <v>1147.75</v>
      </c>
      <c r="U49" s="9">
        <f>'[7]ASIANPAINT-I'!E65</f>
        <v>1173.5</v>
      </c>
      <c r="V49" s="9">
        <f>'[7]ASIANPAINT-I'!F65</f>
        <v>1145.25</v>
      </c>
      <c r="W49" s="9">
        <f>'[7]ASIANPAINT-I'!G65</f>
        <v>1169.05</v>
      </c>
      <c r="X49" s="12">
        <f>'[7]ASIANPAINT-I'!H65</f>
        <v>2540</v>
      </c>
      <c r="Y49" s="115"/>
      <c r="Z49" s="122">
        <f t="shared" si="18"/>
        <v>7.8078078078078761E-3</v>
      </c>
      <c r="AA49" s="19">
        <f t="shared" si="19"/>
        <v>1.8824349644864621E-2</v>
      </c>
      <c r="AB49" s="305">
        <f>IF(OR(SUM(Z29:Z49)=0,SUM('BNF-Nifty'!AA29:AA49)=0),0,(_xlfn.COVARIANCE.P(Z29:Z49,'BNF-Nifty'!AA29:AA49)/_xlfn.VAR.P('BNF-Nifty'!AA29:AA49)))</f>
        <v>1.0482101431451198</v>
      </c>
      <c r="AC49" s="306">
        <f>IF(OR(SUM(AA29:AA49)=0,SUM('BNF-Nifty'!AA29:AA49)=0),0,(_xlfn.COVARIANCE.P(AA29:AA49,'BNF-Nifty'!AA29:AA49)/_xlfn.VAR.P('BNF-Nifty'!AA29:AA49)))</f>
        <v>1.1471256253918158</v>
      </c>
      <c r="AD49" s="466">
        <f t="shared" si="20"/>
        <v>7.7774846126073523E-3</v>
      </c>
      <c r="AE49" s="17">
        <f t="shared" si="41"/>
        <v>1.3704188388394566E-2</v>
      </c>
      <c r="AF49" s="17">
        <f t="shared" si="42"/>
        <v>1.3422587255648315E-2</v>
      </c>
      <c r="AG49" s="314">
        <f t="shared" si="43"/>
        <v>0.25643816945212111</v>
      </c>
      <c r="AH49" s="467">
        <f t="shared" si="21"/>
        <v>1.8649364156426637E-2</v>
      </c>
      <c r="AI49" s="18">
        <f t="shared" si="149"/>
        <v>1.0977920765190403E-2</v>
      </c>
      <c r="AJ49" s="18">
        <f t="shared" si="150"/>
        <v>1.1582391232967885E-2</v>
      </c>
      <c r="AK49" s="385">
        <f t="shared" si="151"/>
        <v>0.22128127380291115</v>
      </c>
      <c r="AL49" s="10">
        <f t="shared" si="23"/>
        <v>2.1506205220963463E-2</v>
      </c>
      <c r="AM49" s="17">
        <f t="shared" si="45"/>
        <v>2.4360851767327583E-2</v>
      </c>
      <c r="AN49" s="17">
        <f t="shared" si="46"/>
        <v>2.4199071153254967E-2</v>
      </c>
      <c r="AO49" s="314">
        <f t="shared" si="47"/>
        <v>0.46232260523178864</v>
      </c>
      <c r="AP49" s="448">
        <f t="shared" si="24"/>
        <v>2.4367782524226691E-2</v>
      </c>
      <c r="AQ49" s="18">
        <f t="shared" si="152"/>
        <v>1.8679494960293579E-2</v>
      </c>
      <c r="AR49" s="18">
        <f t="shared" si="153"/>
        <v>1.9068703405376457E-2</v>
      </c>
      <c r="AS49" s="385">
        <f t="shared" si="154"/>
        <v>0.36430706703303012</v>
      </c>
      <c r="AT49" s="6">
        <f t="shared" si="0"/>
        <v>190447.5</v>
      </c>
      <c r="AU49" s="319">
        <v>0</v>
      </c>
      <c r="AV49" s="140">
        <f t="shared" si="1"/>
        <v>2915285</v>
      </c>
      <c r="AW49" s="481">
        <v>0</v>
      </c>
      <c r="AX49" s="135">
        <f t="shared" si="97"/>
        <v>264138.09091071744</v>
      </c>
      <c r="AY49" s="21">
        <f t="shared" si="98"/>
        <v>3088.0463325016494</v>
      </c>
      <c r="AZ49" s="319">
        <f t="shared" si="99"/>
        <v>85.535663157209555</v>
      </c>
      <c r="BA49" s="21">
        <f t="shared" si="2"/>
        <v>83.766666666666666</v>
      </c>
      <c r="BB49" s="21">
        <f t="shared" si="3"/>
        <v>190485.4</v>
      </c>
      <c r="BC49" s="21">
        <f t="shared" si="61"/>
        <v>215928.04446056794</v>
      </c>
      <c r="BD49" s="21">
        <f t="shared" si="57"/>
        <v>2559.2914559506357</v>
      </c>
      <c r="BE49" s="332">
        <f t="shared" si="58"/>
        <v>84.370243943303663</v>
      </c>
      <c r="BF49" s="141">
        <f t="shared" si="100"/>
        <v>3437986.3857620545</v>
      </c>
      <c r="BG49" s="118">
        <f t="shared" si="101"/>
        <v>3091.1984946034459</v>
      </c>
      <c r="BH49" s="329">
        <f t="shared" si="102"/>
        <v>1112.1855784298627</v>
      </c>
      <c r="BI49" s="118">
        <f t="shared" si="4"/>
        <v>1162.6000000000001</v>
      </c>
      <c r="BJ49" s="118">
        <f t="shared" si="5"/>
        <v>2953004.0000000005</v>
      </c>
      <c r="BK49" s="118">
        <f t="shared" si="62"/>
        <v>3635295.8883864442</v>
      </c>
      <c r="BL49" s="118">
        <f t="shared" si="59"/>
        <v>3187.843277350948</v>
      </c>
      <c r="BM49" s="325">
        <f t="shared" si="60"/>
        <v>1140.3621734526807</v>
      </c>
      <c r="BN49" s="6">
        <f t="shared" si="6"/>
        <v>190788.6</v>
      </c>
      <c r="BO49" s="331">
        <f t="shared" si="87"/>
        <v>85.960367302524929</v>
      </c>
      <c r="BP49" s="319">
        <f t="shared" si="55"/>
        <v>83.648760832590909</v>
      </c>
      <c r="BQ49" s="331">
        <f t="shared" si="139"/>
        <v>85.867595782743379</v>
      </c>
      <c r="BR49" s="332">
        <f t="shared" si="88"/>
        <v>85.665922364593271</v>
      </c>
      <c r="BS49" s="140">
        <f t="shared" si="7"/>
        <v>2969387</v>
      </c>
      <c r="BT49" s="339">
        <f t="shared" si="89"/>
        <v>1103.2861089360867</v>
      </c>
      <c r="BU49" s="329">
        <f t="shared" si="56"/>
        <v>1139.9329368833628</v>
      </c>
      <c r="BV49" s="339">
        <f t="shared" si="140"/>
        <v>1086.3610993738926</v>
      </c>
      <c r="BW49" s="325">
        <f t="shared" si="90"/>
        <v>1111.5649823823042</v>
      </c>
      <c r="BX49" s="21">
        <f t="shared" si="91"/>
        <v>259687.67930965745</v>
      </c>
      <c r="BY49" s="21">
        <f t="shared" si="92"/>
        <v>3051.2527770862616</v>
      </c>
      <c r="BZ49" s="21">
        <f t="shared" si="93"/>
        <v>85.108543369403009</v>
      </c>
      <c r="CA49" s="21">
        <f t="shared" si="129"/>
        <v>280064.12195950694</v>
      </c>
      <c r="CB49" s="21">
        <f t="shared" si="130"/>
        <v>3266.3428032601055</v>
      </c>
      <c r="CC49" s="21">
        <f t="shared" si="135"/>
        <v>85.742415548048911</v>
      </c>
      <c r="CD49" s="342">
        <f t="shared" si="131"/>
        <v>-0.63387217864590184</v>
      </c>
      <c r="CE49" s="342">
        <f t="shared" si="155"/>
        <v>-0.64435332928785105</v>
      </c>
      <c r="CF49" s="343">
        <f t="shared" si="156"/>
        <v>1.0481150641949211E-2</v>
      </c>
      <c r="CG49" s="141">
        <f t="shared" si="94"/>
        <v>3485005.0704227686</v>
      </c>
      <c r="CH49" s="118">
        <f t="shared" si="95"/>
        <v>3110.4078009703817</v>
      </c>
      <c r="CI49" s="118">
        <f t="shared" si="96"/>
        <v>1120.4334908546464</v>
      </c>
      <c r="CJ49" s="118">
        <f t="shared" si="132"/>
        <v>3220988.4310863209</v>
      </c>
      <c r="CK49" s="118">
        <f t="shared" si="133"/>
        <v>2928.653766120301</v>
      </c>
      <c r="CL49" s="118">
        <f t="shared" si="136"/>
        <v>1099.8187864840324</v>
      </c>
      <c r="CM49" s="350">
        <f t="shared" si="134"/>
        <v>20.614704370613936</v>
      </c>
      <c r="CN49" s="350">
        <f t="shared" si="157"/>
        <v>15.021357102326991</v>
      </c>
      <c r="CO49" s="351">
        <f t="shared" si="158"/>
        <v>5.5933472682869443</v>
      </c>
      <c r="CP49" s="20">
        <f t="shared" si="26"/>
        <v>0.3333333333333286</v>
      </c>
      <c r="CQ49" s="21">
        <f t="shared" si="27"/>
        <v>190485.4</v>
      </c>
      <c r="CR49" s="21">
        <f t="shared" si="28"/>
        <v>0</v>
      </c>
      <c r="CS49" s="21">
        <f t="shared" si="137"/>
        <v>118320.32833751349</v>
      </c>
      <c r="CT49" s="21">
        <f t="shared" si="137"/>
        <v>147562.72800941678</v>
      </c>
      <c r="CU49" s="21">
        <f t="shared" si="105"/>
        <v>0.80183071927189387</v>
      </c>
      <c r="CV49" s="342">
        <f t="shared" si="106"/>
        <v>44.500890716077237</v>
      </c>
      <c r="CW49" s="342">
        <v>0</v>
      </c>
      <c r="CX49" s="355">
        <f t="shared" si="146"/>
        <v>43.267803888742662</v>
      </c>
      <c r="CY49" s="141">
        <f t="shared" si="29"/>
        <v>13.75</v>
      </c>
      <c r="CZ49" s="118">
        <f t="shared" si="30"/>
        <v>2953004.0000000005</v>
      </c>
      <c r="DA49" s="118">
        <f t="shared" si="31"/>
        <v>0</v>
      </c>
      <c r="DB49" s="118">
        <f t="shared" si="138"/>
        <v>2873086.2656796044</v>
      </c>
      <c r="DC49" s="118">
        <f t="shared" si="138"/>
        <v>556751.01440632972</v>
      </c>
      <c r="DD49" s="118">
        <f t="shared" si="107"/>
        <v>5.1604508861887046</v>
      </c>
      <c r="DE49" s="350">
        <f t="shared" si="108"/>
        <v>83.767421922932144</v>
      </c>
      <c r="DF49" s="350">
        <v>0</v>
      </c>
      <c r="DG49" s="351">
        <f t="shared" si="147"/>
        <v>60.827495006603961</v>
      </c>
      <c r="DH49" s="135">
        <f t="shared" si="32"/>
        <v>1.7999999999999972</v>
      </c>
      <c r="DI49" s="20">
        <f t="shared" si="33"/>
        <v>4093.1999999999935</v>
      </c>
      <c r="DJ49" s="21">
        <f t="shared" si="127"/>
        <v>6373.0384048529695</v>
      </c>
      <c r="DK49" s="21">
        <f t="shared" si="122"/>
        <v>3198.1269602980065</v>
      </c>
      <c r="DL49" s="319">
        <f t="shared" si="123"/>
        <v>1.9927409023996721</v>
      </c>
      <c r="DM49" s="21">
        <f t="shared" si="124"/>
        <v>7970.963609598688</v>
      </c>
      <c r="DN49" s="21">
        <f>DM49*'Base Data'!$D$10</f>
        <v>15941.927219197376</v>
      </c>
      <c r="DO49" s="363">
        <f>IF(INT(('Base Data'!$D$7)/DN49)=0,0,INT(('Base Data'!$D$7)/DN49))</f>
        <v>0</v>
      </c>
      <c r="DP49" s="364">
        <f t="shared" si="113"/>
        <v>2.3751381435037806E-2</v>
      </c>
      <c r="DQ49" s="141">
        <f t="shared" si="34"/>
        <v>28.25</v>
      </c>
      <c r="DR49" s="143">
        <f t="shared" si="35"/>
        <v>71755</v>
      </c>
      <c r="DS49" s="118">
        <f t="shared" si="128"/>
        <v>71183.075231953306</v>
      </c>
      <c r="DT49" s="118">
        <f t="shared" si="125"/>
        <v>2954.6944026249562</v>
      </c>
      <c r="DU49" s="329">
        <f t="shared" si="126"/>
        <v>24.091518624976622</v>
      </c>
      <c r="DV49" s="118">
        <f t="shared" si="114"/>
        <v>14454.911174985973</v>
      </c>
      <c r="DW49" s="118">
        <f>DV49*'Base Data'!$D$10</f>
        <v>28909.822349971946</v>
      </c>
      <c r="DX49" s="375">
        <f>IF(INT(('Base Data'!$D$7)/DW49)=0,0,INT(('Base Data'!$D$7)/DW49))</f>
        <v>0</v>
      </c>
      <c r="DY49" s="376">
        <f t="shared" si="115"/>
        <v>2.0607774368056647E-2</v>
      </c>
      <c r="DZ49" s="135">
        <f t="shared" si="36"/>
        <v>1.7999999999999972</v>
      </c>
      <c r="EA49" s="21">
        <f t="shared" si="37"/>
        <v>4093.1999999999935</v>
      </c>
      <c r="EB49" s="21">
        <f t="shared" si="79"/>
        <v>5609.5134898900624</v>
      </c>
      <c r="EC49" s="21">
        <f t="shared" si="75"/>
        <v>2835.425802559766</v>
      </c>
      <c r="ED49" s="319">
        <f t="shared" si="76"/>
        <v>1.9783672296506243</v>
      </c>
      <c r="EE49" s="21">
        <f t="shared" si="63"/>
        <v>7913.4689186024971</v>
      </c>
      <c r="EF49" s="21">
        <f>EE49*'Base Data'!$D$13</f>
        <v>5935.1016889518723</v>
      </c>
      <c r="EG49" s="363">
        <f>IF(INT(('Base Data'!$D$7)/EF49)=0,0,INT(('Base Data'!$D$7)/EF49))</f>
        <v>1</v>
      </c>
      <c r="EH49" s="314">
        <f t="shared" si="64"/>
        <v>2.3580062331950227E-2</v>
      </c>
      <c r="EI49" s="143">
        <f t="shared" si="38"/>
        <v>28.25</v>
      </c>
      <c r="EJ49" s="118">
        <f t="shared" si="39"/>
        <v>71755</v>
      </c>
      <c r="EK49" s="118">
        <f t="shared" si="80"/>
        <v>81721.691314510288</v>
      </c>
      <c r="EL49" s="118">
        <f t="shared" si="77"/>
        <v>3180.084478283085</v>
      </c>
      <c r="EM49" s="329">
        <f t="shared" si="78"/>
        <v>25.697962388292119</v>
      </c>
      <c r="EN49" s="118">
        <f t="shared" si="65"/>
        <v>15418.777432975272</v>
      </c>
      <c r="EO49" s="118">
        <f>EN49*'Base Data'!$D$13</f>
        <v>11564.083074731454</v>
      </c>
      <c r="EP49" s="375">
        <f>IF(INT(('Base Data'!$D$7)/EO49)=0,0,INT(('Base Data'!$D$7)/EO49))</f>
        <v>0</v>
      </c>
      <c r="EQ49" s="385">
        <f t="shared" si="66"/>
        <v>2.1981918984040134E-2</v>
      </c>
      <c r="ER49" s="397">
        <f t="shared" si="116"/>
        <v>-0.24374181567176145</v>
      </c>
      <c r="ES49" s="403">
        <f t="shared" si="67"/>
        <v>-0.80558855611526337</v>
      </c>
      <c r="ET49" s="405">
        <f t="shared" si="117"/>
        <v>3.328049967537309</v>
      </c>
      <c r="EU49" s="410">
        <f t="shared" si="68"/>
        <v>1.999104671819107</v>
      </c>
      <c r="EV49" s="20">
        <f t="shared" si="8"/>
        <v>1.7999999999999972</v>
      </c>
      <c r="EW49" s="17">
        <f t="shared" si="9"/>
        <v>2.1492537313432803E-2</v>
      </c>
      <c r="EX49" s="388">
        <f t="shared" si="69"/>
        <v>2.3617726246811039E-2</v>
      </c>
      <c r="EY49" s="388">
        <f t="shared" si="103"/>
        <v>2.3273218242195051E-2</v>
      </c>
      <c r="EZ49" s="314">
        <f t="shared" si="118"/>
        <v>2.1582744948918247E-2</v>
      </c>
      <c r="FA49" s="442">
        <f t="shared" si="10"/>
        <v>28.25</v>
      </c>
      <c r="FB49" s="18">
        <f t="shared" si="11"/>
        <v>2.4613373992594206E-2</v>
      </c>
      <c r="FC49" s="394">
        <f t="shared" si="70"/>
        <v>2.0344658483060146E-2</v>
      </c>
      <c r="FD49" s="394">
        <f t="shared" si="104"/>
        <v>1.9240896136274506E-2</v>
      </c>
      <c r="FE49" s="385">
        <f t="shared" si="119"/>
        <v>1.8979112967157156E-2</v>
      </c>
      <c r="FF49" s="416">
        <f t="shared" si="49"/>
        <v>1</v>
      </c>
      <c r="FG49" s="417">
        <f t="shared" si="50"/>
        <v>2</v>
      </c>
      <c r="FH49" s="415">
        <f t="shared" si="111"/>
        <v>11.842105263157791</v>
      </c>
      <c r="FI49" s="413" t="str">
        <f t="shared" si="120"/>
        <v>C-D</v>
      </c>
      <c r="FJ49" s="404">
        <f t="shared" si="112"/>
        <v>59.090909090909093</v>
      </c>
      <c r="FK49" s="414" t="str">
        <f t="shared" si="121"/>
        <v>T-R</v>
      </c>
      <c r="FL49" s="415">
        <f t="shared" si="71"/>
        <v>61.417322834645596</v>
      </c>
      <c r="FM49" s="413" t="str">
        <f t="shared" si="72"/>
        <v>T-D</v>
      </c>
      <c r="FN49" s="404">
        <f t="shared" si="73"/>
        <v>76.633785450061566</v>
      </c>
      <c r="FO49" s="414" t="str">
        <f t="shared" si="74"/>
        <v>T-R</v>
      </c>
      <c r="FQ49" s="135">
        <f t="shared" si="51"/>
        <v>83.878573133689201</v>
      </c>
      <c r="FR49" s="21">
        <f t="shared" si="12"/>
        <v>84.6</v>
      </c>
      <c r="FS49" s="21">
        <f t="shared" si="13"/>
        <v>82.8</v>
      </c>
      <c r="FT49" s="182">
        <f t="shared" si="14"/>
        <v>83.762499999999989</v>
      </c>
      <c r="FU49" s="141">
        <f t="shared" si="52"/>
        <v>1134.6410154843402</v>
      </c>
      <c r="FV49" s="118">
        <f t="shared" si="15"/>
        <v>1173.5</v>
      </c>
      <c r="FW49" s="118">
        <f t="shared" si="16"/>
        <v>1134.6410154843402</v>
      </c>
      <c r="FX49" s="181">
        <f t="shared" si="17"/>
        <v>1158.8875</v>
      </c>
    </row>
    <row r="50" spans="1:180" ht="11.15" thickBot="1" x14ac:dyDescent="0.35">
      <c r="E50" s="22"/>
      <c r="F50" s="22"/>
      <c r="G50" s="23"/>
      <c r="H50" s="23"/>
      <c r="I50" s="23"/>
      <c r="J50" s="23"/>
      <c r="L50" s="283">
        <f t="shared" si="40"/>
        <v>47</v>
      </c>
      <c r="M50" s="290">
        <f>'[6]ASHOKLEY-I'!C66</f>
        <v>42864</v>
      </c>
      <c r="N50" s="7">
        <f>'[6]ASHOKLEY-I'!D66</f>
        <v>84.15</v>
      </c>
      <c r="O50" s="7">
        <f>'[6]ASHOKLEY-I'!E66</f>
        <v>84.2</v>
      </c>
      <c r="P50" s="7">
        <f>'[6]ASHOKLEY-I'!F66</f>
        <v>83.1</v>
      </c>
      <c r="Q50" s="7">
        <f>'[6]ASHOKLEY-I'!G66</f>
        <v>83.3</v>
      </c>
      <c r="R50" s="11">
        <f>'[6]ASHOKLEY-I'!H66</f>
        <v>1409</v>
      </c>
      <c r="S50" s="291">
        <f>'[7]ASIANPAINT-I'!C66</f>
        <v>42864</v>
      </c>
      <c r="T50" s="9">
        <f>'[7]ASIANPAINT-I'!D66</f>
        <v>1173.7</v>
      </c>
      <c r="U50" s="9">
        <f>'[7]ASIANPAINT-I'!E66</f>
        <v>1176.8499999999999</v>
      </c>
      <c r="V50" s="9">
        <f>'[7]ASIANPAINT-I'!F66</f>
        <v>1164.4000000000001</v>
      </c>
      <c r="W50" s="9">
        <f>'[7]ASIANPAINT-I'!G66</f>
        <v>1167.3499999999999</v>
      </c>
      <c r="X50" s="12">
        <f>'[7]ASIANPAINT-I'!H66</f>
        <v>2419</v>
      </c>
      <c r="Y50" s="115"/>
      <c r="Z50" s="122">
        <f t="shared" si="18"/>
        <v>-7.1513706793803157E-3</v>
      </c>
      <c r="AA50" s="19">
        <f t="shared" si="19"/>
        <v>-1.4541721910953727E-3</v>
      </c>
      <c r="AB50" s="305">
        <f>IF(OR(SUM(Z30:Z50)=0,SUM('BNF-Nifty'!AA30:AA50)=0),0,(_xlfn.COVARIANCE.P(Z30:Z50,'BNF-Nifty'!AA30:AA50)/_xlfn.VAR.P('BNF-Nifty'!AA30:AA50)))</f>
        <v>1.0188576267766873</v>
      </c>
      <c r="AC50" s="306">
        <f>IF(OR(SUM(AA30:AA50)=0,SUM('BNF-Nifty'!AA30:AA50)=0),0,(_xlfn.COVARIANCE.P(AA30:AA50,'BNF-Nifty'!AA30:AA50)/_xlfn.VAR.P('BNF-Nifty'!AA30:AA50)))</f>
        <v>1.1428771667020632</v>
      </c>
      <c r="AD50" s="466">
        <f t="shared" si="20"/>
        <v>-7.1770643003635929E-3</v>
      </c>
      <c r="AE50" s="17">
        <f t="shared" si="41"/>
        <v>1.3422587255648315E-2</v>
      </c>
      <c r="AF50" s="17">
        <f t="shared" si="42"/>
        <v>1.3131889157149332E-2</v>
      </c>
      <c r="AG50" s="314">
        <f t="shared" si="43"/>
        <v>0.25088439007840746</v>
      </c>
      <c r="AH50" s="467">
        <f t="shared" si="21"/>
        <v>-1.4552305256008478E-3</v>
      </c>
      <c r="AI50" s="18">
        <f t="shared" si="149"/>
        <v>1.1582391232967885E-2</v>
      </c>
      <c r="AJ50" s="18">
        <f t="shared" si="150"/>
        <v>1.1235200987346771E-2</v>
      </c>
      <c r="AK50" s="385">
        <f t="shared" si="151"/>
        <v>0.21464821347385682</v>
      </c>
      <c r="AL50" s="10">
        <f t="shared" si="23"/>
        <v>1.3150219386878648E-2</v>
      </c>
      <c r="AM50" s="17">
        <f t="shared" si="45"/>
        <v>2.4199071153254967E-2</v>
      </c>
      <c r="AN50" s="17">
        <f t="shared" si="46"/>
        <v>2.3681955962184819E-2</v>
      </c>
      <c r="AO50" s="314">
        <f t="shared" si="47"/>
        <v>0.45244313337824488</v>
      </c>
      <c r="AP50" s="448">
        <f t="shared" si="24"/>
        <v>1.0635444616496568E-2</v>
      </c>
      <c r="AQ50" s="18">
        <f t="shared" si="152"/>
        <v>1.9068703405376457E-2</v>
      </c>
      <c r="AR50" s="18">
        <f t="shared" si="153"/>
        <v>1.86704387607768E-2</v>
      </c>
      <c r="AS50" s="385">
        <f t="shared" si="154"/>
        <v>0.35669823168158488</v>
      </c>
      <c r="AT50" s="6">
        <f t="shared" si="0"/>
        <v>118567.35</v>
      </c>
      <c r="AU50" s="319">
        <v>0</v>
      </c>
      <c r="AV50" s="140">
        <f t="shared" si="1"/>
        <v>2839180.3000000003</v>
      </c>
      <c r="AW50" s="481">
        <v>0</v>
      </c>
      <c r="AX50" s="135">
        <f t="shared" si="97"/>
        <v>243342.27078061496</v>
      </c>
      <c r="AY50" s="21">
        <f t="shared" si="98"/>
        <v>2848.1825707156995</v>
      </c>
      <c r="AZ50" s="319">
        <f t="shared" si="99"/>
        <v>85.437736078648641</v>
      </c>
      <c r="BA50" s="21">
        <f t="shared" si="2"/>
        <v>83.533333333333346</v>
      </c>
      <c r="BB50" s="21">
        <f t="shared" si="3"/>
        <v>117698.46666666669</v>
      </c>
      <c r="BC50" s="21">
        <f t="shared" si="61"/>
        <v>183184.85186260086</v>
      </c>
      <c r="BD50" s="21">
        <f t="shared" si="57"/>
        <v>2175.860970633757</v>
      </c>
      <c r="BE50" s="332">
        <f t="shared" si="58"/>
        <v>84.18959406641001</v>
      </c>
      <c r="BF50" s="141">
        <f t="shared" si="100"/>
        <v>3352442.6592246182</v>
      </c>
      <c r="BG50" s="118">
        <f t="shared" si="101"/>
        <v>2995.170138231525</v>
      </c>
      <c r="BH50" s="329">
        <f t="shared" si="102"/>
        <v>1119.282880272051</v>
      </c>
      <c r="BI50" s="118">
        <f t="shared" si="4"/>
        <v>1169.5333333333333</v>
      </c>
      <c r="BJ50" s="118">
        <f t="shared" si="5"/>
        <v>2829101.1333333333</v>
      </c>
      <c r="BK50" s="118">
        <f t="shared" si="62"/>
        <v>3366564.3033687407</v>
      </c>
      <c r="BL50" s="118">
        <f t="shared" si="59"/>
        <v>2931.562184900632</v>
      </c>
      <c r="BM50" s="325">
        <f t="shared" si="60"/>
        <v>1148.385772169064</v>
      </c>
      <c r="BN50" s="6">
        <f t="shared" si="6"/>
        <v>117369.7</v>
      </c>
      <c r="BO50" s="331">
        <f t="shared" si="87"/>
        <v>86.128154176273199</v>
      </c>
      <c r="BP50" s="319">
        <f t="shared" si="55"/>
        <v>83.498836382113822</v>
      </c>
      <c r="BQ50" s="331">
        <f t="shared" si="139"/>
        <v>85.720760099767261</v>
      </c>
      <c r="BR50" s="332">
        <f t="shared" si="88"/>
        <v>85.840216175497076</v>
      </c>
      <c r="BS50" s="140">
        <f t="shared" si="7"/>
        <v>2823819.65</v>
      </c>
      <c r="BT50" s="339">
        <f t="shared" si="89"/>
        <v>1110.058565867105</v>
      </c>
      <c r="BU50" s="329">
        <f t="shared" si="56"/>
        <v>1150.3139190271609</v>
      </c>
      <c r="BV50" s="339">
        <f t="shared" si="140"/>
        <v>1088.561398184632</v>
      </c>
      <c r="BW50" s="325">
        <f t="shared" si="90"/>
        <v>1117.4667714479158</v>
      </c>
      <c r="BX50" s="21">
        <f t="shared" si="91"/>
        <v>237843.18505688963</v>
      </c>
      <c r="BY50" s="21">
        <f t="shared" si="92"/>
        <v>2798.5985036883753</v>
      </c>
      <c r="BZ50" s="21">
        <f t="shared" si="93"/>
        <v>84.98653334639728</v>
      </c>
      <c r="CA50" s="21">
        <f t="shared" si="129"/>
        <v>268037.03638225951</v>
      </c>
      <c r="CB50" s="21">
        <f t="shared" si="130"/>
        <v>3128.7618548704681</v>
      </c>
      <c r="CC50" s="21">
        <f t="shared" si="135"/>
        <v>85.668724183981183</v>
      </c>
      <c r="CD50" s="342">
        <f t="shared" si="131"/>
        <v>-0.68219083758390298</v>
      </c>
      <c r="CE50" s="342">
        <f t="shared" si="155"/>
        <v>-0.65192083094706144</v>
      </c>
      <c r="CF50" s="343">
        <f t="shared" si="156"/>
        <v>-3.027000663684154E-2</v>
      </c>
      <c r="CG50" s="141">
        <f t="shared" si="94"/>
        <v>3384096.7724090093</v>
      </c>
      <c r="CH50" s="118">
        <f t="shared" si="95"/>
        <v>3004.0373700518612</v>
      </c>
      <c r="CI50" s="118">
        <f t="shared" si="96"/>
        <v>1126.5162032090789</v>
      </c>
      <c r="CJ50" s="118">
        <f t="shared" si="132"/>
        <v>3191959.7423638776</v>
      </c>
      <c r="CK50" s="118">
        <f t="shared" si="133"/>
        <v>2890.901635296575</v>
      </c>
      <c r="CL50" s="118">
        <f t="shared" si="136"/>
        <v>1104.1398653594858</v>
      </c>
      <c r="CM50" s="350">
        <f t="shared" si="134"/>
        <v>22.376337849593028</v>
      </c>
      <c r="CN50" s="350">
        <f t="shared" si="157"/>
        <v>16.492353251780198</v>
      </c>
      <c r="CO50" s="351">
        <f t="shared" si="158"/>
        <v>5.8839845978128302</v>
      </c>
      <c r="CP50" s="20">
        <f t="shared" si="26"/>
        <v>-0.23333333333332007</v>
      </c>
      <c r="CQ50" s="21">
        <f t="shared" si="27"/>
        <v>0</v>
      </c>
      <c r="CR50" s="21">
        <f t="shared" si="28"/>
        <v>117698.46666666669</v>
      </c>
      <c r="CS50" s="21">
        <f t="shared" si="137"/>
        <v>102544.28455917836</v>
      </c>
      <c r="CT50" s="21">
        <f t="shared" si="137"/>
        <v>143580.82649705009</v>
      </c>
      <c r="CU50" s="21">
        <f t="shared" si="105"/>
        <v>0.71419204820697391</v>
      </c>
      <c r="CV50" s="342">
        <f t="shared" si="106"/>
        <v>41.663479243997834</v>
      </c>
      <c r="CW50" s="342">
        <v>0</v>
      </c>
      <c r="CX50" s="355">
        <f t="shared" si="146"/>
        <v>43.357483528115075</v>
      </c>
      <c r="CY50" s="141">
        <f t="shared" si="29"/>
        <v>6.9333333333331666</v>
      </c>
      <c r="CZ50" s="118">
        <f t="shared" si="30"/>
        <v>2829101.1333333333</v>
      </c>
      <c r="DA50" s="118">
        <f t="shared" si="31"/>
        <v>0</v>
      </c>
      <c r="DB50" s="118">
        <f t="shared" si="138"/>
        <v>2867221.5813667681</v>
      </c>
      <c r="DC50" s="118">
        <f t="shared" si="138"/>
        <v>482517.54581881908</v>
      </c>
      <c r="DD50" s="118">
        <f t="shared" si="107"/>
        <v>5.942212062985547</v>
      </c>
      <c r="DE50" s="350">
        <f t="shared" si="108"/>
        <v>85.59536944525513</v>
      </c>
      <c r="DF50" s="350">
        <v>0</v>
      </c>
      <c r="DG50" s="351">
        <f t="shared" si="147"/>
        <v>62.450628124858049</v>
      </c>
      <c r="DH50" s="135">
        <f t="shared" si="32"/>
        <v>1.1000000000000085</v>
      </c>
      <c r="DI50" s="20">
        <f t="shared" si="33"/>
        <v>1549.9000000000119</v>
      </c>
      <c r="DJ50" s="21">
        <f t="shared" si="127"/>
        <v>5934.5712771390645</v>
      </c>
      <c r="DK50" s="21">
        <f t="shared" si="122"/>
        <v>3035.4790548163696</v>
      </c>
      <c r="DL50" s="319">
        <f t="shared" si="123"/>
        <v>1.9550690912272082</v>
      </c>
      <c r="DM50" s="21">
        <f t="shared" si="124"/>
        <v>7820.2763649088329</v>
      </c>
      <c r="DN50" s="21">
        <f>DM50*'Base Data'!$D$10</f>
        <v>15640.552729817666</v>
      </c>
      <c r="DO50" s="363">
        <f>IF(INT(('Base Data'!$D$7)/DN50)=0,0,INT(('Base Data'!$D$7)/DN50))</f>
        <v>0</v>
      </c>
      <c r="DP50" s="364">
        <f t="shared" si="113"/>
        <v>2.347021718159914E-2</v>
      </c>
      <c r="DQ50" s="141">
        <f t="shared" si="34"/>
        <v>12.449999999999818</v>
      </c>
      <c r="DR50" s="143">
        <f t="shared" si="35"/>
        <v>30116.549999999559</v>
      </c>
      <c r="DS50" s="118">
        <f t="shared" si="128"/>
        <v>67449.754756321141</v>
      </c>
      <c r="DT50" s="118">
        <f t="shared" si="125"/>
        <v>2905.994911477233</v>
      </c>
      <c r="DU50" s="329">
        <f t="shared" si="126"/>
        <v>23.210555011616915</v>
      </c>
      <c r="DV50" s="118">
        <f t="shared" si="114"/>
        <v>13926.33300697015</v>
      </c>
      <c r="DW50" s="118">
        <f>DV50*'Base Data'!$D$10</f>
        <v>27852.666013940299</v>
      </c>
      <c r="DX50" s="375">
        <f>IF(INT(('Base Data'!$D$7)/DW50)=0,0,INT(('Base Data'!$D$7)/DW50))</f>
        <v>0</v>
      </c>
      <c r="DY50" s="376">
        <f t="shared" si="115"/>
        <v>1.9883115613669351E-2</v>
      </c>
      <c r="DZ50" s="135">
        <f t="shared" si="36"/>
        <v>1.1000000000000085</v>
      </c>
      <c r="EA50" s="21">
        <f t="shared" si="37"/>
        <v>1549.9000000000119</v>
      </c>
      <c r="EB50" s="21">
        <f t="shared" si="79"/>
        <v>4707.3771588033842</v>
      </c>
      <c r="EC50" s="21">
        <f t="shared" si="75"/>
        <v>2518.4422908798178</v>
      </c>
      <c r="ED50" s="319">
        <f t="shared" si="76"/>
        <v>1.8691622102481698</v>
      </c>
      <c r="EE50" s="21">
        <f t="shared" si="63"/>
        <v>7476.6488409926787</v>
      </c>
      <c r="EF50" s="21">
        <f>EE50*'Base Data'!$D$13</f>
        <v>5607.4866307445091</v>
      </c>
      <c r="EG50" s="363">
        <f>IF(INT(('Base Data'!$D$7)/EF50)=0,0,INT(('Base Data'!$D$7)/EF50))</f>
        <v>1</v>
      </c>
      <c r="EH50" s="314">
        <f t="shared" si="64"/>
        <v>2.2438922091814764E-2</v>
      </c>
      <c r="EI50" s="143">
        <f t="shared" si="38"/>
        <v>12.449999999999818</v>
      </c>
      <c r="EJ50" s="118">
        <f t="shared" si="39"/>
        <v>30116.549999999559</v>
      </c>
      <c r="EK50" s="118">
        <f t="shared" si="80"/>
        <v>70253.882133507897</v>
      </c>
      <c r="EL50" s="118">
        <f t="shared" si="77"/>
        <v>3010.9545942201771</v>
      </c>
      <c r="EM50" s="329">
        <f t="shared" si="78"/>
        <v>23.332760403749401</v>
      </c>
      <c r="EN50" s="118">
        <f t="shared" si="65"/>
        <v>13999.656242249641</v>
      </c>
      <c r="EO50" s="118">
        <f>EN50*'Base Data'!$D$13</f>
        <v>10499.74218168723</v>
      </c>
      <c r="EP50" s="375">
        <f>IF(INT(('Base Data'!$D$7)/EO50)=0,0,INT(('Base Data'!$D$7)/EO50))</f>
        <v>1</v>
      </c>
      <c r="EQ50" s="385">
        <f t="shared" si="66"/>
        <v>1.998780177645899E-2</v>
      </c>
      <c r="ER50" s="397">
        <f t="shared" si="116"/>
        <v>-0.50783736867014007</v>
      </c>
      <c r="ES50" s="403">
        <f t="shared" si="67"/>
        <v>-0.89946714671530348</v>
      </c>
      <c r="ET50" s="405">
        <f t="shared" si="117"/>
        <v>3.2231504620922706</v>
      </c>
      <c r="EU50" s="410">
        <f t="shared" si="68"/>
        <v>1.7373640880264474</v>
      </c>
      <c r="EV50" s="20">
        <f t="shared" si="8"/>
        <v>1.1000000000000085</v>
      </c>
      <c r="EW50" s="17">
        <f t="shared" si="9"/>
        <v>1.3071895424836702E-2</v>
      </c>
      <c r="EX50" s="388">
        <f t="shared" si="69"/>
        <v>2.1556431765023653E-2</v>
      </c>
      <c r="EY50" s="388">
        <f t="shared" si="103"/>
        <v>2.3155784032875919E-2</v>
      </c>
      <c r="EZ50" s="314">
        <f t="shared" si="118"/>
        <v>2.1645650382667674E-2</v>
      </c>
      <c r="FA50" s="442">
        <f t="shared" si="10"/>
        <v>12.449999999999818</v>
      </c>
      <c r="FB50" s="18">
        <f t="shared" si="11"/>
        <v>1.0607480616852533E-2</v>
      </c>
      <c r="FC50" s="394">
        <f t="shared" si="70"/>
        <v>1.8661071909747314E-2</v>
      </c>
      <c r="FD50" s="394">
        <f t="shared" si="104"/>
        <v>1.8311026878050207E-2</v>
      </c>
      <c r="FE50" s="385">
        <f t="shared" si="119"/>
        <v>1.8723105156402929E-2</v>
      </c>
      <c r="FF50" s="416">
        <f t="shared" si="49"/>
        <v>2</v>
      </c>
      <c r="FG50" s="417">
        <f t="shared" si="50"/>
        <v>2</v>
      </c>
      <c r="FH50" s="415">
        <f t="shared" si="111"/>
        <v>7.2368421052631264</v>
      </c>
      <c r="FI50" s="413" t="str">
        <f t="shared" si="120"/>
        <v>C-D</v>
      </c>
      <c r="FJ50" s="404">
        <f t="shared" si="112"/>
        <v>58.92793752218676</v>
      </c>
      <c r="FK50" s="414" t="str">
        <f t="shared" si="121"/>
        <v>T-D</v>
      </c>
      <c r="FL50" s="415">
        <f t="shared" si="71"/>
        <v>61.467889908257</v>
      </c>
      <c r="FM50" s="413" t="str">
        <f t="shared" si="72"/>
        <v>T-R</v>
      </c>
      <c r="FN50" s="404">
        <f t="shared" si="73"/>
        <v>73.949082297217231</v>
      </c>
      <c r="FO50" s="414" t="str">
        <f t="shared" si="74"/>
        <v>T-D</v>
      </c>
      <c r="FQ50" s="135">
        <f t="shared" si="51"/>
        <v>83.820536566844595</v>
      </c>
      <c r="FR50" s="21">
        <f t="shared" si="12"/>
        <v>84.2</v>
      </c>
      <c r="FS50" s="21">
        <f t="shared" si="13"/>
        <v>83.1</v>
      </c>
      <c r="FT50" s="182">
        <f t="shared" si="14"/>
        <v>83.6875</v>
      </c>
      <c r="FU50" s="141">
        <f t="shared" si="52"/>
        <v>1146.7642577421702</v>
      </c>
      <c r="FV50" s="118">
        <f t="shared" si="15"/>
        <v>1176.8499999999999</v>
      </c>
      <c r="FW50" s="118">
        <f t="shared" si="16"/>
        <v>1146.7642577421702</v>
      </c>
      <c r="FX50" s="181">
        <f t="shared" si="17"/>
        <v>1170.575</v>
      </c>
    </row>
    <row r="51" spans="1:180" ht="11.15" thickBot="1" x14ac:dyDescent="0.35">
      <c r="A51" s="151" t="s">
        <v>7</v>
      </c>
      <c r="B51" s="152" t="s">
        <v>45</v>
      </c>
      <c r="C51" s="152" t="s">
        <v>46</v>
      </c>
      <c r="D51" s="152" t="s">
        <v>47</v>
      </c>
      <c r="E51" s="152" t="s">
        <v>48</v>
      </c>
      <c r="F51" s="152" t="s">
        <v>49</v>
      </c>
      <c r="G51" s="152" t="s">
        <v>50</v>
      </c>
      <c r="H51" s="152" t="s">
        <v>51</v>
      </c>
      <c r="I51" s="152" t="s">
        <v>52</v>
      </c>
      <c r="J51" s="153" t="s">
        <v>53</v>
      </c>
      <c r="L51" s="283">
        <f t="shared" si="40"/>
        <v>48</v>
      </c>
      <c r="M51" s="290">
        <f>'[6]ASHOKLEY-I'!C67</f>
        <v>42865</v>
      </c>
      <c r="N51" s="7">
        <f>'[6]ASHOKLEY-I'!D67</f>
        <v>83.65</v>
      </c>
      <c r="O51" s="7">
        <f>'[6]ASHOKLEY-I'!E67</f>
        <v>85.9</v>
      </c>
      <c r="P51" s="7">
        <f>'[6]ASHOKLEY-I'!F67</f>
        <v>83.5</v>
      </c>
      <c r="Q51" s="7">
        <f>'[6]ASHOKLEY-I'!G67</f>
        <v>85.7</v>
      </c>
      <c r="R51" s="11">
        <f>'[6]ASHOKLEY-I'!H67</f>
        <v>4824</v>
      </c>
      <c r="S51" s="291">
        <f>'[7]ASIANPAINT-I'!C67</f>
        <v>42865</v>
      </c>
      <c r="T51" s="9">
        <f>'[7]ASIANPAINT-I'!D67</f>
        <v>1152.55</v>
      </c>
      <c r="U51" s="9">
        <f>'[7]ASIANPAINT-I'!E67</f>
        <v>1183.2</v>
      </c>
      <c r="V51" s="9">
        <f>'[7]ASIANPAINT-I'!F67</f>
        <v>1152.55</v>
      </c>
      <c r="W51" s="9">
        <f>'[7]ASIANPAINT-I'!G67</f>
        <v>1160.3499999999999</v>
      </c>
      <c r="X51" s="12">
        <f>'[7]ASIANPAINT-I'!H67</f>
        <v>4643</v>
      </c>
      <c r="Y51" s="115"/>
      <c r="Z51" s="122">
        <f t="shared" si="18"/>
        <v>2.8811524609844007E-2</v>
      </c>
      <c r="AA51" s="19">
        <f t="shared" si="19"/>
        <v>-5.9964877714481519E-3</v>
      </c>
      <c r="AB51" s="305">
        <f>IF(OR(SUM(Z31:Z51)=0,SUM('BNF-Nifty'!AA31:AA51)=0),0,(_xlfn.COVARIANCE.P(Z31:Z51,'BNF-Nifty'!AA31:AA51)/_xlfn.VAR.P('BNF-Nifty'!AA31:AA51)))</f>
        <v>1.3447155454839477</v>
      </c>
      <c r="AC51" s="306">
        <f>IF(OR(SUM(AA31:AA51)=0,SUM('BNF-Nifty'!AA31:AA51)=0),0,(_xlfn.COVARIANCE.P(AA31:AA51,'BNF-Nifty'!AA31:AA51)/_xlfn.VAR.P('BNF-Nifty'!AA31:AA51)))</f>
        <v>0.86580915706369022</v>
      </c>
      <c r="AD51" s="466">
        <f t="shared" si="20"/>
        <v>2.8404276430937091E-2</v>
      </c>
      <c r="AE51" s="17">
        <f t="shared" si="41"/>
        <v>1.3131889157149332E-2</v>
      </c>
      <c r="AF51" s="17">
        <f t="shared" si="42"/>
        <v>1.4508890282837696E-2</v>
      </c>
      <c r="AG51" s="314">
        <f t="shared" si="43"/>
        <v>0.27719195964599885</v>
      </c>
      <c r="AH51" s="467">
        <f t="shared" si="21"/>
        <v>-6.0145389026789245E-3</v>
      </c>
      <c r="AI51" s="18">
        <f t="shared" si="149"/>
        <v>1.1235200987346771E-2</v>
      </c>
      <c r="AJ51" s="18">
        <f t="shared" si="150"/>
        <v>1.0992107961861704E-2</v>
      </c>
      <c r="AK51" s="385">
        <f t="shared" si="151"/>
        <v>0.21000392774304619</v>
      </c>
      <c r="AL51" s="10">
        <f t="shared" si="23"/>
        <v>2.833719713339998E-2</v>
      </c>
      <c r="AM51" s="17">
        <f t="shared" si="45"/>
        <v>2.3681955962184819E-2</v>
      </c>
      <c r="AN51" s="17">
        <f t="shared" si="46"/>
        <v>2.3986761773649227E-2</v>
      </c>
      <c r="AO51" s="314">
        <f t="shared" si="47"/>
        <v>0.45826644022971713</v>
      </c>
      <c r="AP51" s="448">
        <f t="shared" si="24"/>
        <v>2.6245753518903459E-2</v>
      </c>
      <c r="AQ51" s="18">
        <f t="shared" si="152"/>
        <v>1.86704387607768E-2</v>
      </c>
      <c r="AR51" s="18">
        <f t="shared" si="153"/>
        <v>1.9209386798521803E-2</v>
      </c>
      <c r="AS51" s="385">
        <f t="shared" si="154"/>
        <v>0.36699481948517559</v>
      </c>
      <c r="AT51" s="6">
        <f t="shared" si="0"/>
        <v>403527.60000000003</v>
      </c>
      <c r="AU51" s="319">
        <v>0</v>
      </c>
      <c r="AV51" s="140">
        <f t="shared" si="1"/>
        <v>5351289.6499999994</v>
      </c>
      <c r="AW51" s="481">
        <v>0</v>
      </c>
      <c r="AX51" s="135">
        <f t="shared" si="97"/>
        <v>266225.88924052712</v>
      </c>
      <c r="AY51" s="21">
        <f t="shared" si="98"/>
        <v>3130.4422034705995</v>
      </c>
      <c r="AZ51" s="319">
        <f t="shared" si="99"/>
        <v>85.044179683423906</v>
      </c>
      <c r="BA51" s="21">
        <f t="shared" si="2"/>
        <v>85.033333333333346</v>
      </c>
      <c r="BB51" s="21">
        <f t="shared" si="3"/>
        <v>410200.80000000005</v>
      </c>
      <c r="BC51" s="21">
        <f t="shared" si="61"/>
        <v>258856.83457506725</v>
      </c>
      <c r="BD51" s="21">
        <f t="shared" si="57"/>
        <v>3058.5739804225045</v>
      </c>
      <c r="BE51" s="332">
        <f t="shared" si="58"/>
        <v>84.633177497740093</v>
      </c>
      <c r="BF51" s="141">
        <f t="shared" si="100"/>
        <v>3637992.2293353868</v>
      </c>
      <c r="BG51" s="118">
        <f t="shared" si="101"/>
        <v>3230.5744041984499</v>
      </c>
      <c r="BH51" s="329">
        <f t="shared" si="102"/>
        <v>1126.1131223622206</v>
      </c>
      <c r="BI51" s="118">
        <f t="shared" si="4"/>
        <v>1165.3666666666666</v>
      </c>
      <c r="BJ51" s="118">
        <f t="shared" si="5"/>
        <v>5410797.4333333327</v>
      </c>
      <c r="BK51" s="118">
        <f t="shared" si="62"/>
        <v>4047975.346690271</v>
      </c>
      <c r="BL51" s="118">
        <f t="shared" si="59"/>
        <v>3502.041456600421</v>
      </c>
      <c r="BM51" s="325">
        <f t="shared" si="60"/>
        <v>1155.8901848694306</v>
      </c>
      <c r="BN51" s="6">
        <f t="shared" si="6"/>
        <v>413416.8</v>
      </c>
      <c r="BO51" s="331">
        <f t="shared" si="87"/>
        <v>86.131737252078281</v>
      </c>
      <c r="BP51" s="319">
        <f t="shared" si="55"/>
        <v>84.34186117701077</v>
      </c>
      <c r="BQ51" s="331">
        <f t="shared" si="139"/>
        <v>85.549493874288316</v>
      </c>
      <c r="BR51" s="332">
        <f t="shared" si="88"/>
        <v>86.050907682572927</v>
      </c>
      <c r="BS51" s="140">
        <f t="shared" si="7"/>
        <v>5387505.0499999998</v>
      </c>
      <c r="BT51" s="339">
        <f t="shared" si="89"/>
        <v>1116.9243519657418</v>
      </c>
      <c r="BU51" s="329">
        <f t="shared" si="56"/>
        <v>1155.1727734922861</v>
      </c>
      <c r="BV51" s="339">
        <f t="shared" si="140"/>
        <v>1091.9123208955225</v>
      </c>
      <c r="BW51" s="325">
        <f t="shared" si="90"/>
        <v>1124.6347068470686</v>
      </c>
      <c r="BX51" s="21">
        <f t="shared" si="91"/>
        <v>264359.74120198353</v>
      </c>
      <c r="BY51" s="21">
        <f t="shared" si="92"/>
        <v>3110.1987338901636</v>
      </c>
      <c r="BZ51" s="21">
        <f t="shared" si="93"/>
        <v>84.997700732560119</v>
      </c>
      <c r="CA51" s="21">
        <f t="shared" si="129"/>
        <v>278567.68553912919</v>
      </c>
      <c r="CB51" s="21">
        <f t="shared" si="130"/>
        <v>3254.3350508059889</v>
      </c>
      <c r="CC51" s="21">
        <f t="shared" si="135"/>
        <v>85.598956834557455</v>
      </c>
      <c r="CD51" s="342">
        <f t="shared" si="131"/>
        <v>-0.60125610199733615</v>
      </c>
      <c r="CE51" s="342">
        <f t="shared" si="155"/>
        <v>-0.64178788515711638</v>
      </c>
      <c r="CF51" s="343">
        <f t="shared" si="156"/>
        <v>4.0531783159780232E-2</v>
      </c>
      <c r="CG51" s="141">
        <f t="shared" si="94"/>
        <v>3695896.8740896746</v>
      </c>
      <c r="CH51" s="118">
        <f t="shared" si="95"/>
        <v>3256.1854669669597</v>
      </c>
      <c r="CI51" s="118">
        <f t="shared" si="96"/>
        <v>1135.0388089325554</v>
      </c>
      <c r="CJ51" s="118">
        <f t="shared" si="132"/>
        <v>3356318.0898430967</v>
      </c>
      <c r="CK51" s="118">
        <f t="shared" si="133"/>
        <v>3020.6866993486806</v>
      </c>
      <c r="CL51" s="118">
        <f t="shared" si="136"/>
        <v>1111.1109571763218</v>
      </c>
      <c r="CM51" s="350">
        <f t="shared" si="134"/>
        <v>23.927851756233622</v>
      </c>
      <c r="CN51" s="350">
        <f t="shared" si="157"/>
        <v>17.979452952670883</v>
      </c>
      <c r="CO51" s="351">
        <f t="shared" si="158"/>
        <v>5.9483988035627391</v>
      </c>
      <c r="CP51" s="20">
        <f t="shared" si="26"/>
        <v>1.5</v>
      </c>
      <c r="CQ51" s="21">
        <f t="shared" si="27"/>
        <v>410200.80000000005</v>
      </c>
      <c r="CR51" s="21">
        <f t="shared" si="28"/>
        <v>0</v>
      </c>
      <c r="CS51" s="21">
        <f t="shared" ref="CS51:CT66" si="159">((CQ51-CS50)*(2/(1+14)))+CS50</f>
        <v>143565.15328462125</v>
      </c>
      <c r="CT51" s="21">
        <f t="shared" si="159"/>
        <v>124436.7162974434</v>
      </c>
      <c r="CU51" s="21">
        <f t="shared" si="105"/>
        <v>1.1537202005672891</v>
      </c>
      <c r="CV51" s="342">
        <f t="shared" si="106"/>
        <v>53.568713348344858</v>
      </c>
      <c r="CW51" s="342">
        <f>AVERAGE(CV18:CV51)</f>
        <v>41.134553157585401</v>
      </c>
      <c r="CX51" s="355">
        <f t="shared" si="146"/>
        <v>44.186389317173486</v>
      </c>
      <c r="CY51" s="141">
        <f t="shared" si="29"/>
        <v>-4.1666666666667425</v>
      </c>
      <c r="CZ51" s="118">
        <f t="shared" si="30"/>
        <v>0</v>
      </c>
      <c r="DA51" s="118">
        <f t="shared" si="31"/>
        <v>5410797.4333333327</v>
      </c>
      <c r="DB51" s="118">
        <f t="shared" ref="DB51:DC66" si="160">((CZ51-DB50)*(2/(1+14)))+DB50</f>
        <v>2484925.3705178658</v>
      </c>
      <c r="DC51" s="118">
        <f t="shared" si="160"/>
        <v>1139621.5308207544</v>
      </c>
      <c r="DD51" s="118">
        <f t="shared" si="107"/>
        <v>2.1804829966034642</v>
      </c>
      <c r="DE51" s="350">
        <f t="shared" si="108"/>
        <v>68.558234674798427</v>
      </c>
      <c r="DF51" s="350">
        <f>AVERAGE(DE18:DE51)</f>
        <v>59.764295349168258</v>
      </c>
      <c r="DG51" s="351">
        <f t="shared" si="147"/>
        <v>62.979003492954689</v>
      </c>
      <c r="DH51" s="135">
        <f t="shared" si="32"/>
        <v>2.6000000000000085</v>
      </c>
      <c r="DI51" s="20">
        <f t="shared" si="33"/>
        <v>12542.400000000041</v>
      </c>
      <c r="DJ51" s="21">
        <f t="shared" si="127"/>
        <v>6535.2829792173352</v>
      </c>
      <c r="DK51" s="21">
        <f t="shared" si="122"/>
        <v>3198.0718680148816</v>
      </c>
      <c r="DL51" s="319">
        <f t="shared" si="123"/>
        <v>2.0435072283956957</v>
      </c>
      <c r="DM51" s="21">
        <f t="shared" si="124"/>
        <v>8174.0289135827825</v>
      </c>
      <c r="DN51" s="21">
        <f>DM51*'Base Data'!$D$10</f>
        <v>16348.057827165565</v>
      </c>
      <c r="DO51" s="363">
        <f>IF(INT(('Base Data'!$D$7)/DN51)=0,0,INT(('Base Data'!$D$7)/DN51))</f>
        <v>0</v>
      </c>
      <c r="DP51" s="364">
        <f t="shared" si="113"/>
        <v>2.384489181325199E-2</v>
      </c>
      <c r="DQ51" s="141">
        <f t="shared" si="34"/>
        <v>30.650000000000091</v>
      </c>
      <c r="DR51" s="143">
        <f t="shared" si="35"/>
        <v>142307.95000000042</v>
      </c>
      <c r="DS51" s="118">
        <f t="shared" si="128"/>
        <v>74255.045233019264</v>
      </c>
      <c r="DT51" s="118">
        <f t="shared" si="125"/>
        <v>3063.9044649793027</v>
      </c>
      <c r="DU51" s="329">
        <f t="shared" si="126"/>
        <v>24.235430993936319</v>
      </c>
      <c r="DV51" s="118">
        <f t="shared" si="114"/>
        <v>14541.258596361791</v>
      </c>
      <c r="DW51" s="118">
        <f>DV51*'Base Data'!$D$10</f>
        <v>29082.517192723582</v>
      </c>
      <c r="DX51" s="375">
        <f>IF(INT(('Base Data'!$D$7)/DW51)=0,0,INT(('Base Data'!$D$7)/DW51))</f>
        <v>0</v>
      </c>
      <c r="DY51" s="376">
        <f t="shared" si="115"/>
        <v>2.0886311021619617E-2</v>
      </c>
      <c r="DZ51" s="135">
        <f t="shared" si="36"/>
        <v>2.6000000000000085</v>
      </c>
      <c r="EA51" s="21">
        <f t="shared" si="37"/>
        <v>12542.400000000041</v>
      </c>
      <c r="EB51" s="21">
        <f t="shared" si="79"/>
        <v>6448.4933457359748</v>
      </c>
      <c r="EC51" s="21">
        <f t="shared" si="75"/>
        <v>3030.7884484620804</v>
      </c>
      <c r="ED51" s="319">
        <f t="shared" si="76"/>
        <v>2.1276619781918953</v>
      </c>
      <c r="EE51" s="21">
        <f t="shared" si="63"/>
        <v>8510.6479127675811</v>
      </c>
      <c r="EF51" s="21">
        <f>EE51*'Base Data'!$D$13</f>
        <v>6382.9859345756859</v>
      </c>
      <c r="EG51" s="363">
        <f>IF(INT(('Base Data'!$D$7)/EF51)=0,0,INT(('Base Data'!$D$7)/EF51))</f>
        <v>1</v>
      </c>
      <c r="EH51" s="314">
        <f t="shared" si="64"/>
        <v>2.4826860889053618E-2</v>
      </c>
      <c r="EI51" s="143">
        <f t="shared" si="38"/>
        <v>30.650000000000091</v>
      </c>
      <c r="EJ51" s="118">
        <f t="shared" si="39"/>
        <v>142307.95000000042</v>
      </c>
      <c r="EK51" s="118">
        <f t="shared" si="80"/>
        <v>86265.897214950674</v>
      </c>
      <c r="EL51" s="118">
        <f t="shared" si="77"/>
        <v>3373.6313510601376</v>
      </c>
      <c r="EM51" s="329">
        <f t="shared" si="78"/>
        <v>25.570635389027398</v>
      </c>
      <c r="EN51" s="118">
        <f t="shared" si="65"/>
        <v>15342.381233416439</v>
      </c>
      <c r="EO51" s="118">
        <f>EN51*'Base Data'!$D$13</f>
        <v>11506.78592506233</v>
      </c>
      <c r="EP51" s="375">
        <f>IF(INT(('Base Data'!$D$7)/EO51)=0,0,INT(('Base Data'!$D$7)/EO51))</f>
        <v>0</v>
      </c>
      <c r="EQ51" s="385">
        <f t="shared" si="66"/>
        <v>2.2037002101975612E-2</v>
      </c>
      <c r="ER51" s="397">
        <f t="shared" si="116"/>
        <v>0.71733194554141511</v>
      </c>
      <c r="ES51" s="403">
        <f t="shared" si="67"/>
        <v>0.57672851510751977</v>
      </c>
      <c r="ET51" s="405">
        <f t="shared" si="117"/>
        <v>2.629300144823735</v>
      </c>
      <c r="EU51" s="410">
        <f t="shared" si="68"/>
        <v>1.0103548962945423</v>
      </c>
      <c r="EV51" s="20">
        <f t="shared" si="8"/>
        <v>2.4000000000000057</v>
      </c>
      <c r="EW51" s="17">
        <f t="shared" si="9"/>
        <v>2.8690974297668925E-2</v>
      </c>
      <c r="EX51" s="388">
        <f t="shared" si="69"/>
        <v>2.322191567516908E-2</v>
      </c>
      <c r="EY51" s="388">
        <f t="shared" si="103"/>
        <v>2.4422402142288482E-2</v>
      </c>
      <c r="EZ51" s="314">
        <f t="shared" si="118"/>
        <v>2.2025693960099641E-2</v>
      </c>
      <c r="FA51" s="442">
        <f t="shared" si="10"/>
        <v>30.650000000000091</v>
      </c>
      <c r="FB51" s="18">
        <f t="shared" si="11"/>
        <v>2.6593206368487346E-2</v>
      </c>
      <c r="FC51" s="394">
        <f t="shared" si="70"/>
        <v>2.0235392044259351E-2</v>
      </c>
      <c r="FD51" s="394">
        <f t="shared" si="104"/>
        <v>1.8927589280709867E-2</v>
      </c>
      <c r="FE51" s="385">
        <f t="shared" si="119"/>
        <v>1.9317418676762971E-2</v>
      </c>
      <c r="FF51" s="416">
        <f t="shared" si="49"/>
        <v>1</v>
      </c>
      <c r="FG51" s="417">
        <f t="shared" si="50"/>
        <v>2</v>
      </c>
      <c r="FH51" s="415">
        <f t="shared" si="111"/>
        <v>37.500000000000142</v>
      </c>
      <c r="FI51" s="413" t="str">
        <f t="shared" si="120"/>
        <v>T-R</v>
      </c>
      <c r="FJ51" s="404">
        <f t="shared" si="112"/>
        <v>64.979619565217277</v>
      </c>
      <c r="FK51" s="414" t="str">
        <f t="shared" si="121"/>
        <v>T-R</v>
      </c>
      <c r="FL51" s="415">
        <f t="shared" si="71"/>
        <v>7.9207920792077555</v>
      </c>
      <c r="FM51" s="413" t="str">
        <f t="shared" si="72"/>
        <v>C-D</v>
      </c>
      <c r="FN51" s="404">
        <f t="shared" si="73"/>
        <v>45.488958990536219</v>
      </c>
      <c r="FO51" s="414" t="str">
        <f t="shared" si="74"/>
        <v>T-D</v>
      </c>
      <c r="FQ51" s="135">
        <f t="shared" si="51"/>
        <v>83.754018283422297</v>
      </c>
      <c r="FR51" s="21">
        <f t="shared" si="12"/>
        <v>85.9</v>
      </c>
      <c r="FS51" s="21">
        <f t="shared" si="13"/>
        <v>83.5</v>
      </c>
      <c r="FT51" s="182">
        <f t="shared" si="14"/>
        <v>84.6875</v>
      </c>
      <c r="FU51" s="141">
        <f t="shared" si="52"/>
        <v>1158.669628871085</v>
      </c>
      <c r="FV51" s="118">
        <f t="shared" si="15"/>
        <v>1183.2</v>
      </c>
      <c r="FW51" s="118">
        <f t="shared" si="16"/>
        <v>1152.55</v>
      </c>
      <c r="FX51" s="181">
        <f t="shared" si="17"/>
        <v>1162.1624999999999</v>
      </c>
    </row>
    <row r="52" spans="1:180" x14ac:dyDescent="0.3">
      <c r="A52" s="112" t="s">
        <v>54</v>
      </c>
      <c r="B52" s="427">
        <f ca="1">IF($H$35=0,IF($AK$69&gt;=50%,F44,F47),IF($AK$69&gt;=50%,F44/1000,F47/1000))</f>
        <v>1173.723444537389</v>
      </c>
      <c r="C52" s="428">
        <f ca="1">IF($H$35=0,IF($AK$69&gt;=50%,E44,E47),IF($AK$69&gt;=50%,E44/1000,E47/1000))</f>
        <v>1177.7632948212677</v>
      </c>
      <c r="D52" s="428">
        <f ca="1">IF($H$35=0,IF($AK$69&gt;=50%,E43,E45),IF($AK$69&gt;=50%,E43/1000,E45/1000))</f>
        <v>1179.4213399000178</v>
      </c>
      <c r="E52" s="428">
        <f ca="1">IF($H$35=0,IF($AK$69&gt;=50%,E42,E44),IF($AK$69&gt;=50%,E42/1000,E44/1000))</f>
        <v>1182.3639914286628</v>
      </c>
      <c r="F52" s="428">
        <f ca="1">IF($H$35=0,IF($AK$69&gt;=50%,E41,E43),IF($AK$69&gt;=50%,E41/1000,E43/1000))</f>
        <v>1185.5365742468757</v>
      </c>
      <c r="G52" s="428">
        <f ca="1">IF($H$35=0,IF($AK$69&gt;=50%,E40,E42),IF($AK$69&gt;=50%,E40/1000,E42/1000))</f>
        <v>1186.8715072324621</v>
      </c>
      <c r="H52" s="428">
        <f ca="1">IF($H$35=0,IF($AK$69&gt;=50%,E39,E41),IF($AK$69&gt;=50%,E39/1000,E41/1000))</f>
        <v>1187.5533121373517</v>
      </c>
      <c r="I52" s="428">
        <f ca="1">IF($H$35=0,IF($AK$69&gt;=50%,0,E40),IF($AK$69&gt;=50%,0,E40/1000))</f>
        <v>1188.9458700386845</v>
      </c>
      <c r="J52" s="429">
        <f ca="1">IF($H$35=0,IF($AK$69&gt;=50%,0,E39),IF($AK$69&gt;=50%,0,E39/1000))</f>
        <v>1189.6567315420723</v>
      </c>
      <c r="L52" s="283">
        <f t="shared" si="40"/>
        <v>49</v>
      </c>
      <c r="M52" s="290">
        <f>'[6]ASHOKLEY-I'!C68</f>
        <v>42866</v>
      </c>
      <c r="N52" s="7">
        <f>'[6]ASHOKLEY-I'!D68</f>
        <v>86.2</v>
      </c>
      <c r="O52" s="7">
        <f>'[6]ASHOKLEY-I'!E68</f>
        <v>87.4</v>
      </c>
      <c r="P52" s="7">
        <f>'[6]ASHOKLEY-I'!F68</f>
        <v>85.85</v>
      </c>
      <c r="Q52" s="7">
        <f>'[6]ASHOKLEY-I'!G68</f>
        <v>86.7</v>
      </c>
      <c r="R52" s="11">
        <f>'[6]ASHOKLEY-I'!H68</f>
        <v>3925</v>
      </c>
      <c r="S52" s="291">
        <f>'[7]ASIANPAINT-I'!C68</f>
        <v>42866</v>
      </c>
      <c r="T52" s="9">
        <f>'[7]ASIANPAINT-I'!D68</f>
        <v>1157.25</v>
      </c>
      <c r="U52" s="9">
        <f>'[7]ASIANPAINT-I'!E68</f>
        <v>1184</v>
      </c>
      <c r="V52" s="9">
        <f>'[7]ASIANPAINT-I'!F68</f>
        <v>1152.3</v>
      </c>
      <c r="W52" s="9">
        <f>'[7]ASIANPAINT-I'!G68</f>
        <v>1172.2</v>
      </c>
      <c r="X52" s="12">
        <f>'[7]ASIANPAINT-I'!H68</f>
        <v>5054</v>
      </c>
      <c r="Y52" s="115"/>
      <c r="Z52" s="122">
        <f t="shared" si="18"/>
        <v>1.1668611435239206E-2</v>
      </c>
      <c r="AA52" s="19">
        <f t="shared" si="19"/>
        <v>1.0212435902960433E-2</v>
      </c>
      <c r="AB52" s="305">
        <f>IF(OR(SUM(Z32:Z52)=0,SUM('BNF-Nifty'!AA32:AA52)=0),0,(_xlfn.COVARIANCE.P(Z32:Z52,'BNF-Nifty'!AA32:AA52)/_xlfn.VAR.P('BNF-Nifty'!AA32:AA52)))</f>
        <v>1.3254513144428148</v>
      </c>
      <c r="AC52" s="306">
        <f>IF(OR(SUM(AA32:AA52)=0,SUM('BNF-Nifty'!AA32:AA52)=0),0,(_xlfn.COVARIANCE.P(AA32:AA52,'BNF-Nifty'!AA32:AA52)/_xlfn.VAR.P('BNF-Nifty'!AA32:AA52)))</f>
        <v>0.80222027522798578</v>
      </c>
      <c r="AD52" s="466">
        <f t="shared" si="20"/>
        <v>1.1601058182761975E-2</v>
      </c>
      <c r="AE52" s="17">
        <f t="shared" si="41"/>
        <v>1.4508890282837696E-2</v>
      </c>
      <c r="AF52" s="17">
        <f t="shared" si="42"/>
        <v>1.4351045134855038E-2</v>
      </c>
      <c r="AG52" s="314">
        <f t="shared" si="43"/>
        <v>0.27417633232805844</v>
      </c>
      <c r="AH52" s="467">
        <f t="shared" si="21"/>
        <v>1.0160641313561388E-2</v>
      </c>
      <c r="AI52" s="18">
        <f t="shared" si="149"/>
        <v>1.0992107961861704E-2</v>
      </c>
      <c r="AJ52" s="18">
        <f t="shared" si="150"/>
        <v>1.0944001512823409E-2</v>
      </c>
      <c r="AK52" s="385">
        <f t="shared" si="151"/>
        <v>0.20908485532464705</v>
      </c>
      <c r="AL52" s="10">
        <f t="shared" si="23"/>
        <v>1.7893695318005356E-2</v>
      </c>
      <c r="AM52" s="17">
        <f t="shared" si="45"/>
        <v>2.3986761773649227E-2</v>
      </c>
      <c r="AN52" s="17">
        <f t="shared" si="46"/>
        <v>2.3665458286090051E-2</v>
      </c>
      <c r="AO52" s="314">
        <f t="shared" si="47"/>
        <v>0.45212794571901205</v>
      </c>
      <c r="AP52" s="448">
        <f t="shared" si="24"/>
        <v>2.7138591423982179E-2</v>
      </c>
      <c r="AQ52" s="18">
        <f t="shared" si="152"/>
        <v>1.9209386798521803E-2</v>
      </c>
      <c r="AR52" s="18">
        <f t="shared" si="153"/>
        <v>1.9775001829921042E-2</v>
      </c>
      <c r="AS52" s="385">
        <f t="shared" si="154"/>
        <v>0.37780087948717628</v>
      </c>
      <c r="AT52" s="6">
        <f t="shared" si="0"/>
        <v>338335</v>
      </c>
      <c r="AU52" s="319">
        <v>0</v>
      </c>
      <c r="AV52" s="140">
        <f t="shared" si="1"/>
        <v>5848741.5</v>
      </c>
      <c r="AW52" s="481">
        <v>0</v>
      </c>
      <c r="AX52" s="135">
        <f t="shared" si="97"/>
        <v>276527.19077759469</v>
      </c>
      <c r="AY52" s="21">
        <f t="shared" si="98"/>
        <v>3243.9504601176568</v>
      </c>
      <c r="AZ52" s="319">
        <f t="shared" si="99"/>
        <v>85.243962316109219</v>
      </c>
      <c r="BA52" s="21">
        <f t="shared" si="2"/>
        <v>86.649999999999991</v>
      </c>
      <c r="BB52" s="21">
        <f t="shared" si="3"/>
        <v>340101.24999999994</v>
      </c>
      <c r="BC52" s="21">
        <f t="shared" si="61"/>
        <v>285938.30638337816</v>
      </c>
      <c r="BD52" s="21">
        <f t="shared" si="57"/>
        <v>3347.3826536150032</v>
      </c>
      <c r="BE52" s="332">
        <f t="shared" si="58"/>
        <v>85.421457888771499</v>
      </c>
      <c r="BF52" s="141">
        <f t="shared" si="100"/>
        <v>3953813.5537160458</v>
      </c>
      <c r="BG52" s="118">
        <f t="shared" si="101"/>
        <v>3491.0637750272426</v>
      </c>
      <c r="BH52" s="329">
        <f t="shared" si="102"/>
        <v>1132.5526568718133</v>
      </c>
      <c r="BI52" s="118">
        <f t="shared" si="4"/>
        <v>1169.5</v>
      </c>
      <c r="BJ52" s="118">
        <f t="shared" si="5"/>
        <v>5910653</v>
      </c>
      <c r="BK52" s="118">
        <f t="shared" si="62"/>
        <v>4668867.8977935137</v>
      </c>
      <c r="BL52" s="118">
        <f t="shared" si="59"/>
        <v>4019.3609710669471</v>
      </c>
      <c r="BM52" s="325">
        <f t="shared" si="60"/>
        <v>1161.5945747102564</v>
      </c>
      <c r="BN52" s="6">
        <f t="shared" si="6"/>
        <v>340297.5</v>
      </c>
      <c r="BO52" s="331">
        <f t="shared" si="87"/>
        <v>86.14025648762825</v>
      </c>
      <c r="BP52" s="319">
        <f t="shared" si="55"/>
        <v>85.044863927427969</v>
      </c>
      <c r="BQ52" s="331">
        <f t="shared" si="139"/>
        <v>85.507201520423664</v>
      </c>
      <c r="BR52" s="332">
        <f t="shared" si="88"/>
        <v>86.10239086702876</v>
      </c>
      <c r="BS52" s="140">
        <f t="shared" si="7"/>
        <v>5924298.7999999998</v>
      </c>
      <c r="BT52" s="339">
        <f t="shared" si="89"/>
        <v>1121.1051390506548</v>
      </c>
      <c r="BU52" s="329">
        <f t="shared" si="56"/>
        <v>1161.9740720193668</v>
      </c>
      <c r="BV52" s="339">
        <f t="shared" si="140"/>
        <v>1095.5625686576063</v>
      </c>
      <c r="BW52" s="325">
        <f t="shared" si="90"/>
        <v>1129.5648307076153</v>
      </c>
      <c r="BX52" s="21">
        <f t="shared" si="91"/>
        <v>276012.28101706295</v>
      </c>
      <c r="BY52" s="21">
        <f t="shared" si="92"/>
        <v>3235.5527748301383</v>
      </c>
      <c r="BZ52" s="21">
        <f t="shared" si="93"/>
        <v>85.3060667605872</v>
      </c>
      <c r="CA52" s="21">
        <f t="shared" si="129"/>
        <v>283125.72735104553</v>
      </c>
      <c r="CB52" s="21">
        <f t="shared" si="130"/>
        <v>3304.0139359314712</v>
      </c>
      <c r="CC52" s="21">
        <f t="shared" si="135"/>
        <v>85.691444661302981</v>
      </c>
      <c r="CD52" s="342">
        <f t="shared" si="131"/>
        <v>-0.38537790071578115</v>
      </c>
      <c r="CE52" s="342">
        <f t="shared" si="155"/>
        <v>-0.59050588826884931</v>
      </c>
      <c r="CF52" s="343">
        <f t="shared" si="156"/>
        <v>0.20512798755306816</v>
      </c>
      <c r="CG52" s="141">
        <f t="shared" si="94"/>
        <v>4036628.585768186</v>
      </c>
      <c r="CH52" s="118">
        <f t="shared" si="95"/>
        <v>3532.7723182028121</v>
      </c>
      <c r="CI52" s="118">
        <f t="shared" si="96"/>
        <v>1142.6234758943353</v>
      </c>
      <c r="CJ52" s="118">
        <f t="shared" si="132"/>
        <v>3545528.0831880523</v>
      </c>
      <c r="CK52" s="118">
        <f t="shared" si="133"/>
        <v>3171.3024993969266</v>
      </c>
      <c r="CL52" s="118">
        <f t="shared" si="136"/>
        <v>1118.0037488893888</v>
      </c>
      <c r="CM52" s="350">
        <f t="shared" si="134"/>
        <v>24.619727004946526</v>
      </c>
      <c r="CN52" s="350">
        <f t="shared" si="157"/>
        <v>19.307507763126011</v>
      </c>
      <c r="CO52" s="351">
        <f t="shared" si="158"/>
        <v>5.3122192418205145</v>
      </c>
      <c r="CP52" s="20">
        <f t="shared" si="26"/>
        <v>1.6166666666666458</v>
      </c>
      <c r="CQ52" s="21">
        <f t="shared" si="27"/>
        <v>340101.24999999994</v>
      </c>
      <c r="CR52" s="21">
        <f t="shared" si="28"/>
        <v>0</v>
      </c>
      <c r="CS52" s="21">
        <f t="shared" si="159"/>
        <v>169769.96618000508</v>
      </c>
      <c r="CT52" s="21">
        <f t="shared" si="159"/>
        <v>107845.15412445096</v>
      </c>
      <c r="CU52" s="21">
        <f t="shared" si="105"/>
        <v>1.5742011549642208</v>
      </c>
      <c r="CV52" s="342">
        <f t="shared" si="106"/>
        <v>61.152996995920496</v>
      </c>
      <c r="CW52" s="342">
        <f t="shared" ref="CW52:CW67" si="161">AVERAGE(CV19:CV52)</f>
        <v>41.729986601485912</v>
      </c>
      <c r="CX52" s="355">
        <f t="shared" si="146"/>
        <v>45.592254146362791</v>
      </c>
      <c r="CY52" s="141">
        <f t="shared" si="29"/>
        <v>4.1333333333334394</v>
      </c>
      <c r="CZ52" s="118">
        <f t="shared" si="30"/>
        <v>5910653</v>
      </c>
      <c r="DA52" s="118">
        <f t="shared" si="31"/>
        <v>0</v>
      </c>
      <c r="DB52" s="118">
        <f t="shared" si="160"/>
        <v>2941689.0544488169</v>
      </c>
      <c r="DC52" s="118">
        <f t="shared" si="160"/>
        <v>987671.99337798706</v>
      </c>
      <c r="DD52" s="118">
        <f t="shared" si="107"/>
        <v>2.9784068741159673</v>
      </c>
      <c r="DE52" s="350">
        <f t="shared" si="108"/>
        <v>74.864310472965201</v>
      </c>
      <c r="DF52" s="350">
        <f t="shared" ref="DF52:DF67" si="162">AVERAGE(DE19:DE52)</f>
        <v>60.437851016005439</v>
      </c>
      <c r="DG52" s="351">
        <f t="shared" si="147"/>
        <v>64.122832783918582</v>
      </c>
      <c r="DH52" s="135">
        <f t="shared" si="32"/>
        <v>1.7000000000000028</v>
      </c>
      <c r="DI52" s="20">
        <f t="shared" si="33"/>
        <v>6672.5000000000109</v>
      </c>
      <c r="DJ52" s="21">
        <f t="shared" si="127"/>
        <v>6547.7572538339418</v>
      </c>
      <c r="DK52" s="21">
        <f t="shared" si="122"/>
        <v>3264.1562436498925</v>
      </c>
      <c r="DL52" s="319">
        <f t="shared" si="123"/>
        <v>2.0059570575311718</v>
      </c>
      <c r="DM52" s="21">
        <f t="shared" si="124"/>
        <v>8023.8282301246873</v>
      </c>
      <c r="DN52" s="21">
        <f>DM52*'Base Data'!$D$10</f>
        <v>16047.656460249375</v>
      </c>
      <c r="DO52" s="363">
        <f>IF(INT(('Base Data'!$D$7)/DN52)=0,0,INT(('Base Data'!$D$7)/DN52))</f>
        <v>0</v>
      </c>
      <c r="DP52" s="364">
        <f t="shared" si="113"/>
        <v>2.313675960243566E-2</v>
      </c>
      <c r="DQ52" s="141">
        <f t="shared" si="34"/>
        <v>31.700000000000045</v>
      </c>
      <c r="DR52" s="143">
        <f t="shared" si="35"/>
        <v>160211.80000000022</v>
      </c>
      <c r="DS52" s="118">
        <f t="shared" si="128"/>
        <v>82069.295666381164</v>
      </c>
      <c r="DT52" s="118">
        <f t="shared" si="125"/>
        <v>3244.8222408902752</v>
      </c>
      <c r="DU52" s="329">
        <f t="shared" si="126"/>
        <v>25.292385706732574</v>
      </c>
      <c r="DV52" s="118">
        <f t="shared" si="114"/>
        <v>15175.431424039545</v>
      </c>
      <c r="DW52" s="118">
        <f>DV52*'Base Data'!$D$10</f>
        <v>30350.86284807909</v>
      </c>
      <c r="DX52" s="375">
        <f>IF(INT(('Base Data'!$D$7)/DW52)=0,0,INT(('Base Data'!$D$7)/DW52))</f>
        <v>0</v>
      </c>
      <c r="DY52" s="376">
        <f t="shared" si="115"/>
        <v>2.1576851822839596E-2</v>
      </c>
      <c r="DZ52" s="135">
        <f t="shared" si="36"/>
        <v>1.7000000000000028</v>
      </c>
      <c r="EA52" s="21">
        <f t="shared" si="37"/>
        <v>6672.5000000000109</v>
      </c>
      <c r="EB52" s="21">
        <f t="shared" si="79"/>
        <v>6498.2726022390943</v>
      </c>
      <c r="EC52" s="21">
        <f t="shared" si="75"/>
        <v>3229.5021265816181</v>
      </c>
      <c r="ED52" s="319">
        <f t="shared" si="76"/>
        <v>2.0121592578474079</v>
      </c>
      <c r="EE52" s="21">
        <f t="shared" si="63"/>
        <v>8048.6370313896314</v>
      </c>
      <c r="EF52" s="21">
        <f>EE52*'Base Data'!$D$13</f>
        <v>6036.4777735422231</v>
      </c>
      <c r="EG52" s="363">
        <f>IF(INT(('Base Data'!$D$7)/EF52)=0,0,INT(('Base Data'!$D$7)/EF52))</f>
        <v>1</v>
      </c>
      <c r="EH52" s="314">
        <f t="shared" si="64"/>
        <v>2.3208295938263065E-2</v>
      </c>
      <c r="EI52" s="143">
        <f t="shared" si="38"/>
        <v>31.700000000000045</v>
      </c>
      <c r="EJ52" s="118">
        <f t="shared" si="39"/>
        <v>160211.80000000022</v>
      </c>
      <c r="EK52" s="118">
        <f t="shared" si="80"/>
        <v>102698.32005607279</v>
      </c>
      <c r="EL52" s="118">
        <f t="shared" si="77"/>
        <v>3747.0466063801068</v>
      </c>
      <c r="EM52" s="329">
        <f t="shared" si="78"/>
        <v>27.407804290773448</v>
      </c>
      <c r="EN52" s="118">
        <f t="shared" si="65"/>
        <v>16444.68257446407</v>
      </c>
      <c r="EO52" s="118">
        <f>EN52*'Base Data'!$D$13</f>
        <v>12333.511930848053</v>
      </c>
      <c r="EP52" s="375">
        <f>IF(INT(('Base Data'!$D$7)/EO52)=0,0,INT(('Base Data'!$D$7)/EO52))</f>
        <v>0</v>
      </c>
      <c r="EQ52" s="385">
        <f t="shared" si="66"/>
        <v>2.338150852309627E-2</v>
      </c>
      <c r="ER52" s="397">
        <f t="shared" si="116"/>
        <v>1.2087014353075203</v>
      </c>
      <c r="ES52" s="403">
        <f t="shared" si="67"/>
        <v>1.2310572951284702</v>
      </c>
      <c r="ET52" s="405">
        <f t="shared" si="117"/>
        <v>2.8346569962419212</v>
      </c>
      <c r="EU52" s="410">
        <f t="shared" si="68"/>
        <v>1.0847731428820999</v>
      </c>
      <c r="EV52" s="20">
        <f t="shared" si="8"/>
        <v>1.5500000000000114</v>
      </c>
      <c r="EW52" s="17">
        <f t="shared" si="9"/>
        <v>1.7981438515081338E-2</v>
      </c>
      <c r="EX52" s="388">
        <f t="shared" si="69"/>
        <v>2.2680693887723577E-2</v>
      </c>
      <c r="EY52" s="388">
        <f t="shared" si="103"/>
        <v>2.2133732876309372E-2</v>
      </c>
      <c r="EZ52" s="314">
        <f t="shared" si="118"/>
        <v>2.1634044601547824E-2</v>
      </c>
      <c r="FA52" s="442">
        <f t="shared" si="10"/>
        <v>31.700000000000045</v>
      </c>
      <c r="FB52" s="18">
        <f t="shared" si="11"/>
        <v>2.7392525383452188E-2</v>
      </c>
      <c r="FC52" s="394">
        <f t="shared" si="70"/>
        <v>2.1368675014292984E-2</v>
      </c>
      <c r="FD52" s="394">
        <f t="shared" si="104"/>
        <v>2.0632118551759018E-2</v>
      </c>
      <c r="FE52" s="385">
        <f t="shared" si="119"/>
        <v>1.968656078829311E-2</v>
      </c>
      <c r="FF52" s="416">
        <f t="shared" si="49"/>
        <v>2</v>
      </c>
      <c r="FG52" s="417">
        <f t="shared" si="50"/>
        <v>1</v>
      </c>
      <c r="FH52" s="415">
        <f t="shared" si="111"/>
        <v>50</v>
      </c>
      <c r="FI52" s="413" t="str">
        <f t="shared" si="120"/>
        <v>T-R</v>
      </c>
      <c r="FJ52" s="404">
        <f t="shared" si="112"/>
        <v>63.209459459459424</v>
      </c>
      <c r="FK52" s="414" t="str">
        <f t="shared" si="121"/>
        <v>T-D</v>
      </c>
      <c r="FL52" s="415">
        <f t="shared" si="71"/>
        <v>56.565656565656475</v>
      </c>
      <c r="FM52" s="413" t="str">
        <f t="shared" si="72"/>
        <v>T-R</v>
      </c>
      <c r="FN52" s="404">
        <f t="shared" si="73"/>
        <v>67.645221736414896</v>
      </c>
      <c r="FO52" s="414" t="str">
        <f t="shared" si="74"/>
        <v>T-R</v>
      </c>
      <c r="FQ52" s="135">
        <f t="shared" si="51"/>
        <v>84.220759141711142</v>
      </c>
      <c r="FR52" s="21">
        <f t="shared" si="12"/>
        <v>87.4</v>
      </c>
      <c r="FS52" s="21">
        <f t="shared" si="13"/>
        <v>84.220759141711142</v>
      </c>
      <c r="FT52" s="182">
        <f t="shared" si="14"/>
        <v>86.537500000000009</v>
      </c>
      <c r="FU52" s="141">
        <f t="shared" si="52"/>
        <v>1160.4160644355425</v>
      </c>
      <c r="FV52" s="118">
        <f t="shared" si="15"/>
        <v>1184</v>
      </c>
      <c r="FW52" s="118">
        <f t="shared" si="16"/>
        <v>1152.3</v>
      </c>
      <c r="FX52" s="181">
        <f t="shared" si="17"/>
        <v>1166.4375</v>
      </c>
    </row>
    <row r="53" spans="1:180" ht="11.15" thickBot="1" x14ac:dyDescent="0.35">
      <c r="A53" s="113" t="s">
        <v>55</v>
      </c>
      <c r="B53" s="430">
        <f ca="1">IF($H$35=0,IF($AK$69&gt;=50%,E44,E47),IF($AK$69&gt;=50%,E44/1000,E47/1000))</f>
        <v>1177.7632948212677</v>
      </c>
      <c r="C53" s="431">
        <f ca="1">IF($H$35=0,IF($AK$69&gt;=50%,F44,F47),IF($AK$69&gt;=50%,F44/1000,F47/1000))</f>
        <v>1173.723444537389</v>
      </c>
      <c r="D53" s="431">
        <f ca="1">IF($H$35=0,IF($AK$69&gt;=50%,F43,F45),IF($AK$69&gt;=50%,F43/1000,F45/1000))</f>
        <v>1172.3474243858689</v>
      </c>
      <c r="E53" s="431">
        <f ca="1">IF($H$35=0,IF($AK$69&gt;=50%,F42,F44),IF($AK$69&gt;=50%,F42/1000,F44/1000))</f>
        <v>1170.2166627992488</v>
      </c>
      <c r="F53" s="431">
        <f ca="1">IF($H$35=0,IF($AK$69&gt;=50%,F41,F43),IF($AK$69&gt;=50%,F41/1000,F43/1000))</f>
        <v>1168.2832804188636</v>
      </c>
      <c r="G53" s="431">
        <f ca="1">IF($H$35=0,IF($AK$69&gt;=50%,F40,F42),IF($AK$69&gt;=50%,F40/1000,F42/1000))</f>
        <v>1167.5636745472327</v>
      </c>
      <c r="H53" s="431">
        <f ca="1">IF($H$35=0,IF($AK$69&gt;=50%,F39,F41),IF($AK$69&gt;=50%,F39/1000,F41/1000))</f>
        <v>1167.2151718290693</v>
      </c>
      <c r="I53" s="431">
        <f ca="1">IF($H$35=0,IF($AK$69&gt;=50%,0,F40),IF($AK$69&gt;=50%,0,F40/1000))</f>
        <v>1166.540495560685</v>
      </c>
      <c r="J53" s="432">
        <f ca="1">IF($H$35=0,IF($AK$69&gt;=50%,0,F39),IF($AK$69&gt;=50%,0,F39/1000))</f>
        <v>1166.2142135035197</v>
      </c>
      <c r="L53" s="283">
        <f t="shared" si="40"/>
        <v>50</v>
      </c>
      <c r="M53" s="290">
        <f>'[6]ASHOKLEY-I'!C69</f>
        <v>42867</v>
      </c>
      <c r="N53" s="7">
        <f>'[6]ASHOKLEY-I'!D69</f>
        <v>87.1</v>
      </c>
      <c r="O53" s="7">
        <f>'[6]ASHOKLEY-I'!E69</f>
        <v>87.2</v>
      </c>
      <c r="P53" s="7">
        <f>'[6]ASHOKLEY-I'!F69</f>
        <v>85.25</v>
      </c>
      <c r="Q53" s="7">
        <f>'[6]ASHOKLEY-I'!G69</f>
        <v>85.85</v>
      </c>
      <c r="R53" s="11">
        <f>'[6]ASHOKLEY-I'!H69</f>
        <v>2390</v>
      </c>
      <c r="S53" s="291">
        <f>'[7]ASIANPAINT-I'!C69</f>
        <v>42867</v>
      </c>
      <c r="T53" s="9">
        <f>'[7]ASIANPAINT-I'!D69</f>
        <v>1175</v>
      </c>
      <c r="U53" s="9">
        <f>'[7]ASIANPAINT-I'!E69</f>
        <v>1181.95</v>
      </c>
      <c r="V53" s="9">
        <f>'[7]ASIANPAINT-I'!F69</f>
        <v>1130.5999999999999</v>
      </c>
      <c r="W53" s="9">
        <f>'[7]ASIANPAINT-I'!G69</f>
        <v>1134.25</v>
      </c>
      <c r="X53" s="12">
        <f>'[7]ASIANPAINT-I'!H69</f>
        <v>7814</v>
      </c>
      <c r="Y53" s="115"/>
      <c r="Z53" s="122">
        <f t="shared" si="18"/>
        <v>-9.8039215686275497E-3</v>
      </c>
      <c r="AA53" s="19">
        <f t="shared" si="19"/>
        <v>-3.2375021327418568E-2</v>
      </c>
      <c r="AB53" s="305">
        <f>IF(OR(SUM(Z33:Z53)=0,SUM('BNF-Nifty'!AA33:AA53)=0),0,(_xlfn.COVARIANCE.P(Z33:Z53,'BNF-Nifty'!AA33:AA53)/_xlfn.VAR.P('BNF-Nifty'!AA33:AA53)))</f>
        <v>1.5171867947540312</v>
      </c>
      <c r="AC53" s="306">
        <f>IF(OR(SUM(AA33:AA53)=0,SUM('BNF-Nifty'!AA33:AA53)=0),0,(_xlfn.COVARIANCE.P(AA33:AA53,'BNF-Nifty'!AA33:AA53)/_xlfn.VAR.P('BNF-Nifty'!AA33:AA53)))</f>
        <v>1.0716810231242906</v>
      </c>
      <c r="AD53" s="466">
        <f t="shared" si="20"/>
        <v>-9.8522964430117071E-3</v>
      </c>
      <c r="AE53" s="17">
        <f t="shared" si="41"/>
        <v>1.4351045134855038E-2</v>
      </c>
      <c r="AF53" s="17">
        <f t="shared" si="42"/>
        <v>1.412159379768964E-2</v>
      </c>
      <c r="AG53" s="314">
        <f t="shared" si="43"/>
        <v>0.26979267068665053</v>
      </c>
      <c r="AH53" s="467">
        <f t="shared" si="21"/>
        <v>-3.2910685498255585E-2</v>
      </c>
      <c r="AI53" s="18">
        <f t="shared" si="149"/>
        <v>1.0944001512823409E-2</v>
      </c>
      <c r="AJ53" s="18">
        <f t="shared" si="150"/>
        <v>1.3325602881814601E-2</v>
      </c>
      <c r="AK53" s="385">
        <f t="shared" si="151"/>
        <v>0.25458528559167815</v>
      </c>
      <c r="AL53" s="10">
        <f t="shared" si="23"/>
        <v>2.2616214751307841E-2</v>
      </c>
      <c r="AM53" s="17">
        <f t="shared" si="45"/>
        <v>2.3665458286090051E-2</v>
      </c>
      <c r="AN53" s="17">
        <f t="shared" si="46"/>
        <v>2.360381899434633E-2</v>
      </c>
      <c r="AO53" s="314">
        <f t="shared" si="47"/>
        <v>0.4509503287037504</v>
      </c>
      <c r="AP53" s="448">
        <f t="shared" si="24"/>
        <v>4.4417151645699787E-2</v>
      </c>
      <c r="AQ53" s="18">
        <f t="shared" si="152"/>
        <v>1.9775001829921042E-2</v>
      </c>
      <c r="AR53" s="18">
        <f t="shared" si="153"/>
        <v>2.204451535303063E-2</v>
      </c>
      <c r="AS53" s="385">
        <f t="shared" si="154"/>
        <v>0.42115987446544706</v>
      </c>
      <c r="AT53" s="6">
        <f t="shared" si="0"/>
        <v>208169</v>
      </c>
      <c r="AU53" s="319">
        <v>0</v>
      </c>
      <c r="AV53" s="140">
        <f t="shared" si="1"/>
        <v>9181450</v>
      </c>
      <c r="AW53" s="481">
        <v>0</v>
      </c>
      <c r="AX53" s="135">
        <f t="shared" si="97"/>
        <v>266761.73495222401</v>
      </c>
      <c r="AY53" s="21">
        <f t="shared" si="98"/>
        <v>3121.9575372437057</v>
      </c>
      <c r="AZ53" s="319">
        <f t="shared" si="99"/>
        <v>85.446945312312266</v>
      </c>
      <c r="BA53" s="21">
        <f t="shared" si="2"/>
        <v>86.09999999999998</v>
      </c>
      <c r="BB53" s="21">
        <f t="shared" si="3"/>
        <v>205778.99999999994</v>
      </c>
      <c r="BC53" s="21">
        <f t="shared" si="61"/>
        <v>259218.53758891876</v>
      </c>
      <c r="BD53" s="21">
        <f t="shared" si="57"/>
        <v>3028.2551024100021</v>
      </c>
      <c r="BE53" s="332">
        <f t="shared" si="58"/>
        <v>85.599967249332025</v>
      </c>
      <c r="BF53" s="141">
        <f t="shared" si="100"/>
        <v>4700618.7603280395</v>
      </c>
      <c r="BG53" s="118">
        <f t="shared" si="101"/>
        <v>4108.6260928804932</v>
      </c>
      <c r="BH53" s="329">
        <f t="shared" si="102"/>
        <v>1144.0853107741691</v>
      </c>
      <c r="BI53" s="118">
        <f t="shared" si="4"/>
        <v>1148.9333333333334</v>
      </c>
      <c r="BJ53" s="118">
        <f t="shared" si="5"/>
        <v>8977765.0666666664</v>
      </c>
      <c r="BK53" s="118">
        <f t="shared" si="62"/>
        <v>6105166.954084564</v>
      </c>
      <c r="BL53" s="118">
        <f t="shared" si="59"/>
        <v>5284.2406473779647</v>
      </c>
      <c r="BM53" s="325">
        <f t="shared" si="60"/>
        <v>1155.3536944071504</v>
      </c>
      <c r="BN53" s="6">
        <f t="shared" si="6"/>
        <v>205181.5</v>
      </c>
      <c r="BO53" s="331">
        <f t="shared" si="87"/>
        <v>86.129050169240045</v>
      </c>
      <c r="BP53" s="319">
        <f t="shared" si="55"/>
        <v>85.484691674537842</v>
      </c>
      <c r="BQ53" s="331">
        <f t="shared" si="139"/>
        <v>85.473601077210873</v>
      </c>
      <c r="BR53" s="332">
        <f t="shared" si="88"/>
        <v>85.839466546112121</v>
      </c>
      <c r="BS53" s="140">
        <f t="shared" si="7"/>
        <v>8863029.5</v>
      </c>
      <c r="BT53" s="339">
        <f t="shared" si="89"/>
        <v>1131.780052405642</v>
      </c>
      <c r="BU53" s="329">
        <f t="shared" si="56"/>
        <v>1155.6760124610591</v>
      </c>
      <c r="BV53" s="339">
        <f t="shared" si="140"/>
        <v>1102.5436223403731</v>
      </c>
      <c r="BW53" s="325">
        <f t="shared" si="90"/>
        <v>1133.3596021259593</v>
      </c>
      <c r="BX53" s="21">
        <f t="shared" si="91"/>
        <v>265207.16086059174</v>
      </c>
      <c r="BY53" s="21">
        <f t="shared" si="92"/>
        <v>3105.4677325485786</v>
      </c>
      <c r="BZ53" s="21">
        <f t="shared" si="93"/>
        <v>85.400069716049813</v>
      </c>
      <c r="CA53" s="21">
        <f t="shared" si="129"/>
        <v>277396.34013985697</v>
      </c>
      <c r="CB53" s="21">
        <f t="shared" si="130"/>
        <v>3236.3091999365474</v>
      </c>
      <c r="CC53" s="21">
        <f t="shared" si="135"/>
        <v>85.713794017362659</v>
      </c>
      <c r="CD53" s="342">
        <f t="shared" si="131"/>
        <v>-0.31372430131284545</v>
      </c>
      <c r="CE53" s="342">
        <f t="shared" si="155"/>
        <v>-0.53514957087764858</v>
      </c>
      <c r="CF53" s="343">
        <f t="shared" si="156"/>
        <v>0.22142526956480313</v>
      </c>
      <c r="CG53" s="141">
        <f t="shared" si="94"/>
        <v>4796803.4289833372</v>
      </c>
      <c r="CH53" s="118">
        <f t="shared" si="95"/>
        <v>4191.4227307869951</v>
      </c>
      <c r="CI53" s="118">
        <f t="shared" si="96"/>
        <v>1144.4332240099948</v>
      </c>
      <c r="CJ53" s="118">
        <f t="shared" si="132"/>
        <v>3947916.0078901718</v>
      </c>
      <c r="CK53" s="118">
        <f t="shared" si="133"/>
        <v>3515.2060179601172</v>
      </c>
      <c r="CL53" s="118">
        <f t="shared" si="136"/>
        <v>1123.0966229914334</v>
      </c>
      <c r="CM53" s="350">
        <f t="shared" si="134"/>
        <v>21.336601018561396</v>
      </c>
      <c r="CN53" s="350">
        <f t="shared" si="157"/>
        <v>19.713326414213089</v>
      </c>
      <c r="CO53" s="351">
        <f t="shared" si="158"/>
        <v>1.6232746043483068</v>
      </c>
      <c r="CP53" s="20">
        <f t="shared" si="26"/>
        <v>-0.55000000000001137</v>
      </c>
      <c r="CQ53" s="21">
        <f t="shared" si="27"/>
        <v>0</v>
      </c>
      <c r="CR53" s="21">
        <f t="shared" si="28"/>
        <v>205778.99999999994</v>
      </c>
      <c r="CS53" s="21">
        <f t="shared" si="159"/>
        <v>147133.97068933773</v>
      </c>
      <c r="CT53" s="21">
        <f t="shared" si="159"/>
        <v>120903.00024119082</v>
      </c>
      <c r="CU53" s="21">
        <f t="shared" si="105"/>
        <v>1.2169588049578459</v>
      </c>
      <c r="CV53" s="342">
        <f t="shared" si="106"/>
        <v>54.893162752340167</v>
      </c>
      <c r="CW53" s="342">
        <f t="shared" si="161"/>
        <v>42.29386610549674</v>
      </c>
      <c r="CX53" s="355">
        <f t="shared" si="146"/>
        <v>46.861963300405442</v>
      </c>
      <c r="CY53" s="141">
        <f t="shared" si="29"/>
        <v>-20.566666666666606</v>
      </c>
      <c r="CZ53" s="118">
        <f t="shared" si="30"/>
        <v>0</v>
      </c>
      <c r="DA53" s="118">
        <f t="shared" si="31"/>
        <v>8977765.0666666664</v>
      </c>
      <c r="DB53" s="118">
        <f t="shared" si="160"/>
        <v>2549463.8471889747</v>
      </c>
      <c r="DC53" s="118">
        <f t="shared" si="160"/>
        <v>2053017.7364831443</v>
      </c>
      <c r="DD53" s="118">
        <f t="shared" si="107"/>
        <v>1.2418128698470241</v>
      </c>
      <c r="DE53" s="350">
        <f t="shared" si="108"/>
        <v>55.393243858563558</v>
      </c>
      <c r="DF53" s="350">
        <f t="shared" si="162"/>
        <v>60.716363732528031</v>
      </c>
      <c r="DG53" s="351">
        <f t="shared" si="147"/>
        <v>64.078618350848629</v>
      </c>
      <c r="DH53" s="135">
        <f t="shared" si="32"/>
        <v>1.9500000000000028</v>
      </c>
      <c r="DI53" s="20">
        <f t="shared" si="33"/>
        <v>4660.5000000000064</v>
      </c>
      <c r="DJ53" s="21">
        <f t="shared" si="127"/>
        <v>6376.1884125763117</v>
      </c>
      <c r="DK53" s="21">
        <f t="shared" si="122"/>
        <v>3184.6874942271752</v>
      </c>
      <c r="DL53" s="319">
        <f t="shared" si="123"/>
        <v>2.0021394325610635</v>
      </c>
      <c r="DM53" s="21">
        <f t="shared" si="124"/>
        <v>8008.5577302442543</v>
      </c>
      <c r="DN53" s="21">
        <f>DM53*'Base Data'!$D$10</f>
        <v>16017.115460488509</v>
      </c>
      <c r="DO53" s="363">
        <f>IF(INT(('Base Data'!$D$7)/DN53)=0,0,INT(('Base Data'!$D$7)/DN53))</f>
        <v>0</v>
      </c>
      <c r="DP53" s="364">
        <f t="shared" si="113"/>
        <v>2.3321367880734578E-2</v>
      </c>
      <c r="DQ53" s="141">
        <f t="shared" si="34"/>
        <v>51.350000000000136</v>
      </c>
      <c r="DR53" s="143">
        <f t="shared" si="35"/>
        <v>401248.90000000107</v>
      </c>
      <c r="DS53" s="118">
        <f t="shared" si="128"/>
        <v>111085.62333307389</v>
      </c>
      <c r="DT53" s="118">
        <f t="shared" si="125"/>
        <v>3660.2020371729777</v>
      </c>
      <c r="DU53" s="329">
        <f t="shared" si="126"/>
        <v>30.349587865612154</v>
      </c>
      <c r="DV53" s="118">
        <f t="shared" si="114"/>
        <v>18209.752719367294</v>
      </c>
      <c r="DW53" s="118">
        <f>DV53*'Base Data'!$D$10</f>
        <v>36419.505438734588</v>
      </c>
      <c r="DX53" s="375">
        <f>IF(INT(('Base Data'!$D$7)/DW53)=0,0,INT(('Base Data'!$D$7)/DW53))</f>
        <v>0</v>
      </c>
      <c r="DY53" s="376">
        <f t="shared" si="115"/>
        <v>2.6757406097079262E-2</v>
      </c>
      <c r="DZ53" s="135">
        <f t="shared" si="36"/>
        <v>1.9500000000000028</v>
      </c>
      <c r="EA53" s="21">
        <f t="shared" si="37"/>
        <v>4660.5000000000064</v>
      </c>
      <c r="EB53" s="21">
        <f t="shared" si="79"/>
        <v>6089.8786906304085</v>
      </c>
      <c r="EC53" s="21">
        <f t="shared" si="75"/>
        <v>3042.9460984523698</v>
      </c>
      <c r="ED53" s="319">
        <f t="shared" si="76"/>
        <v>2.0013100770098085</v>
      </c>
      <c r="EE53" s="21">
        <f t="shared" si="63"/>
        <v>8005.2403080392342</v>
      </c>
      <c r="EF53" s="21">
        <f>EE53*'Base Data'!$D$13</f>
        <v>6003.9302310294261</v>
      </c>
      <c r="EG53" s="363">
        <f>IF(INT(('Base Data'!$D$7)/EF53)=0,0,INT(('Base Data'!$D$7)/EF53))</f>
        <v>1</v>
      </c>
      <c r="EH53" s="314">
        <f t="shared" si="64"/>
        <v>2.3311707361791598E-2</v>
      </c>
      <c r="EI53" s="143">
        <f t="shared" si="38"/>
        <v>51.350000000000136</v>
      </c>
      <c r="EJ53" s="118">
        <f t="shared" si="39"/>
        <v>401248.90000000107</v>
      </c>
      <c r="EK53" s="118">
        <f t="shared" si="80"/>
        <v>169042.89337694575</v>
      </c>
      <c r="EL53" s="118">
        <f t="shared" si="77"/>
        <v>4650.8140271845277</v>
      </c>
      <c r="EM53" s="329">
        <f t="shared" si="78"/>
        <v>36.346947521201912</v>
      </c>
      <c r="EN53" s="118">
        <f t="shared" si="65"/>
        <v>21808.168512721146</v>
      </c>
      <c r="EO53" s="118">
        <f>EN53*'Base Data'!$D$13</f>
        <v>16356.126384540859</v>
      </c>
      <c r="EP53" s="375">
        <f>IF(INT(('Base Data'!$D$7)/EO53)=0,0,INT(('Base Data'!$D$7)/EO53))</f>
        <v>0</v>
      </c>
      <c r="EQ53" s="385">
        <f t="shared" si="66"/>
        <v>3.2044917364956502E-2</v>
      </c>
      <c r="ER53" s="397">
        <f t="shared" si="116"/>
        <v>0.70480161779045303</v>
      </c>
      <c r="ES53" s="403">
        <f t="shared" si="67"/>
        <v>0.79635335788707418</v>
      </c>
      <c r="ET53" s="405">
        <f t="shared" si="117"/>
        <v>0.95644718163267761</v>
      </c>
      <c r="EU53" s="410">
        <f t="shared" si="68"/>
        <v>-0.39635377885850714</v>
      </c>
      <c r="EV53" s="20">
        <f t="shared" si="8"/>
        <v>1.9500000000000028</v>
      </c>
      <c r="EW53" s="17">
        <f t="shared" si="9"/>
        <v>2.2388059701492571E-2</v>
      </c>
      <c r="EX53" s="388">
        <f t="shared" si="69"/>
        <v>2.0343205980039764E-2</v>
      </c>
      <c r="EY53" s="388">
        <f t="shared" si="103"/>
        <v>2.2120784316620824E-2</v>
      </c>
      <c r="EZ53" s="314">
        <f t="shared" si="118"/>
        <v>2.1869244739759985E-2</v>
      </c>
      <c r="FA53" s="442">
        <f t="shared" si="10"/>
        <v>51.350000000000136</v>
      </c>
      <c r="FB53" s="18">
        <f t="shared" si="11"/>
        <v>4.3702127659574583E-2</v>
      </c>
      <c r="FC53" s="394">
        <f t="shared" si="70"/>
        <v>2.2930212971562475E-2</v>
      </c>
      <c r="FD53" s="394">
        <f t="shared" si="104"/>
        <v>2.3090748073820277E-2</v>
      </c>
      <c r="FE53" s="385">
        <f t="shared" si="119"/>
        <v>2.0812908254171009E-2</v>
      </c>
      <c r="FF53" s="416">
        <f t="shared" si="49"/>
        <v>2</v>
      </c>
      <c r="FG53" s="417">
        <f t="shared" si="50"/>
        <v>2</v>
      </c>
      <c r="FH53" s="415">
        <f t="shared" si="111"/>
        <v>38.815789473684092</v>
      </c>
      <c r="FI53" s="413" t="str">
        <f t="shared" si="120"/>
        <v>T-D</v>
      </c>
      <c r="FJ53" s="404">
        <f t="shared" si="112"/>
        <v>40.000000000000028</v>
      </c>
      <c r="FK53" s="414" t="str">
        <f t="shared" si="121"/>
        <v>T-D</v>
      </c>
      <c r="FL53" s="415">
        <f t="shared" si="71"/>
        <v>52.525252525252377</v>
      </c>
      <c r="FM53" s="413" t="str">
        <f t="shared" si="72"/>
        <v>T-D</v>
      </c>
      <c r="FN53" s="404">
        <f t="shared" si="73"/>
        <v>19.093610698365403</v>
      </c>
      <c r="FO53" s="414" t="str">
        <f t="shared" si="74"/>
        <v>C-D</v>
      </c>
      <c r="FQ53" s="135">
        <f t="shared" si="51"/>
        <v>85.379129570855582</v>
      </c>
      <c r="FR53" s="21">
        <f t="shared" si="12"/>
        <v>87.2</v>
      </c>
      <c r="FS53" s="21">
        <f t="shared" si="13"/>
        <v>85.25</v>
      </c>
      <c r="FT53" s="182">
        <f t="shared" si="14"/>
        <v>86.35</v>
      </c>
      <c r="FU53" s="141">
        <f t="shared" si="52"/>
        <v>1163.4267822177712</v>
      </c>
      <c r="FV53" s="118">
        <f t="shared" si="15"/>
        <v>1181.95</v>
      </c>
      <c r="FW53" s="118">
        <f t="shared" si="16"/>
        <v>1130.5999999999999</v>
      </c>
      <c r="FX53" s="181">
        <f t="shared" si="17"/>
        <v>1155.4499999999998</v>
      </c>
    </row>
    <row r="54" spans="1:180" x14ac:dyDescent="0.3">
      <c r="E54" s="22"/>
      <c r="F54" s="22"/>
      <c r="G54" s="23"/>
      <c r="H54" s="23"/>
      <c r="I54" s="23"/>
      <c r="J54" s="23"/>
      <c r="L54" s="283">
        <f t="shared" si="40"/>
        <v>51</v>
      </c>
      <c r="M54" s="290">
        <f>'[6]ASHOKLEY-I'!C70</f>
        <v>42870</v>
      </c>
      <c r="N54" s="7">
        <f>'[6]ASHOKLEY-I'!D70</f>
        <v>86.25</v>
      </c>
      <c r="O54" s="7">
        <f>'[6]ASHOKLEY-I'!E70</f>
        <v>86.95</v>
      </c>
      <c r="P54" s="7">
        <f>'[6]ASHOKLEY-I'!F70</f>
        <v>85.65</v>
      </c>
      <c r="Q54" s="7">
        <f>'[6]ASHOKLEY-I'!G70</f>
        <v>86.65</v>
      </c>
      <c r="R54" s="11">
        <f>'[6]ASHOKLEY-I'!H70</f>
        <v>1691</v>
      </c>
      <c r="S54" s="291">
        <f>'[7]ASIANPAINT-I'!C70</f>
        <v>42870</v>
      </c>
      <c r="T54" s="9">
        <f>'[7]ASIANPAINT-I'!D70</f>
        <v>1136.7</v>
      </c>
      <c r="U54" s="9">
        <f>'[7]ASIANPAINT-I'!E70</f>
        <v>1150</v>
      </c>
      <c r="V54" s="9">
        <f>'[7]ASIANPAINT-I'!F70</f>
        <v>1136</v>
      </c>
      <c r="W54" s="9">
        <f>'[7]ASIANPAINT-I'!G70</f>
        <v>1148.25</v>
      </c>
      <c r="X54" s="12">
        <f>'[7]ASIANPAINT-I'!H70</f>
        <v>2867</v>
      </c>
      <c r="Y54" s="115"/>
      <c r="Z54" s="122">
        <f t="shared" si="18"/>
        <v>9.3185789167153348E-3</v>
      </c>
      <c r="AA54" s="19">
        <f t="shared" si="19"/>
        <v>1.2342957901697156E-2</v>
      </c>
      <c r="AB54" s="305">
        <f>IF(OR(SUM(Z34:Z54)=0,SUM('BNF-Nifty'!AA34:AA54)=0),0,(_xlfn.COVARIANCE.P(Z34:Z54,'BNF-Nifty'!AA34:AA54)/_xlfn.VAR.P('BNF-Nifty'!AA34:AA54)))</f>
        <v>1.647429939228412</v>
      </c>
      <c r="AC54" s="306">
        <f>IF(OR(SUM(AA34:AA54)=0,SUM('BNF-Nifty'!AA34:AA54)=0),0,(_xlfn.COVARIANCE.P(AA34:AA54,'BNF-Nifty'!AA34:AA54)/_xlfn.VAR.P('BNF-Nifty'!AA34:AA54)))</f>
        <v>1.1248431503916947</v>
      </c>
      <c r="AD54" s="466">
        <f t="shared" si="20"/>
        <v>9.275428818130739E-3</v>
      </c>
      <c r="AE54" s="17">
        <f t="shared" si="41"/>
        <v>1.412159379768964E-2</v>
      </c>
      <c r="AF54" s="17">
        <f t="shared" si="42"/>
        <v>1.3878626066341809E-2</v>
      </c>
      <c r="AG54" s="314">
        <f t="shared" si="43"/>
        <v>0.26515077869697068</v>
      </c>
      <c r="AH54" s="467">
        <f t="shared" si="21"/>
        <v>1.2267404661829538E-2</v>
      </c>
      <c r="AI54" s="18">
        <f t="shared" si="149"/>
        <v>1.3325602881814601E-2</v>
      </c>
      <c r="AJ54" s="18">
        <f t="shared" si="150"/>
        <v>1.3264491835808136E-2</v>
      </c>
      <c r="AK54" s="385">
        <f t="shared" si="151"/>
        <v>0.2534177606970564</v>
      </c>
      <c r="AL54" s="10">
        <f t="shared" si="23"/>
        <v>1.5064016030163165E-2</v>
      </c>
      <c r="AM54" s="17">
        <f t="shared" si="45"/>
        <v>2.360381899434633E-2</v>
      </c>
      <c r="AN54" s="17">
        <f t="shared" si="46"/>
        <v>2.3180322033746932E-2</v>
      </c>
      <c r="AO54" s="314">
        <f t="shared" si="47"/>
        <v>0.44285943063199851</v>
      </c>
      <c r="AP54" s="448">
        <f t="shared" si="24"/>
        <v>1.224862207619902E-2</v>
      </c>
      <c r="AQ54" s="18">
        <f t="shared" si="152"/>
        <v>2.204451535303063E-2</v>
      </c>
      <c r="AR54" s="18">
        <f t="shared" si="153"/>
        <v>2.1582510101629419E-2</v>
      </c>
      <c r="AS54" s="385">
        <f t="shared" si="154"/>
        <v>0.41233327653092905</v>
      </c>
      <c r="AT54" s="6">
        <f t="shared" si="0"/>
        <v>145848.75</v>
      </c>
      <c r="AU54" s="319">
        <v>0</v>
      </c>
      <c r="AV54" s="140">
        <f t="shared" si="1"/>
        <v>3258918.9</v>
      </c>
      <c r="AW54" s="481">
        <v>0</v>
      </c>
      <c r="AX54" s="135">
        <f t="shared" si="97"/>
        <v>249488.45138762059</v>
      </c>
      <c r="AY54" s="21">
        <f t="shared" si="98"/>
        <v>2917.5350319231761</v>
      </c>
      <c r="AZ54" s="319">
        <f t="shared" si="99"/>
        <v>85.513438110514542</v>
      </c>
      <c r="BA54" s="21">
        <f t="shared" si="2"/>
        <v>86.416666666666671</v>
      </c>
      <c r="BB54" s="21">
        <f t="shared" si="3"/>
        <v>146130.58333333334</v>
      </c>
      <c r="BC54" s="21">
        <f t="shared" si="61"/>
        <v>221522.55283705695</v>
      </c>
      <c r="BD54" s="21">
        <f t="shared" si="57"/>
        <v>2582.5034016066679</v>
      </c>
      <c r="BE54" s="332">
        <f t="shared" si="58"/>
        <v>85.778223060321949</v>
      </c>
      <c r="BF54" s="141">
        <f t="shared" si="100"/>
        <v>4494661.6374240341</v>
      </c>
      <c r="BG54" s="118">
        <f t="shared" si="101"/>
        <v>3931.2509367547086</v>
      </c>
      <c r="BH54" s="329">
        <f t="shared" si="102"/>
        <v>1143.3158833494429</v>
      </c>
      <c r="BI54" s="118">
        <f t="shared" si="4"/>
        <v>1144.75</v>
      </c>
      <c r="BJ54" s="118">
        <f t="shared" si="5"/>
        <v>3281998.25</v>
      </c>
      <c r="BK54" s="118">
        <f t="shared" si="62"/>
        <v>5164110.7193897096</v>
      </c>
      <c r="BL54" s="118">
        <f t="shared" si="59"/>
        <v>4478.4937649186431</v>
      </c>
      <c r="BM54" s="325">
        <f t="shared" si="60"/>
        <v>1153.0909699689</v>
      </c>
      <c r="BN54" s="6">
        <f t="shared" si="6"/>
        <v>146525.15000000002</v>
      </c>
      <c r="BO54" s="331">
        <f t="shared" si="87"/>
        <v>85.816196015474915</v>
      </c>
      <c r="BP54" s="319">
        <f t="shared" si="55"/>
        <v>85.876160544982071</v>
      </c>
      <c r="BQ54" s="331">
        <f t="shared" si="139"/>
        <v>85.447877274204032</v>
      </c>
      <c r="BR54" s="332">
        <f t="shared" si="88"/>
        <v>85.478308813853729</v>
      </c>
      <c r="BS54" s="140">
        <f t="shared" si="7"/>
        <v>3292032.75</v>
      </c>
      <c r="BT54" s="339">
        <f t="shared" si="89"/>
        <v>1138.3539222407207</v>
      </c>
      <c r="BU54" s="329">
        <f t="shared" si="56"/>
        <v>1153.2519958766507</v>
      </c>
      <c r="BV54" s="339">
        <f t="shared" si="140"/>
        <v>1104.1534411329737</v>
      </c>
      <c r="BW54" s="325">
        <f t="shared" si="90"/>
        <v>1138.0846371560078</v>
      </c>
      <c r="BX54" s="21">
        <f t="shared" si="91"/>
        <v>246887.68739485968</v>
      </c>
      <c r="BY54" s="21">
        <f t="shared" si="92"/>
        <v>2887.8573121564896</v>
      </c>
      <c r="BZ54" s="21">
        <f t="shared" si="93"/>
        <v>85.491650281882457</v>
      </c>
      <c r="CA54" s="21">
        <f t="shared" si="129"/>
        <v>267672.95074678113</v>
      </c>
      <c r="CB54" s="21">
        <f t="shared" si="130"/>
        <v>3121.8418517930995</v>
      </c>
      <c r="CC54" s="21">
        <f t="shared" si="135"/>
        <v>85.741995736599279</v>
      </c>
      <c r="CD54" s="342">
        <f t="shared" si="131"/>
        <v>-0.25034545471682179</v>
      </c>
      <c r="CE54" s="342">
        <f t="shared" si="155"/>
        <v>-0.47818874764548325</v>
      </c>
      <c r="CF54" s="343">
        <f t="shared" si="156"/>
        <v>0.22784329292866146</v>
      </c>
      <c r="CG54" s="141">
        <f t="shared" si="94"/>
        <v>4563756.4783705166</v>
      </c>
      <c r="CH54" s="118">
        <f t="shared" si="95"/>
        <v>3987.6653875889961</v>
      </c>
      <c r="CI54" s="118">
        <f t="shared" si="96"/>
        <v>1144.4682627019099</v>
      </c>
      <c r="CJ54" s="118">
        <f t="shared" si="132"/>
        <v>3898588.7665649741</v>
      </c>
      <c r="CK54" s="118">
        <f t="shared" si="133"/>
        <v>3467.1907573704789</v>
      </c>
      <c r="CL54" s="118">
        <f t="shared" si="136"/>
        <v>1124.4229231626321</v>
      </c>
      <c r="CM54" s="350">
        <f t="shared" si="134"/>
        <v>20.045339539277848</v>
      </c>
      <c r="CN54" s="350">
        <f t="shared" si="157"/>
        <v>19.779729039226041</v>
      </c>
      <c r="CO54" s="351">
        <f t="shared" si="158"/>
        <v>0.26561050005180675</v>
      </c>
      <c r="CP54" s="20">
        <f t="shared" si="26"/>
        <v>0.3166666666666913</v>
      </c>
      <c r="CQ54" s="21">
        <f t="shared" si="27"/>
        <v>146130.58333333334</v>
      </c>
      <c r="CR54" s="21">
        <f t="shared" si="28"/>
        <v>0</v>
      </c>
      <c r="CS54" s="21">
        <f t="shared" si="159"/>
        <v>147000.18570853714</v>
      </c>
      <c r="CT54" s="21">
        <f t="shared" si="159"/>
        <v>104782.60020903204</v>
      </c>
      <c r="CU54" s="21">
        <f t="shared" si="105"/>
        <v>1.402906450262589</v>
      </c>
      <c r="CV54" s="342">
        <f t="shared" si="106"/>
        <v>58.38373150603843</v>
      </c>
      <c r="CW54" s="342">
        <f t="shared" si="161"/>
        <v>43.085365297428247</v>
      </c>
      <c r="CX54" s="355">
        <f t="shared" si="146"/>
        <v>47.765819048802101</v>
      </c>
      <c r="CY54" s="141">
        <f t="shared" si="29"/>
        <v>-4.183333333333394</v>
      </c>
      <c r="CZ54" s="118">
        <f t="shared" si="30"/>
        <v>0</v>
      </c>
      <c r="DA54" s="118">
        <f t="shared" si="31"/>
        <v>3281998.25</v>
      </c>
      <c r="DB54" s="118">
        <f t="shared" si="160"/>
        <v>2209535.3342304449</v>
      </c>
      <c r="DC54" s="118">
        <f t="shared" si="160"/>
        <v>2216881.8049520585</v>
      </c>
      <c r="DD54" s="118">
        <f t="shared" si="107"/>
        <v>0.99668612430973857</v>
      </c>
      <c r="DE54" s="350">
        <f t="shared" si="108"/>
        <v>49.91701560776341</v>
      </c>
      <c r="DF54" s="350">
        <f t="shared" si="162"/>
        <v>60.690269295922981</v>
      </c>
      <c r="DG54" s="351">
        <f t="shared" si="147"/>
        <v>63.55183467147485</v>
      </c>
      <c r="DH54" s="135">
        <f t="shared" si="32"/>
        <v>1.2999999999999972</v>
      </c>
      <c r="DI54" s="20">
        <f t="shared" si="33"/>
        <v>2198.2999999999952</v>
      </c>
      <c r="DJ54" s="21">
        <f t="shared" si="127"/>
        <v>5996.3803750693742</v>
      </c>
      <c r="DK54" s="21">
        <f t="shared" si="122"/>
        <v>3048.8977220247048</v>
      </c>
      <c r="DL54" s="319">
        <f t="shared" si="123"/>
        <v>1.9667371364255906</v>
      </c>
      <c r="DM54" s="21">
        <f t="shared" si="124"/>
        <v>7866.948545702362</v>
      </c>
      <c r="DN54" s="21">
        <f>DM54*'Base Data'!$D$10</f>
        <v>15733.897091404724</v>
      </c>
      <c r="DO54" s="363">
        <f>IF(INT(('Base Data'!$D$7)/DN54)=0,0,INT(('Base Data'!$D$7)/DN54))</f>
        <v>0</v>
      </c>
      <c r="DP54" s="364">
        <f t="shared" si="113"/>
        <v>2.2697485706007967E-2</v>
      </c>
      <c r="DQ54" s="141">
        <f t="shared" si="34"/>
        <v>15.75</v>
      </c>
      <c r="DR54" s="143">
        <f t="shared" si="35"/>
        <v>45155.25</v>
      </c>
      <c r="DS54" s="118">
        <f t="shared" si="128"/>
        <v>105091.95303006718</v>
      </c>
      <c r="DT54" s="118">
        <f t="shared" si="125"/>
        <v>3588.0927610663434</v>
      </c>
      <c r="DU54" s="329">
        <f t="shared" si="126"/>
        <v>29.289084766814934</v>
      </c>
      <c r="DV54" s="118">
        <f t="shared" si="114"/>
        <v>17573.45086008896</v>
      </c>
      <c r="DW54" s="118">
        <f>DV54*'Base Data'!$D$10</f>
        <v>35146.901720177921</v>
      </c>
      <c r="DX54" s="375">
        <f>IF(INT(('Base Data'!$D$7)/DW54)=0,0,INT(('Base Data'!$D$7)/DW54))</f>
        <v>0</v>
      </c>
      <c r="DY54" s="376">
        <f t="shared" si="115"/>
        <v>2.5507585253050236E-2</v>
      </c>
      <c r="DZ54" s="135">
        <f t="shared" si="36"/>
        <v>1.2999999999999972</v>
      </c>
      <c r="EA54" s="21">
        <f t="shared" si="37"/>
        <v>2198.2999999999952</v>
      </c>
      <c r="EB54" s="21">
        <f t="shared" si="79"/>
        <v>5225.0834260458723</v>
      </c>
      <c r="EC54" s="21">
        <f t="shared" si="75"/>
        <v>2742.5136321296209</v>
      </c>
      <c r="ED54" s="319">
        <f t="shared" si="76"/>
        <v>1.9052169385165398</v>
      </c>
      <c r="EE54" s="21">
        <f t="shared" si="63"/>
        <v>7620.8677540661593</v>
      </c>
      <c r="EF54" s="21">
        <f>EE54*'Base Data'!$D$13</f>
        <v>5715.6508155496194</v>
      </c>
      <c r="EG54" s="363">
        <f>IF(INT(('Base Data'!$D$7)/EF54)=0,0,INT(('Base Data'!$D$7)/EF54))</f>
        <v>1</v>
      </c>
      <c r="EH54" s="314">
        <f t="shared" si="64"/>
        <v>2.1987500733024117E-2</v>
      </c>
      <c r="EI54" s="143">
        <f t="shared" si="38"/>
        <v>15.75</v>
      </c>
      <c r="EJ54" s="118">
        <f t="shared" si="39"/>
        <v>45155.25</v>
      </c>
      <c r="EK54" s="118">
        <f t="shared" si="80"/>
        <v>141512.30595984671</v>
      </c>
      <c r="EL54" s="118">
        <f t="shared" si="77"/>
        <v>4254.4109100324104</v>
      </c>
      <c r="EM54" s="329">
        <f t="shared" si="78"/>
        <v>33.262491318397039</v>
      </c>
      <c r="EN54" s="118">
        <f t="shared" si="65"/>
        <v>19957.494791038225</v>
      </c>
      <c r="EO54" s="118">
        <f>EN54*'Base Data'!$D$13</f>
        <v>14968.121093278669</v>
      </c>
      <c r="EP54" s="375">
        <f>IF(INT(('Base Data'!$D$7)/EO54)=0,0,INT(('Base Data'!$D$7)/EO54))</f>
        <v>0</v>
      </c>
      <c r="EQ54" s="385">
        <f t="shared" si="66"/>
        <v>2.8967987213931668E-2</v>
      </c>
      <c r="ER54" s="397">
        <f t="shared" si="116"/>
        <v>1.050406268133832</v>
      </c>
      <c r="ES54" s="403">
        <f t="shared" si="67"/>
        <v>1.1437892570719141</v>
      </c>
      <c r="ET54" s="405">
        <f t="shared" si="117"/>
        <v>1.3468097658524205</v>
      </c>
      <c r="EU54" s="410">
        <f t="shared" si="68"/>
        <v>-0.11950397707586592</v>
      </c>
      <c r="EV54" s="20">
        <f t="shared" si="8"/>
        <v>1.2999999999999972</v>
      </c>
      <c r="EW54" s="17">
        <f t="shared" si="9"/>
        <v>1.5072463768115909E-2</v>
      </c>
      <c r="EX54" s="388">
        <f t="shared" si="69"/>
        <v>2.0439421281209218E-2</v>
      </c>
      <c r="EY54" s="388">
        <f t="shared" si="103"/>
        <v>2.2011280129360284E-2</v>
      </c>
      <c r="EZ54" s="314">
        <f t="shared" si="118"/>
        <v>2.1640907315914355E-2</v>
      </c>
      <c r="FA54" s="442">
        <f t="shared" si="10"/>
        <v>14</v>
      </c>
      <c r="FB54" s="18">
        <f t="shared" si="11"/>
        <v>1.2316354359109704E-2</v>
      </c>
      <c r="FC54" s="394">
        <f t="shared" si="70"/>
        <v>2.3001001702983137E-2</v>
      </c>
      <c r="FD54" s="394">
        <f t="shared" si="104"/>
        <v>2.1797612480919808E-2</v>
      </c>
      <c r="FE54" s="385">
        <f t="shared" si="119"/>
        <v>2.0556312878471716E-2</v>
      </c>
      <c r="FF54" s="416">
        <f t="shared" si="49"/>
        <v>1</v>
      </c>
      <c r="FG54" s="417">
        <f t="shared" si="50"/>
        <v>1</v>
      </c>
      <c r="FH54" s="415">
        <f t="shared" si="111"/>
        <v>47.368421052631724</v>
      </c>
      <c r="FI54" s="413" t="str">
        <f t="shared" si="120"/>
        <v>T-R</v>
      </c>
      <c r="FJ54" s="404">
        <f t="shared" si="112"/>
        <v>45.47297297297294</v>
      </c>
      <c r="FK54" s="414" t="str">
        <f t="shared" si="121"/>
        <v>T-R</v>
      </c>
      <c r="FL54" s="415">
        <f t="shared" si="71"/>
        <v>59.595959595959627</v>
      </c>
      <c r="FM54" s="413" t="str">
        <f t="shared" si="72"/>
        <v>T-R</v>
      </c>
      <c r="FN54" s="404">
        <f t="shared" si="73"/>
        <v>21.712062256809407</v>
      </c>
      <c r="FO54" s="414" t="str">
        <f t="shared" si="74"/>
        <v>C-R</v>
      </c>
      <c r="FQ54" s="135">
        <f t="shared" si="51"/>
        <v>85.864564785427788</v>
      </c>
      <c r="FR54" s="21">
        <f t="shared" si="12"/>
        <v>86.95</v>
      </c>
      <c r="FS54" s="21">
        <f t="shared" si="13"/>
        <v>85.65</v>
      </c>
      <c r="FT54" s="182">
        <f t="shared" si="14"/>
        <v>86.375</v>
      </c>
      <c r="FU54" s="141">
        <f t="shared" si="52"/>
        <v>1159.4383911088855</v>
      </c>
      <c r="FV54" s="118">
        <f t="shared" si="15"/>
        <v>1159.4383911088855</v>
      </c>
      <c r="FW54" s="118">
        <f t="shared" si="16"/>
        <v>1136</v>
      </c>
      <c r="FX54" s="181">
        <f t="shared" si="17"/>
        <v>1142.7375</v>
      </c>
    </row>
    <row r="55" spans="1:180" ht="12.45" x14ac:dyDescent="0.3">
      <c r="A55" s="459" t="s">
        <v>264</v>
      </c>
      <c r="L55" s="283">
        <f t="shared" si="40"/>
        <v>52</v>
      </c>
      <c r="M55" s="290">
        <f>'[6]ASHOKLEY-I'!C71</f>
        <v>42871</v>
      </c>
      <c r="N55" s="7">
        <f>'[6]ASHOKLEY-I'!D71</f>
        <v>86.7</v>
      </c>
      <c r="O55" s="7">
        <f>'[6]ASHOKLEY-I'!E71</f>
        <v>87.25</v>
      </c>
      <c r="P55" s="7">
        <f>'[6]ASHOKLEY-I'!F71</f>
        <v>86.3</v>
      </c>
      <c r="Q55" s="7">
        <f>'[6]ASHOKLEY-I'!G71</f>
        <v>86.95</v>
      </c>
      <c r="R55" s="11">
        <f>'[6]ASHOKLEY-I'!H71</f>
        <v>1873</v>
      </c>
      <c r="S55" s="291">
        <f>'[7]ASIANPAINT-I'!C71</f>
        <v>42871</v>
      </c>
      <c r="T55" s="9">
        <f>'[7]ASIANPAINT-I'!D71</f>
        <v>1148.3499999999999</v>
      </c>
      <c r="U55" s="9">
        <f>'[7]ASIANPAINT-I'!E71</f>
        <v>1150.05</v>
      </c>
      <c r="V55" s="9">
        <f>'[7]ASIANPAINT-I'!F71</f>
        <v>1132.4000000000001</v>
      </c>
      <c r="W55" s="9">
        <f>'[7]ASIANPAINT-I'!G71</f>
        <v>1145.7</v>
      </c>
      <c r="X55" s="12">
        <f>'[7]ASIANPAINT-I'!H71</f>
        <v>1973</v>
      </c>
      <c r="Y55" s="115"/>
      <c r="Z55" s="122">
        <f t="shared" si="18"/>
        <v>3.4622042700519001E-3</v>
      </c>
      <c r="AA55" s="19">
        <f t="shared" si="19"/>
        <v>-2.2207707380796468E-3</v>
      </c>
      <c r="AB55" s="305">
        <f>IF(OR(SUM(Z35:Z55)=0,SUM('BNF-Nifty'!AA35:AA55)=0),0,(_xlfn.COVARIANCE.P(Z35:Z55,'BNF-Nifty'!AA35:AA55)/_xlfn.VAR.P('BNF-Nifty'!AA35:AA55)))</f>
        <v>1.666671506602861</v>
      </c>
      <c r="AC55" s="306">
        <f>IF(OR(SUM(AA35:AA55)=0,SUM('BNF-Nifty'!AA35:AA55)=0),0,(_xlfn.COVARIANCE.P(AA35:AA55,'BNF-Nifty'!AA35:AA55)/_xlfn.VAR.P('BNF-Nifty'!AA35:AA55)))</f>
        <v>1.0786252014310018</v>
      </c>
      <c r="AD55" s="466">
        <f t="shared" si="20"/>
        <v>3.456224638676857E-3</v>
      </c>
      <c r="AE55" s="17">
        <f t="shared" si="41"/>
        <v>1.3878626066341809E-2</v>
      </c>
      <c r="AF55" s="17">
        <f t="shared" si="42"/>
        <v>1.3482433575774128E-2</v>
      </c>
      <c r="AG55" s="314">
        <f t="shared" si="43"/>
        <v>0.25758153179271986</v>
      </c>
      <c r="AH55" s="467">
        <f t="shared" si="21"/>
        <v>-2.2232403063226131E-3</v>
      </c>
      <c r="AI55" s="18">
        <f t="shared" si="149"/>
        <v>1.3264491835808136E-2</v>
      </c>
      <c r="AJ55" s="18">
        <f t="shared" si="150"/>
        <v>1.2871927085330576E-2</v>
      </c>
      <c r="AK55" s="385">
        <f t="shared" si="151"/>
        <v>0.24591782166991152</v>
      </c>
      <c r="AL55" s="10">
        <f t="shared" si="23"/>
        <v>1.0947962993154339E-2</v>
      </c>
      <c r="AM55" s="17">
        <f t="shared" si="45"/>
        <v>2.3180322033746932E-2</v>
      </c>
      <c r="AN55" s="17">
        <f t="shared" si="46"/>
        <v>2.263358485602511E-2</v>
      </c>
      <c r="AO55" s="314">
        <f t="shared" si="47"/>
        <v>0.43241403151809787</v>
      </c>
      <c r="AP55" s="448">
        <f t="shared" si="24"/>
        <v>1.5466145435268506E-2</v>
      </c>
      <c r="AQ55" s="18">
        <f t="shared" si="152"/>
        <v>2.1582510101629419E-2</v>
      </c>
      <c r="AR55" s="18">
        <f t="shared" si="153"/>
        <v>2.1265195908507693E-2</v>
      </c>
      <c r="AS55" s="385">
        <f t="shared" si="154"/>
        <v>0.40627099738343675</v>
      </c>
      <c r="AT55" s="6">
        <f t="shared" si="0"/>
        <v>162389.1</v>
      </c>
      <c r="AU55" s="319">
        <v>0</v>
      </c>
      <c r="AV55" s="140">
        <f t="shared" si="1"/>
        <v>2265694.5499999998</v>
      </c>
      <c r="AW55" s="481">
        <v>0</v>
      </c>
      <c r="AX55" s="135">
        <f t="shared" si="97"/>
        <v>237045.6869036748</v>
      </c>
      <c r="AY55" s="21">
        <f t="shared" si="98"/>
        <v>2768.3157416484369</v>
      </c>
      <c r="AZ55" s="319">
        <f t="shared" si="99"/>
        <v>85.62812519446291</v>
      </c>
      <c r="BA55" s="21">
        <f t="shared" si="2"/>
        <v>86.833333333333329</v>
      </c>
      <c r="BB55" s="21">
        <f t="shared" si="3"/>
        <v>162638.83333333331</v>
      </c>
      <c r="BC55" s="21">
        <f t="shared" si="61"/>
        <v>201894.64633581575</v>
      </c>
      <c r="BD55" s="21">
        <f t="shared" si="57"/>
        <v>2346.0022677377788</v>
      </c>
      <c r="BE55" s="332">
        <f t="shared" si="58"/>
        <v>86.059015846775068</v>
      </c>
      <c r="BF55" s="141">
        <f t="shared" si="100"/>
        <v>4176237.7677920293</v>
      </c>
      <c r="BG55" s="118">
        <f t="shared" si="101"/>
        <v>3651.5008029326073</v>
      </c>
      <c r="BH55" s="329">
        <f t="shared" si="102"/>
        <v>1143.7044637750028</v>
      </c>
      <c r="BI55" s="118">
        <f t="shared" si="4"/>
        <v>1142.7166666666665</v>
      </c>
      <c r="BJ55" s="118">
        <f t="shared" si="5"/>
        <v>2254579.9833333329</v>
      </c>
      <c r="BK55" s="118">
        <f t="shared" si="62"/>
        <v>4194267.1407042509</v>
      </c>
      <c r="BL55" s="118">
        <f t="shared" si="59"/>
        <v>3643.3291766124289</v>
      </c>
      <c r="BM55" s="325">
        <f t="shared" si="60"/>
        <v>1151.2182779498626</v>
      </c>
      <c r="BN55" s="6">
        <f t="shared" si="6"/>
        <v>162857.35</v>
      </c>
      <c r="BO55" s="331">
        <f t="shared" si="87"/>
        <v>85.624655739532813</v>
      </c>
      <c r="BP55" s="319">
        <f t="shared" si="55"/>
        <v>86.259831326940102</v>
      </c>
      <c r="BQ55" s="331">
        <f t="shared" si="139"/>
        <v>85.388309496496689</v>
      </c>
      <c r="BR55" s="332">
        <f t="shared" si="88"/>
        <v>85.296533701287842</v>
      </c>
      <c r="BS55" s="140">
        <f t="shared" si="7"/>
        <v>2260466.1</v>
      </c>
      <c r="BT55" s="339">
        <f t="shared" si="89"/>
        <v>1144.3045328802627</v>
      </c>
      <c r="BU55" s="329">
        <f t="shared" si="56"/>
        <v>1151.0595588564272</v>
      </c>
      <c r="BV55" s="339">
        <f t="shared" si="140"/>
        <v>1105.539194867745</v>
      </c>
      <c r="BW55" s="325">
        <f t="shared" si="90"/>
        <v>1143.2476453418719</v>
      </c>
      <c r="BX55" s="21">
        <f t="shared" si="91"/>
        <v>233926.32523154793</v>
      </c>
      <c r="BY55" s="21">
        <f t="shared" si="92"/>
        <v>2731.7254179785682</v>
      </c>
      <c r="BZ55" s="21">
        <f t="shared" si="93"/>
        <v>85.633176633341705</v>
      </c>
      <c r="CA55" s="21">
        <f t="shared" si="129"/>
        <v>259892.6457531924</v>
      </c>
      <c r="CB55" s="21">
        <f t="shared" si="130"/>
        <v>3029.3350479565738</v>
      </c>
      <c r="CC55" s="21">
        <f t="shared" si="135"/>
        <v>85.791977988206341</v>
      </c>
      <c r="CD55" s="342">
        <f t="shared" si="131"/>
        <v>-0.15880135486463587</v>
      </c>
      <c r="CE55" s="342">
        <f t="shared" si="155"/>
        <v>-0.41431126908931376</v>
      </c>
      <c r="CF55" s="343">
        <f t="shared" si="156"/>
        <v>0.25550991422467789</v>
      </c>
      <c r="CG55" s="141">
        <f t="shared" si="94"/>
        <v>4208498.5560571039</v>
      </c>
      <c r="CH55" s="118">
        <f t="shared" si="95"/>
        <v>3677.7168664214582</v>
      </c>
      <c r="CI55" s="118">
        <f t="shared" si="96"/>
        <v>1144.3236956280743</v>
      </c>
      <c r="CJ55" s="118">
        <f t="shared" si="132"/>
        <v>3776810.3381774453</v>
      </c>
      <c r="CK55" s="118">
        <f t="shared" si="133"/>
        <v>3356.5099605282212</v>
      </c>
      <c r="CL55" s="118">
        <f t="shared" si="136"/>
        <v>1125.2194638454405</v>
      </c>
      <c r="CM55" s="350">
        <f t="shared" si="134"/>
        <v>19.10423178263386</v>
      </c>
      <c r="CN55" s="350">
        <f t="shared" si="157"/>
        <v>19.644629587907605</v>
      </c>
      <c r="CO55" s="351">
        <f t="shared" si="158"/>
        <v>-0.54039780527374504</v>
      </c>
      <c r="CP55" s="20">
        <f t="shared" si="26"/>
        <v>0.41666666666665719</v>
      </c>
      <c r="CQ55" s="21">
        <f t="shared" si="27"/>
        <v>162638.83333333331</v>
      </c>
      <c r="CR55" s="21">
        <f t="shared" si="28"/>
        <v>0</v>
      </c>
      <c r="CS55" s="21">
        <f t="shared" si="159"/>
        <v>149085.33872517664</v>
      </c>
      <c r="CT55" s="21">
        <f t="shared" si="159"/>
        <v>90811.58684782777</v>
      </c>
      <c r="CU55" s="21">
        <f t="shared" si="105"/>
        <v>1.6416995220554589</v>
      </c>
      <c r="CV55" s="342">
        <f t="shared" si="106"/>
        <v>62.145581219550742</v>
      </c>
      <c r="CW55" s="342">
        <f t="shared" si="161"/>
        <v>43.647928793843619</v>
      </c>
      <c r="CX55" s="355">
        <f t="shared" si="146"/>
        <v>48.605844728253906</v>
      </c>
      <c r="CY55" s="141">
        <f t="shared" si="29"/>
        <v>-2.0333333333335304</v>
      </c>
      <c r="CZ55" s="118">
        <f t="shared" si="30"/>
        <v>0</v>
      </c>
      <c r="DA55" s="118">
        <f t="shared" si="31"/>
        <v>2254579.9833333329</v>
      </c>
      <c r="DB55" s="118">
        <f t="shared" si="160"/>
        <v>1914930.6229997189</v>
      </c>
      <c r="DC55" s="118">
        <f t="shared" si="160"/>
        <v>2221908.2287362283</v>
      </c>
      <c r="DD55" s="118">
        <f t="shared" si="107"/>
        <v>0.8618405558941058</v>
      </c>
      <c r="DE55" s="350">
        <f t="shared" si="108"/>
        <v>46.289707954085621</v>
      </c>
      <c r="DF55" s="350">
        <f t="shared" si="162"/>
        <v>60.438778501578263</v>
      </c>
      <c r="DG55" s="351">
        <f t="shared" si="147"/>
        <v>62.722111100098175</v>
      </c>
      <c r="DH55" s="135">
        <f t="shared" si="32"/>
        <v>0.95000000000000284</v>
      </c>
      <c r="DI55" s="20">
        <f t="shared" si="33"/>
        <v>1779.3500000000054</v>
      </c>
      <c r="DJ55" s="21">
        <f t="shared" si="127"/>
        <v>5613.0139773357951</v>
      </c>
      <c r="DK55" s="21">
        <f t="shared" si="122"/>
        <v>2941.9979291133682</v>
      </c>
      <c r="DL55" s="319">
        <f t="shared" si="123"/>
        <v>1.9078918859155665</v>
      </c>
      <c r="DM55" s="21">
        <f t="shared" si="124"/>
        <v>7631.567543662266</v>
      </c>
      <c r="DN55" s="21">
        <f>DM55*'Base Data'!$D$10</f>
        <v>15263.135087324532</v>
      </c>
      <c r="DO55" s="363">
        <f>IF(INT(('Base Data'!$D$7)/DN55)=0,0,INT(('Base Data'!$D$7)/DN55))</f>
        <v>0</v>
      </c>
      <c r="DP55" s="364">
        <f t="shared" si="113"/>
        <v>2.1942402368206628E-2</v>
      </c>
      <c r="DQ55" s="141">
        <f t="shared" si="34"/>
        <v>17.649999999999864</v>
      </c>
      <c r="DR55" s="143">
        <f t="shared" si="35"/>
        <v>34823.449999999728</v>
      </c>
      <c r="DS55" s="118">
        <f t="shared" si="128"/>
        <v>98703.907300061037</v>
      </c>
      <c r="DT55" s="118">
        <f t="shared" si="125"/>
        <v>3441.2661464239486</v>
      </c>
      <c r="DU55" s="329">
        <f t="shared" si="126"/>
        <v>28.682439282596874</v>
      </c>
      <c r="DV55" s="118">
        <f t="shared" si="114"/>
        <v>17209.463569558124</v>
      </c>
      <c r="DW55" s="118">
        <f>DV55*'Base Data'!$D$10</f>
        <v>34418.927139116247</v>
      </c>
      <c r="DX55" s="375">
        <f>IF(INT(('Base Data'!$D$7)/DW55)=0,0,INT(('Base Data'!$D$7)/DW55))</f>
        <v>0</v>
      </c>
      <c r="DY55" s="376">
        <f t="shared" si="115"/>
        <v>2.5034860157630158E-2</v>
      </c>
      <c r="DZ55" s="135">
        <f t="shared" si="36"/>
        <v>0.95000000000000284</v>
      </c>
      <c r="EA55" s="21">
        <f t="shared" si="37"/>
        <v>1779.3500000000054</v>
      </c>
      <c r="EB55" s="21">
        <f t="shared" si="79"/>
        <v>4459.364886924569</v>
      </c>
      <c r="EC55" s="21">
        <f t="shared" si="75"/>
        <v>2549.2883805452607</v>
      </c>
      <c r="ED55" s="319">
        <f t="shared" si="76"/>
        <v>1.7492587033134193</v>
      </c>
      <c r="EE55" s="21">
        <f t="shared" si="63"/>
        <v>6997.0348132536774</v>
      </c>
      <c r="EF55" s="21">
        <f>EE55*'Base Data'!$D$13</f>
        <v>5247.7761099402578</v>
      </c>
      <c r="EG55" s="363">
        <f>IF(INT(('Base Data'!$D$7)/EF55)=0,0,INT(('Base Data'!$D$7)/EF55))</f>
        <v>2</v>
      </c>
      <c r="EH55" s="314">
        <f t="shared" si="64"/>
        <v>2.0117983936899588E-2</v>
      </c>
      <c r="EI55" s="143">
        <f t="shared" si="38"/>
        <v>17.649999999999864</v>
      </c>
      <c r="EJ55" s="118">
        <f t="shared" si="39"/>
        <v>34823.449999999728</v>
      </c>
      <c r="EK55" s="118">
        <f t="shared" si="80"/>
        <v>117803.67130210294</v>
      </c>
      <c r="EL55" s="118">
        <f t="shared" si="77"/>
        <v>3747.430707802986</v>
      </c>
      <c r="EM55" s="329">
        <f t="shared" si="78"/>
        <v>31.435850449965475</v>
      </c>
      <c r="EN55" s="118">
        <f t="shared" si="65"/>
        <v>18861.510269979284</v>
      </c>
      <c r="EO55" s="118">
        <f>EN55*'Base Data'!$D$13</f>
        <v>14146.132702484463</v>
      </c>
      <c r="EP55" s="375">
        <f>IF(INT(('Base Data'!$D$7)/EO55)=0,0,INT(('Base Data'!$D$7)/EO55))</f>
        <v>0</v>
      </c>
      <c r="EQ55" s="385">
        <f t="shared" si="66"/>
        <v>2.7438116828109867E-2</v>
      </c>
      <c r="ER55" s="397">
        <f t="shared" si="116"/>
        <v>1.1601768841476308</v>
      </c>
      <c r="ES55" s="403">
        <f t="shared" si="67"/>
        <v>1.2028904945169008</v>
      </c>
      <c r="ET55" s="405">
        <f t="shared" si="117"/>
        <v>1.1711164402553988</v>
      </c>
      <c r="EU55" s="410">
        <f t="shared" si="68"/>
        <v>-0.29537666497828219</v>
      </c>
      <c r="EV55" s="20">
        <f t="shared" si="8"/>
        <v>0.95000000000000284</v>
      </c>
      <c r="EW55" s="17">
        <f t="shared" si="9"/>
        <v>1.0957324106113065E-2</v>
      </c>
      <c r="EX55" s="388">
        <f t="shared" si="69"/>
        <v>1.9413877213635012E-2</v>
      </c>
      <c r="EY55" s="388">
        <f t="shared" si="103"/>
        <v>2.0580131885281613E-2</v>
      </c>
      <c r="EZ55" s="314">
        <f t="shared" si="118"/>
        <v>2.14446652390557E-2</v>
      </c>
      <c r="FA55" s="442">
        <f t="shared" si="10"/>
        <v>17.649999999999864</v>
      </c>
      <c r="FB55" s="18">
        <f t="shared" si="11"/>
        <v>1.5369878521356612E-2</v>
      </c>
      <c r="FC55" s="394">
        <f t="shared" si="70"/>
        <v>2.2998730719758421E-2</v>
      </c>
      <c r="FD55" s="394">
        <f t="shared" si="104"/>
        <v>2.1127897505381459E-2</v>
      </c>
      <c r="FE55" s="385">
        <f t="shared" si="119"/>
        <v>2.0691587551556031E-2</v>
      </c>
      <c r="FF55" s="416">
        <f t="shared" si="49"/>
        <v>2</v>
      </c>
      <c r="FG55" s="417">
        <f t="shared" si="50"/>
        <v>1</v>
      </c>
      <c r="FH55" s="415">
        <f t="shared" si="111"/>
        <v>52.63157894736846</v>
      </c>
      <c r="FI55" s="413" t="str">
        <f t="shared" si="120"/>
        <v>T-R</v>
      </c>
      <c r="FJ55" s="404">
        <f t="shared" si="112"/>
        <v>55.067567567567565</v>
      </c>
      <c r="FK55" s="414" t="str">
        <f t="shared" si="121"/>
        <v>T-R</v>
      </c>
      <c r="FL55" s="415">
        <f t="shared" si="71"/>
        <v>74.747474747474769</v>
      </c>
      <c r="FM55" s="413" t="str">
        <f t="shared" si="72"/>
        <v>T-R</v>
      </c>
      <c r="FN55" s="404">
        <f t="shared" si="73"/>
        <v>3.2771535580524285</v>
      </c>
      <c r="FO55" s="414" t="str">
        <f t="shared" si="74"/>
        <v>C-D</v>
      </c>
      <c r="FQ55" s="135">
        <f t="shared" si="51"/>
        <v>86.119782392713887</v>
      </c>
      <c r="FR55" s="21">
        <f t="shared" si="12"/>
        <v>87.25</v>
      </c>
      <c r="FS55" s="21">
        <f t="shared" si="13"/>
        <v>86.119782392713887</v>
      </c>
      <c r="FT55" s="182">
        <f t="shared" si="14"/>
        <v>86.8</v>
      </c>
      <c r="FU55" s="141">
        <f t="shared" si="52"/>
        <v>1151.0879455544427</v>
      </c>
      <c r="FV55" s="118">
        <f t="shared" si="15"/>
        <v>1151.0879455544427</v>
      </c>
      <c r="FW55" s="118">
        <f t="shared" si="16"/>
        <v>1132.4000000000001</v>
      </c>
      <c r="FX55" s="181">
        <f t="shared" si="17"/>
        <v>1144.125</v>
      </c>
    </row>
    <row r="56" spans="1:180" ht="12.45" x14ac:dyDescent="0.3">
      <c r="A56" s="464" t="s">
        <v>276</v>
      </c>
      <c r="L56" s="283">
        <f>L55+1</f>
        <v>53</v>
      </c>
      <c r="M56" s="290">
        <f>'[6]ASHOKLEY-I'!C72</f>
        <v>42872</v>
      </c>
      <c r="N56" s="7">
        <f>'[6]ASHOKLEY-I'!D72</f>
        <v>86.45</v>
      </c>
      <c r="O56" s="7">
        <f>'[6]ASHOKLEY-I'!E72</f>
        <v>88.5</v>
      </c>
      <c r="P56" s="7">
        <f>'[6]ASHOKLEY-I'!F72</f>
        <v>86.25</v>
      </c>
      <c r="Q56" s="7">
        <f>'[6]ASHOKLEY-I'!G72</f>
        <v>88.1</v>
      </c>
      <c r="R56" s="11">
        <f>'[6]ASHOKLEY-I'!H72</f>
        <v>4035</v>
      </c>
      <c r="S56" s="291">
        <f>'[7]ASIANPAINT-I'!C72</f>
        <v>42872</v>
      </c>
      <c r="T56" s="9">
        <f>'[7]ASIANPAINT-I'!D72</f>
        <v>1143.25</v>
      </c>
      <c r="U56" s="9">
        <f>'[7]ASIANPAINT-I'!E72</f>
        <v>1159.3499999999999</v>
      </c>
      <c r="V56" s="9">
        <f>'[7]ASIANPAINT-I'!F72</f>
        <v>1138.4000000000001</v>
      </c>
      <c r="W56" s="9">
        <f>'[7]ASIANPAINT-I'!G72</f>
        <v>1155.5</v>
      </c>
      <c r="X56" s="12">
        <f>'[7]ASIANPAINT-I'!H72</f>
        <v>2666</v>
      </c>
      <c r="Y56" s="115"/>
      <c r="Z56" s="122">
        <f>IF(Q55=0,0,(Q56-Q55)/Q55)</f>
        <v>1.3225991949396106E-2</v>
      </c>
      <c r="AA56" s="19">
        <f>IF(W55=0,0,(W56-W55)/W55)</f>
        <v>8.5537226149951587E-3</v>
      </c>
      <c r="AB56" s="305">
        <f>IF(OR(SUM(Z36:Z56)=0,SUM('BNF-Nifty'!AA36:AA56)=0),0,(_xlfn.COVARIANCE.P(Z36:Z56,'BNF-Nifty'!AA36:AA56)/_xlfn.VAR.P('BNF-Nifty'!AA36:AA56)))</f>
        <v>1.6629702926896159</v>
      </c>
      <c r="AC56" s="306">
        <f>IF(OR(SUM(AA36:AA56)=0,SUM('BNF-Nifty'!AA36:AA56)=0),0,(_xlfn.COVARIANCE.P(AA36:AA56,'BNF-Nifty'!AA36:AA56)/_xlfn.VAR.P('BNF-Nifty'!AA36:AA56)))</f>
        <v>0.90426277436307789</v>
      </c>
      <c r="AD56" s="466">
        <f t="shared" si="20"/>
        <v>1.3139292141841584E-2</v>
      </c>
      <c r="AE56" s="17">
        <f>AF55</f>
        <v>1.3482433575774128E-2</v>
      </c>
      <c r="AF56" s="17">
        <f t="shared" si="42"/>
        <v>1.3462091743000842E-2</v>
      </c>
      <c r="AG56" s="314">
        <f t="shared" si="43"/>
        <v>0.25719290162326519</v>
      </c>
      <c r="AH56" s="467">
        <f t="shared" si="21"/>
        <v>8.5173468148552062E-3</v>
      </c>
      <c r="AI56" s="18">
        <f>AJ55</f>
        <v>1.2871927085330576E-2</v>
      </c>
      <c r="AJ56" s="18">
        <f t="shared" si="150"/>
        <v>1.2652984955437761E-2</v>
      </c>
      <c r="AK56" s="385">
        <f t="shared" si="151"/>
        <v>0.24173493815153205</v>
      </c>
      <c r="AL56" s="10">
        <f t="shared" si="23"/>
        <v>2.5752496102414764E-2</v>
      </c>
      <c r="AM56" s="17">
        <f>AN55</f>
        <v>2.263358485602511E-2</v>
      </c>
      <c r="AN56" s="17">
        <f t="shared" si="46"/>
        <v>2.283273695725261E-2</v>
      </c>
      <c r="AO56" s="314">
        <f t="shared" si="47"/>
        <v>0.43621882706970311</v>
      </c>
      <c r="AP56" s="448">
        <f t="shared" si="24"/>
        <v>1.8235735445346849E-2</v>
      </c>
      <c r="AQ56" s="18">
        <f>AR55</f>
        <v>2.1265195908507693E-2</v>
      </c>
      <c r="AR56" s="18">
        <f t="shared" si="153"/>
        <v>2.1095700188416128E-2</v>
      </c>
      <c r="AS56" s="385">
        <f t="shared" si="154"/>
        <v>0.40303278619788763</v>
      </c>
      <c r="AT56" s="6">
        <f t="shared" si="0"/>
        <v>348825.75</v>
      </c>
      <c r="AU56" s="319">
        <v>0</v>
      </c>
      <c r="AV56" s="140">
        <f t="shared" si="1"/>
        <v>3047904.5</v>
      </c>
      <c r="AW56" s="481">
        <v>0</v>
      </c>
      <c r="AX56" s="135">
        <f t="shared" si="97"/>
        <v>253014.26734600696</v>
      </c>
      <c r="AY56" s="21">
        <f t="shared" si="98"/>
        <v>2949.27063569866</v>
      </c>
      <c r="AZ56" s="319">
        <f t="shared" si="99"/>
        <v>85.788758848870373</v>
      </c>
      <c r="BA56" s="21">
        <f t="shared" si="2"/>
        <v>87.616666666666674</v>
      </c>
      <c r="BB56" s="21">
        <f t="shared" si="3"/>
        <v>353533.25000000006</v>
      </c>
      <c r="BC56" s="21">
        <f t="shared" si="61"/>
        <v>252440.84755721051</v>
      </c>
      <c r="BD56" s="21">
        <f t="shared" si="57"/>
        <v>2909.0015118251858</v>
      </c>
      <c r="BE56" s="332">
        <f t="shared" si="58"/>
        <v>86.779208099765583</v>
      </c>
      <c r="BF56" s="141">
        <f t="shared" si="100"/>
        <v>4015047.3009645967</v>
      </c>
      <c r="BG56" s="118">
        <f t="shared" si="101"/>
        <v>3510.7149739422348</v>
      </c>
      <c r="BH56" s="329">
        <f t="shared" si="102"/>
        <v>1143.6551616310906</v>
      </c>
      <c r="BI56" s="118">
        <f t="shared" si="4"/>
        <v>1151.0833333333333</v>
      </c>
      <c r="BJ56" s="118">
        <f t="shared" si="5"/>
        <v>3068788.1666666665</v>
      </c>
      <c r="BK56" s="118">
        <f t="shared" si="62"/>
        <v>3819107.4826917229</v>
      </c>
      <c r="BL56" s="118">
        <f t="shared" si="59"/>
        <v>3317.5527844082858</v>
      </c>
      <c r="BM56" s="325">
        <f t="shared" si="60"/>
        <v>1151.1821305875301</v>
      </c>
      <c r="BN56" s="6">
        <f t="shared" si="6"/>
        <v>355483.5</v>
      </c>
      <c r="BO56" s="331">
        <f t="shared" si="87"/>
        <v>85.364147788408417</v>
      </c>
      <c r="BP56" s="319">
        <f t="shared" si="55"/>
        <v>86.987566479804514</v>
      </c>
      <c r="BQ56" s="331">
        <f t="shared" si="139"/>
        <v>85.341144321878687</v>
      </c>
      <c r="BR56" s="332">
        <f t="shared" si="88"/>
        <v>85.408149882222929</v>
      </c>
      <c r="BS56" s="140">
        <f t="shared" si="7"/>
        <v>3080563</v>
      </c>
      <c r="BT56" s="339">
        <f t="shared" si="89"/>
        <v>1146.9292420127617</v>
      </c>
      <c r="BU56" s="329">
        <f t="shared" si="56"/>
        <v>1149.5234195543339</v>
      </c>
      <c r="BV56" s="339">
        <f t="shared" si="140"/>
        <v>1107.7188608744918</v>
      </c>
      <c r="BW56" s="325">
        <f t="shared" si="90"/>
        <v>1146.7494104789032</v>
      </c>
      <c r="BX56" s="21">
        <f t="shared" si="91"/>
        <v>252327.39058054058</v>
      </c>
      <c r="BY56" s="21">
        <f t="shared" si="92"/>
        <v>2932.2291998280193</v>
      </c>
      <c r="BZ56" s="21">
        <f t="shared" si="93"/>
        <v>86.053092505640436</v>
      </c>
      <c r="CA56" s="21">
        <f t="shared" si="129"/>
        <v>266828.98680851149</v>
      </c>
      <c r="CB56" s="21">
        <f t="shared" si="130"/>
        <v>3103.8287481079387</v>
      </c>
      <c r="CC56" s="21">
        <f t="shared" si="135"/>
        <v>85.967689735191612</v>
      </c>
      <c r="CD56" s="342">
        <f t="shared" si="131"/>
        <v>8.5402770448823162E-2</v>
      </c>
      <c r="CE56" s="342">
        <f>((CD56-CE55)*(2/(1+9)))+CE55</f>
        <v>-0.31436846118168638</v>
      </c>
      <c r="CF56" s="343">
        <f t="shared" si="156"/>
        <v>0.39977123163050954</v>
      </c>
      <c r="CG56" s="141">
        <f t="shared" si="94"/>
        <v>4033158.4961508829</v>
      </c>
      <c r="CH56" s="118">
        <f t="shared" si="95"/>
        <v>3522.0681177412339</v>
      </c>
      <c r="CI56" s="118">
        <f t="shared" si="96"/>
        <v>1145.1108727384355</v>
      </c>
      <c r="CJ56" s="118">
        <f t="shared" si="132"/>
        <v>3724364.2513988693</v>
      </c>
      <c r="CK56" s="118">
        <f t="shared" si="133"/>
        <v>3305.3610745631677</v>
      </c>
      <c r="CL56" s="118">
        <f t="shared" si="136"/>
        <v>1126.7647217304623</v>
      </c>
      <c r="CM56" s="350">
        <f t="shared" si="134"/>
        <v>18.346151007973276</v>
      </c>
      <c r="CN56" s="350">
        <f>((CM56-CN55)*(2/(1+9)))+CN55</f>
        <v>19.38493387192074</v>
      </c>
      <c r="CO56" s="351">
        <f t="shared" si="158"/>
        <v>-1.0387828639474641</v>
      </c>
      <c r="CP56" s="20">
        <f t="shared" si="26"/>
        <v>0.78333333333334565</v>
      </c>
      <c r="CQ56" s="21">
        <f t="shared" si="27"/>
        <v>353533.25000000006</v>
      </c>
      <c r="CR56" s="21">
        <f t="shared" si="28"/>
        <v>0</v>
      </c>
      <c r="CS56" s="21">
        <f>((CQ56-CS55)*(2/(1+14)))+CS55</f>
        <v>176345.06022848643</v>
      </c>
      <c r="CT56" s="21">
        <f>((CR56-CT55)*(2/(1+14)))+CT55</f>
        <v>78703.375268117408</v>
      </c>
      <c r="CU56" s="21">
        <f t="shared" si="105"/>
        <v>2.2406289390732583</v>
      </c>
      <c r="CV56" s="342">
        <f t="shared" si="106"/>
        <v>69.141792571722945</v>
      </c>
      <c r="CW56" s="342">
        <f t="shared" si="161"/>
        <v>44.694703259999855</v>
      </c>
      <c r="CX56" s="355">
        <f t="shared" si="146"/>
        <v>49.932195114215425</v>
      </c>
      <c r="CY56" s="141">
        <f t="shared" si="29"/>
        <v>8.3666666666667879</v>
      </c>
      <c r="CZ56" s="118">
        <f t="shared" si="30"/>
        <v>3068788.1666666665</v>
      </c>
      <c r="DA56" s="118">
        <f t="shared" si="31"/>
        <v>0</v>
      </c>
      <c r="DB56" s="118">
        <f>((CZ56-DB55)*(2/(1+14)))+DB55</f>
        <v>2068778.2954886453</v>
      </c>
      <c r="DC56" s="118">
        <f>((DA56-DC55)*(2/(1+14)))+DC55</f>
        <v>1925653.7982380646</v>
      </c>
      <c r="DD56" s="118">
        <f t="shared" si="107"/>
        <v>1.0743251447282667</v>
      </c>
      <c r="DE56" s="350">
        <f t="shared" si="108"/>
        <v>51.791550011268924</v>
      </c>
      <c r="DF56" s="350">
        <f t="shared" si="162"/>
        <v>60.591400670110112</v>
      </c>
      <c r="DG56" s="351">
        <f t="shared" si="147"/>
        <v>62.449569380972719</v>
      </c>
      <c r="DH56" s="135">
        <f t="shared" si="32"/>
        <v>2.25</v>
      </c>
      <c r="DI56" s="20">
        <f t="shared" si="33"/>
        <v>9078.75</v>
      </c>
      <c r="DJ56" s="21">
        <f t="shared" si="127"/>
        <v>5928.0808884870867</v>
      </c>
      <c r="DK56" s="21">
        <f t="shared" si="122"/>
        <v>3041.3617537394257</v>
      </c>
      <c r="DL56" s="319">
        <f t="shared" si="123"/>
        <v>1.9491534938908113</v>
      </c>
      <c r="DM56" s="21">
        <f t="shared" si="124"/>
        <v>7796.6139755632448</v>
      </c>
      <c r="DN56" s="21">
        <f>DM56*'Base Data'!$D$10</f>
        <v>15593.22795112649</v>
      </c>
      <c r="DO56" s="363">
        <f>IF(INT(('Base Data'!$D$7)/DN56)=0,0,INT(('Base Data'!$D$7)/DN56))</f>
        <v>0</v>
      </c>
      <c r="DP56" s="364">
        <f t="shared" si="113"/>
        <v>2.2124330237126122E-2</v>
      </c>
      <c r="DQ56" s="141">
        <f t="shared" si="34"/>
        <v>20.949999999999818</v>
      </c>
      <c r="DR56" s="143">
        <f t="shared" si="35"/>
        <v>55852.699999999517</v>
      </c>
      <c r="DS56" s="118">
        <f t="shared" si="128"/>
        <v>94808.343000055451</v>
      </c>
      <c r="DT56" s="118">
        <f t="shared" si="125"/>
        <v>3370.7874058399534</v>
      </c>
      <c r="DU56" s="329">
        <f t="shared" si="126"/>
        <v>28.126467672152266</v>
      </c>
      <c r="DV56" s="118">
        <f t="shared" si="114"/>
        <v>16875.88060329136</v>
      </c>
      <c r="DW56" s="118">
        <f>DV56*'Base Data'!$D$10</f>
        <v>33751.76120658272</v>
      </c>
      <c r="DX56" s="375">
        <f>IF(INT(('Base Data'!$D$7)/DW56)=0,0,INT(('Base Data'!$D$7)/DW56))</f>
        <v>0</v>
      </c>
      <c r="DY56" s="376">
        <f t="shared" si="115"/>
        <v>2.4341382667375393E-2</v>
      </c>
      <c r="DZ56" s="135">
        <f t="shared" si="36"/>
        <v>2.25</v>
      </c>
      <c r="EA56" s="21">
        <f t="shared" si="37"/>
        <v>9078.75</v>
      </c>
      <c r="EB56" s="21">
        <f t="shared" si="79"/>
        <v>5485.894912052443</v>
      </c>
      <c r="EC56" s="21">
        <f t="shared" si="75"/>
        <v>2879.4465182018694</v>
      </c>
      <c r="ED56" s="319">
        <f t="shared" si="76"/>
        <v>1.9051907640494135</v>
      </c>
      <c r="EE56" s="21">
        <f t="shared" si="63"/>
        <v>7620.7630561976539</v>
      </c>
      <c r="EF56" s="21">
        <f>EE56*'Base Data'!$D$13</f>
        <v>5715.5722921482402</v>
      </c>
      <c r="EG56" s="363">
        <f>IF(INT(('Base Data'!$D$7)/EF56)=0,0,INT(('Base Data'!$D$7)/EF56))</f>
        <v>1</v>
      </c>
      <c r="EH56" s="314">
        <f t="shared" si="64"/>
        <v>2.1625320817814001E-2</v>
      </c>
      <c r="EI56" s="143">
        <f t="shared" si="38"/>
        <v>20.949999999999818</v>
      </c>
      <c r="EJ56" s="118">
        <f t="shared" si="39"/>
        <v>55852.699999999517</v>
      </c>
      <c r="EK56" s="118">
        <f t="shared" si="80"/>
        <v>104036.7887905244</v>
      </c>
      <c r="EL56" s="118">
        <f t="shared" si="77"/>
        <v>3507.1127727356557</v>
      </c>
      <c r="EM56" s="329">
        <f t="shared" si="78"/>
        <v>29.664511959611868</v>
      </c>
      <c r="EN56" s="118">
        <f t="shared" si="65"/>
        <v>17798.707175767122</v>
      </c>
      <c r="EO56" s="118">
        <f>EN56*'Base Data'!$D$13</f>
        <v>13349.030381825341</v>
      </c>
      <c r="EP56" s="375">
        <f>IF(INT(('Base Data'!$D$7)/EO56)=0,0,INT(('Base Data'!$D$7)/EO56))</f>
        <v>0</v>
      </c>
      <c r="EQ56" s="385">
        <f t="shared" si="66"/>
        <v>2.5672446524977816E-2</v>
      </c>
      <c r="ER56" s="397">
        <f t="shared" si="116"/>
        <v>1.6384809116678489</v>
      </c>
      <c r="ES56" s="403">
        <f t="shared" si="67"/>
        <v>1.5112222466096252</v>
      </c>
      <c r="ET56" s="405">
        <f t="shared" si="117"/>
        <v>1.4338581562908008</v>
      </c>
      <c r="EU56" s="410">
        <f t="shared" si="68"/>
        <v>-3.4763760866992968E-2</v>
      </c>
      <c r="EV56" s="20">
        <f t="shared" si="8"/>
        <v>2.25</v>
      </c>
      <c r="EW56" s="17">
        <f t="shared" si="9"/>
        <v>2.6026604973973393E-2</v>
      </c>
      <c r="EX56" s="388">
        <f t="shared" si="69"/>
        <v>1.9460162262589339E-2</v>
      </c>
      <c r="EY56" s="388">
        <f t="shared" si="103"/>
        <v>2.1400093574317609E-2</v>
      </c>
      <c r="EZ56" s="314">
        <f t="shared" si="118"/>
        <v>2.20570859996926E-2</v>
      </c>
      <c r="FA56" s="442">
        <f t="shared" si="10"/>
        <v>20.949999999999818</v>
      </c>
      <c r="FB56" s="18">
        <f t="shared" si="11"/>
        <v>1.8324950798162973E-2</v>
      </c>
      <c r="FC56" s="394">
        <f t="shared" si="70"/>
        <v>2.236498721244877E-2</v>
      </c>
      <c r="FD56" s="394">
        <f t="shared" si="104"/>
        <v>2.1460690236594686E-2</v>
      </c>
      <c r="FE56" s="385">
        <f t="shared" si="119"/>
        <v>2.0640843222066101E-2</v>
      </c>
      <c r="FF56" s="416">
        <f t="shared" si="49"/>
        <v>2</v>
      </c>
      <c r="FG56" s="417">
        <f t="shared" si="50"/>
        <v>2</v>
      </c>
      <c r="FH56" s="415">
        <f t="shared" si="111"/>
        <v>83.552631578947356</v>
      </c>
      <c r="FI56" s="413" t="str">
        <f t="shared" si="120"/>
        <v>T-R</v>
      </c>
      <c r="FJ56" s="404">
        <f t="shared" si="112"/>
        <v>74.831081081081081</v>
      </c>
      <c r="FK56" s="414" t="str">
        <f t="shared" si="121"/>
        <v>T-R</v>
      </c>
      <c r="FL56" s="415">
        <f t="shared" si="71"/>
        <v>73.684210526315553</v>
      </c>
      <c r="FM56" s="413" t="str">
        <f t="shared" si="72"/>
        <v>T-D</v>
      </c>
      <c r="FN56" s="404">
        <f t="shared" si="73"/>
        <v>25.374531835205865</v>
      </c>
      <c r="FO56" s="414" t="str">
        <f t="shared" si="74"/>
        <v>C-R</v>
      </c>
      <c r="FQ56" s="135">
        <f>(FQ55+FT55)/2</f>
        <v>86.459891196356949</v>
      </c>
      <c r="FR56" s="21">
        <f t="shared" si="12"/>
        <v>88.5</v>
      </c>
      <c r="FS56" s="21">
        <f t="shared" si="13"/>
        <v>86.25</v>
      </c>
      <c r="FT56" s="182">
        <f t="shared" si="14"/>
        <v>87.324999999999989</v>
      </c>
      <c r="FU56" s="141">
        <f>(FU55+FX55)/2</f>
        <v>1147.6064727772214</v>
      </c>
      <c r="FV56" s="118">
        <f t="shared" si="15"/>
        <v>1159.3499999999999</v>
      </c>
      <c r="FW56" s="118">
        <f t="shared" si="16"/>
        <v>1138.4000000000001</v>
      </c>
      <c r="FX56" s="181">
        <f t="shared" si="17"/>
        <v>1149.125</v>
      </c>
    </row>
    <row r="57" spans="1:180" ht="12.45" x14ac:dyDescent="0.3">
      <c r="A57" s="464" t="s">
        <v>277</v>
      </c>
      <c r="L57" s="283">
        <f t="shared" si="40"/>
        <v>54</v>
      </c>
      <c r="M57" s="290">
        <f>'[6]ASHOKLEY-I'!C73</f>
        <v>42873</v>
      </c>
      <c r="N57" s="7">
        <f>'[6]ASHOKLEY-I'!D73</f>
        <v>87.35</v>
      </c>
      <c r="O57" s="7">
        <f>'[6]ASHOKLEY-I'!E73</f>
        <v>88.5</v>
      </c>
      <c r="P57" s="7">
        <f>'[6]ASHOKLEY-I'!F73</f>
        <v>85.4</v>
      </c>
      <c r="Q57" s="7">
        <f>'[6]ASHOKLEY-I'!G73</f>
        <v>86.2</v>
      </c>
      <c r="R57" s="11">
        <f>'[6]ASHOKLEY-I'!H73</f>
        <v>3638</v>
      </c>
      <c r="S57" s="291">
        <f>'[7]ASIANPAINT-I'!C73</f>
        <v>42873</v>
      </c>
      <c r="T57" s="9">
        <f>'[7]ASIANPAINT-I'!D73</f>
        <v>1146.75</v>
      </c>
      <c r="U57" s="9">
        <f>'[7]ASIANPAINT-I'!E73</f>
        <v>1159.95</v>
      </c>
      <c r="V57" s="9">
        <f>'[7]ASIANPAINT-I'!F73</f>
        <v>1142.05</v>
      </c>
      <c r="W57" s="9">
        <f>'[7]ASIANPAINT-I'!G73</f>
        <v>1150.5</v>
      </c>
      <c r="X57" s="12">
        <f>'[7]ASIANPAINT-I'!H73</f>
        <v>2606</v>
      </c>
      <c r="Y57" s="115"/>
      <c r="Z57" s="122">
        <f t="shared" si="18"/>
        <v>-2.1566401816117953E-2</v>
      </c>
      <c r="AA57" s="19">
        <f t="shared" si="19"/>
        <v>-4.3271311120726954E-3</v>
      </c>
      <c r="AB57" s="305">
        <f>IF(OR(SUM(Z37:Z57)=0,SUM('BNF-Nifty'!AA37:AA57)=0),0,(_xlfn.COVARIANCE.P(Z37:Z57,'BNF-Nifty'!AA37:AA57)/_xlfn.VAR.P('BNF-Nifty'!AA37:AA57)))</f>
        <v>1.7090845698322112</v>
      </c>
      <c r="AC57" s="306">
        <f>IF(OR(SUM(AA37:AA57)=0,SUM('BNF-Nifty'!AA37:AA57)=0),0,(_xlfn.COVARIANCE.P(AA37:AA57,'BNF-Nifty'!AA37:AA57)/_xlfn.VAR.P('BNF-Nifty'!AA37:AA57)))</f>
        <v>0.57617587455930419</v>
      </c>
      <c r="AD57" s="466">
        <f t="shared" si="20"/>
        <v>-2.1802355272486269E-2</v>
      </c>
      <c r="AE57" s="17">
        <f t="shared" si="41"/>
        <v>1.3462091743000842E-2</v>
      </c>
      <c r="AF57" s="17">
        <f t="shared" si="42"/>
        <v>1.4102297719762397E-2</v>
      </c>
      <c r="AG57" s="314">
        <f t="shared" si="43"/>
        <v>0.26942401963547669</v>
      </c>
      <c r="AH57" s="467">
        <f t="shared" si="21"/>
        <v>-4.3365202390148773E-3</v>
      </c>
      <c r="AI57" s="18">
        <f t="shared" si="149"/>
        <v>1.2652984955437761E-2</v>
      </c>
      <c r="AJ57" s="18">
        <f t="shared" si="150"/>
        <v>1.2313426454589533E-2</v>
      </c>
      <c r="AK57" s="385">
        <f t="shared" si="151"/>
        <v>0.23524768210163868</v>
      </c>
      <c r="AL57" s="10">
        <f t="shared" si="23"/>
        <v>3.5656451219359585E-2</v>
      </c>
      <c r="AM57" s="17">
        <f t="shared" si="45"/>
        <v>2.283273695725261E-2</v>
      </c>
      <c r="AN57" s="17">
        <f t="shared" si="46"/>
        <v>2.3797831732220016E-2</v>
      </c>
      <c r="AO57" s="314">
        <f t="shared" si="47"/>
        <v>0.45465693685634678</v>
      </c>
      <c r="AP57" s="448">
        <f t="shared" si="24"/>
        <v>1.5552007628511211E-2</v>
      </c>
      <c r="AQ57" s="18">
        <f t="shared" si="152"/>
        <v>2.1095700188416128E-2</v>
      </c>
      <c r="AR57" s="18">
        <f t="shared" si="153"/>
        <v>2.0804777069937667E-2</v>
      </c>
      <c r="AS57" s="385">
        <f t="shared" si="154"/>
        <v>0.39747470782350225</v>
      </c>
      <c r="AT57" s="6">
        <f t="shared" si="0"/>
        <v>317779.3</v>
      </c>
      <c r="AU57" s="319">
        <v>0</v>
      </c>
      <c r="AV57" s="140">
        <f t="shared" si="1"/>
        <v>2988430.5</v>
      </c>
      <c r="AW57" s="481">
        <v>0</v>
      </c>
      <c r="AX57" s="135">
        <f t="shared" si="97"/>
        <v>262266.41486800596</v>
      </c>
      <c r="AY57" s="21">
        <f t="shared" si="98"/>
        <v>3047.6605448845658</v>
      </c>
      <c r="AZ57" s="319">
        <f t="shared" si="99"/>
        <v>86.054995628766676</v>
      </c>
      <c r="BA57" s="21">
        <f t="shared" si="2"/>
        <v>86.7</v>
      </c>
      <c r="BB57" s="21">
        <f t="shared" si="3"/>
        <v>315414.60000000003</v>
      </c>
      <c r="BC57" s="21">
        <f t="shared" si="61"/>
        <v>273432.09837147366</v>
      </c>
      <c r="BD57" s="21">
        <f t="shared" si="57"/>
        <v>3152.0010078834571</v>
      </c>
      <c r="BE57" s="332">
        <f t="shared" si="58"/>
        <v>86.748734434917296</v>
      </c>
      <c r="BF57" s="141">
        <f t="shared" si="100"/>
        <v>3868387.7579696542</v>
      </c>
      <c r="BG57" s="118">
        <f t="shared" si="101"/>
        <v>3381.4699776647726</v>
      </c>
      <c r="BH57" s="329">
        <f t="shared" si="102"/>
        <v>1143.9958904030088</v>
      </c>
      <c r="BI57" s="118">
        <f t="shared" si="4"/>
        <v>1150.8333333333333</v>
      </c>
      <c r="BJ57" s="118">
        <f t="shared" si="5"/>
        <v>2999071.6666666665</v>
      </c>
      <c r="BK57" s="118">
        <f t="shared" si="62"/>
        <v>3545762.2106833709</v>
      </c>
      <c r="BL57" s="118">
        <f t="shared" si="59"/>
        <v>3080.368522938857</v>
      </c>
      <c r="BM57" s="325">
        <f t="shared" si="60"/>
        <v>1151.0837694512279</v>
      </c>
      <c r="BN57" s="6">
        <f t="shared" si="6"/>
        <v>313595.60000000003</v>
      </c>
      <c r="BO57" s="331">
        <f t="shared" si="87"/>
        <v>85.457435237462647</v>
      </c>
      <c r="BP57" s="319">
        <f t="shared" si="55"/>
        <v>86.86013796140017</v>
      </c>
      <c r="BQ57" s="331">
        <f t="shared" si="139"/>
        <v>85.342424958638631</v>
      </c>
      <c r="BR57" s="332">
        <f t="shared" si="88"/>
        <v>85.451631517768192</v>
      </c>
      <c r="BS57" s="140">
        <f t="shared" si="7"/>
        <v>2998203</v>
      </c>
      <c r="BT57" s="339">
        <f t="shared" si="89"/>
        <v>1149.5933073148974</v>
      </c>
      <c r="BU57" s="329">
        <f t="shared" si="56"/>
        <v>1143.2720266651791</v>
      </c>
      <c r="BV57" s="339">
        <f t="shared" si="140"/>
        <v>1110.2443005561147</v>
      </c>
      <c r="BW57" s="325">
        <f t="shared" si="90"/>
        <v>1148.4978913916148</v>
      </c>
      <c r="BX57" s="21">
        <f t="shared" si="91"/>
        <v>262033.11510661128</v>
      </c>
      <c r="BY57" s="21">
        <f t="shared" si="92"/>
        <v>3040.8093229314009</v>
      </c>
      <c r="BZ57" s="21">
        <f t="shared" si="93"/>
        <v>86.172162499819663</v>
      </c>
      <c r="CA57" s="21">
        <f t="shared" si="129"/>
        <v>270427.92111899215</v>
      </c>
      <c r="CB57" s="21">
        <f t="shared" si="130"/>
        <v>3143.3969889888322</v>
      </c>
      <c r="CC57" s="21">
        <f t="shared" si="135"/>
        <v>86.030470241680604</v>
      </c>
      <c r="CD57" s="342">
        <f t="shared" si="131"/>
        <v>0.14169225813905939</v>
      </c>
      <c r="CE57" s="342">
        <f t="shared" ref="CE57:CE67" si="163">((CD57-CE56)*(2/(1+9)))+CE56</f>
        <v>-0.22315631731753721</v>
      </c>
      <c r="CF57" s="343">
        <f t="shared" si="156"/>
        <v>0.3648485754565966</v>
      </c>
      <c r="CG57" s="141">
        <f t="shared" si="94"/>
        <v>3874068.2146917726</v>
      </c>
      <c r="CH57" s="118">
        <f t="shared" si="95"/>
        <v>3381.1345611656593</v>
      </c>
      <c r="CI57" s="118">
        <f t="shared" si="96"/>
        <v>1145.7894220442302</v>
      </c>
      <c r="CJ57" s="118">
        <f t="shared" si="132"/>
        <v>3670638.8747520396</v>
      </c>
      <c r="CK57" s="118">
        <f t="shared" si="133"/>
        <v>3253.5565505214518</v>
      </c>
      <c r="CL57" s="118">
        <f t="shared" si="136"/>
        <v>1128.1927385475262</v>
      </c>
      <c r="CM57" s="350">
        <f t="shared" si="134"/>
        <v>17.596683496703918</v>
      </c>
      <c r="CN57" s="350">
        <f t="shared" ref="CN57:CN67" si="164">((CM57-CN56)*(2/(1+9)))+CN56</f>
        <v>19.027283796877377</v>
      </c>
      <c r="CO57" s="351">
        <f t="shared" si="158"/>
        <v>-1.4306003001734595</v>
      </c>
      <c r="CP57" s="20">
        <f t="shared" si="26"/>
        <v>-0.9166666666666714</v>
      </c>
      <c r="CQ57" s="21">
        <f t="shared" si="27"/>
        <v>0</v>
      </c>
      <c r="CR57" s="21">
        <f t="shared" si="28"/>
        <v>315414.60000000003</v>
      </c>
      <c r="CS57" s="21">
        <f t="shared" si="159"/>
        <v>152832.3855313549</v>
      </c>
      <c r="CT57" s="21">
        <f t="shared" si="159"/>
        <v>110264.87189903509</v>
      </c>
      <c r="CU57" s="21">
        <f t="shared" si="105"/>
        <v>1.3860478219327828</v>
      </c>
      <c r="CV57" s="342">
        <f t="shared" si="106"/>
        <v>58.089691631160818</v>
      </c>
      <c r="CW57" s="342">
        <f t="shared" si="161"/>
        <v>45.071563216268352</v>
      </c>
      <c r="CX57" s="355">
        <f t="shared" si="146"/>
        <v>50.932338767471023</v>
      </c>
      <c r="CY57" s="141">
        <f t="shared" si="29"/>
        <v>-0.25</v>
      </c>
      <c r="CZ57" s="118">
        <f t="shared" si="30"/>
        <v>0</v>
      </c>
      <c r="DA57" s="118">
        <f t="shared" si="31"/>
        <v>2999071.6666666665</v>
      </c>
      <c r="DB57" s="118">
        <f t="shared" si="160"/>
        <v>1792941.1894234926</v>
      </c>
      <c r="DC57" s="118">
        <f t="shared" si="160"/>
        <v>2068776.1806952115</v>
      </c>
      <c r="DD57" s="118">
        <f t="shared" si="107"/>
        <v>0.86666755261121353</v>
      </c>
      <c r="DE57" s="350">
        <f t="shared" si="108"/>
        <v>46.42859685426383</v>
      </c>
      <c r="DF57" s="350">
        <f t="shared" si="162"/>
        <v>60.367791085160754</v>
      </c>
      <c r="DG57" s="351">
        <f t="shared" si="147"/>
        <v>62.330221041919565</v>
      </c>
      <c r="DH57" s="135">
        <f t="shared" si="32"/>
        <v>3.0999999999999943</v>
      </c>
      <c r="DI57" s="20">
        <f t="shared" si="33"/>
        <v>11277.799999999979</v>
      </c>
      <c r="DJ57" s="21">
        <f t="shared" si="127"/>
        <v>6414.4189895337131</v>
      </c>
      <c r="DK57" s="21">
        <f t="shared" si="122"/>
        <v>3095.601594308569</v>
      </c>
      <c r="DL57" s="319">
        <f t="shared" si="123"/>
        <v>2.0721074059811087</v>
      </c>
      <c r="DM57" s="21">
        <f t="shared" si="124"/>
        <v>8288.4296239244341</v>
      </c>
      <c r="DN57" s="21">
        <f>DM57*'Base Data'!$D$10</f>
        <v>16576.859247848868</v>
      </c>
      <c r="DO57" s="363">
        <f>IF(INT(('Base Data'!$D$7)/DN57)=0,0,INT(('Base Data'!$D$7)/DN57))</f>
        <v>0</v>
      </c>
      <c r="DP57" s="364">
        <f t="shared" si="113"/>
        <v>2.4038368978899171E-2</v>
      </c>
      <c r="DQ57" s="141">
        <f t="shared" si="34"/>
        <v>17.900000000000091</v>
      </c>
      <c r="DR57" s="143">
        <f t="shared" si="35"/>
        <v>46647.400000000234</v>
      </c>
      <c r="DS57" s="118">
        <f t="shared" si="128"/>
        <v>90430.075454595892</v>
      </c>
      <c r="DT57" s="118">
        <f t="shared" si="125"/>
        <v>3301.2612780363211</v>
      </c>
      <c r="DU57" s="329">
        <f t="shared" si="126"/>
        <v>27.392583572902211</v>
      </c>
      <c r="DV57" s="118">
        <f t="shared" si="114"/>
        <v>16435.550143741326</v>
      </c>
      <c r="DW57" s="118">
        <f>DV57*'Base Data'!$D$10</f>
        <v>32871.100287482652</v>
      </c>
      <c r="DX57" s="375">
        <f>IF(INT(('Base Data'!$D$7)/DW57)=0,0,INT(('Base Data'!$D$7)/DW57))</f>
        <v>0</v>
      </c>
      <c r="DY57" s="376">
        <f t="shared" si="115"/>
        <v>2.3809286025990622E-2</v>
      </c>
      <c r="DZ57" s="135">
        <f t="shared" si="36"/>
        <v>3.0999999999999943</v>
      </c>
      <c r="EA57" s="21">
        <f t="shared" si="37"/>
        <v>11277.799999999979</v>
      </c>
      <c r="EB57" s="21">
        <f t="shared" si="79"/>
        <v>6772.9849315963402</v>
      </c>
      <c r="EC57" s="21">
        <f t="shared" si="75"/>
        <v>3048.0139586014539</v>
      </c>
      <c r="ED57" s="319">
        <f t="shared" si="76"/>
        <v>2.2220977408856903</v>
      </c>
      <c r="EE57" s="21">
        <f t="shared" si="63"/>
        <v>8888.3909635427608</v>
      </c>
      <c r="EF57" s="21">
        <f>EE57*'Base Data'!$D$13</f>
        <v>6666.2932226570701</v>
      </c>
      <c r="EG57" s="363">
        <f>IF(INT(('Base Data'!$D$7)/EF57)=0,0,INT(('Base Data'!$D$7)/EF57))</f>
        <v>1</v>
      </c>
      <c r="EH57" s="314">
        <f t="shared" si="64"/>
        <v>2.5778396065959285E-2</v>
      </c>
      <c r="EI57" s="143">
        <f t="shared" si="38"/>
        <v>17.900000000000091</v>
      </c>
      <c r="EJ57" s="118">
        <f t="shared" si="39"/>
        <v>46647.400000000234</v>
      </c>
      <c r="EK57" s="118">
        <f t="shared" si="80"/>
        <v>91283.591281519024</v>
      </c>
      <c r="EL57" s="118">
        <f t="shared" si="77"/>
        <v>3306.86548990551</v>
      </c>
      <c r="EM57" s="329">
        <f t="shared" si="78"/>
        <v>27.604264993592874</v>
      </c>
      <c r="EN57" s="118">
        <f t="shared" si="65"/>
        <v>16562.558996155723</v>
      </c>
      <c r="EO57" s="118">
        <f>EN57*'Base Data'!$D$13</f>
        <v>12421.919247116792</v>
      </c>
      <c r="EP57" s="375">
        <f>IF(INT(('Base Data'!$D$7)/EO57)=0,0,INT(('Base Data'!$D$7)/EO57))</f>
        <v>0</v>
      </c>
      <c r="EQ57" s="385">
        <f t="shared" si="66"/>
        <v>2.3993276830589199E-2</v>
      </c>
      <c r="ER57" s="397">
        <f t="shared" si="116"/>
        <v>0.51937002545528366</v>
      </c>
      <c r="ES57" s="403">
        <f t="shared" si="67"/>
        <v>0.20532400155275962</v>
      </c>
      <c r="ET57" s="405">
        <f t="shared" si="117"/>
        <v>1.1483237961779025</v>
      </c>
      <c r="EU57" s="410">
        <f t="shared" si="68"/>
        <v>-0.22860295929384045</v>
      </c>
      <c r="EV57" s="20">
        <f t="shared" si="8"/>
        <v>3.0999999999999943</v>
      </c>
      <c r="EW57" s="17">
        <f t="shared" si="9"/>
        <v>3.5489410417859121E-2</v>
      </c>
      <c r="EX57" s="388">
        <f t="shared" si="69"/>
        <v>2.1209771400642626E-2</v>
      </c>
      <c r="EY57" s="388">
        <f t="shared" si="103"/>
        <v>2.2413801082257132E-2</v>
      </c>
      <c r="EZ57" s="314">
        <f t="shared" si="118"/>
        <v>2.2487143254936986E-2</v>
      </c>
      <c r="FA57" s="442">
        <f t="shared" si="10"/>
        <v>17.900000000000091</v>
      </c>
      <c r="FB57" s="18">
        <f t="shared" si="11"/>
        <v>1.5609330717244466E-2</v>
      </c>
      <c r="FC57" s="394">
        <f t="shared" si="70"/>
        <v>2.123948180303005E-2</v>
      </c>
      <c r="FD57" s="394">
        <f t="shared" si="104"/>
        <v>2.1251695551522475E-2</v>
      </c>
      <c r="FE57" s="385">
        <f t="shared" si="119"/>
        <v>2.0002262104562334E-2</v>
      </c>
      <c r="FF57" s="416">
        <f t="shared" si="49"/>
        <v>2</v>
      </c>
      <c r="FG57" s="417">
        <f t="shared" si="50"/>
        <v>2</v>
      </c>
      <c r="FH57" s="415">
        <f t="shared" si="111"/>
        <v>61.842105263157976</v>
      </c>
      <c r="FI57" s="413" t="str">
        <f t="shared" si="120"/>
        <v>T-D</v>
      </c>
      <c r="FJ57" s="404">
        <f t="shared" si="112"/>
        <v>64.493243243243271</v>
      </c>
      <c r="FK57" s="414" t="str">
        <f t="shared" si="121"/>
        <v>T-D</v>
      </c>
      <c r="FL57" s="415">
        <f t="shared" si="71"/>
        <v>53.703703703703752</v>
      </c>
      <c r="FM57" s="413" t="str">
        <f t="shared" si="72"/>
        <v>T-D</v>
      </c>
      <c r="FN57" s="404">
        <f t="shared" si="73"/>
        <v>31.554307116104646</v>
      </c>
      <c r="FO57" s="414" t="str">
        <f t="shared" si="74"/>
        <v>T-R</v>
      </c>
      <c r="FQ57" s="135">
        <f t="shared" si="51"/>
        <v>86.892445598178469</v>
      </c>
      <c r="FR57" s="21">
        <f t="shared" si="12"/>
        <v>88.5</v>
      </c>
      <c r="FS57" s="21">
        <f t="shared" si="13"/>
        <v>85.4</v>
      </c>
      <c r="FT57" s="182">
        <f t="shared" si="14"/>
        <v>86.862499999999997</v>
      </c>
      <c r="FU57" s="141">
        <f t="shared" si="52"/>
        <v>1148.3657363886107</v>
      </c>
      <c r="FV57" s="118">
        <f t="shared" si="15"/>
        <v>1159.95</v>
      </c>
      <c r="FW57" s="118">
        <f t="shared" si="16"/>
        <v>1142.05</v>
      </c>
      <c r="FX57" s="181">
        <f t="shared" si="17"/>
        <v>1149.8125</v>
      </c>
    </row>
    <row r="58" spans="1:180" ht="12.45" x14ac:dyDescent="0.3">
      <c r="A58" s="464" t="s">
        <v>265</v>
      </c>
      <c r="E58" s="22"/>
      <c r="F58" s="22"/>
      <c r="G58" s="23"/>
      <c r="H58" s="23"/>
      <c r="I58" s="23"/>
      <c r="J58" s="23"/>
      <c r="L58" s="283">
        <f t="shared" si="40"/>
        <v>55</v>
      </c>
      <c r="M58" s="290">
        <f>'[6]ASHOKLEY-I'!C74</f>
        <v>42877</v>
      </c>
      <c r="N58" s="7">
        <f>'[6]ASHOKLEY-I'!D74</f>
        <v>85.25</v>
      </c>
      <c r="O58" s="7">
        <f>'[6]ASHOKLEY-I'!E74</f>
        <v>86.4</v>
      </c>
      <c r="P58" s="7">
        <f>'[6]ASHOKLEY-I'!F74</f>
        <v>84.75</v>
      </c>
      <c r="Q58" s="7">
        <f>'[6]ASHOKLEY-I'!G74</f>
        <v>85.95</v>
      </c>
      <c r="R58" s="11">
        <f>'[6]ASHOKLEY-I'!H74</f>
        <v>4377</v>
      </c>
      <c r="S58" s="291">
        <f>'[7]ASIANPAINT-I'!C74</f>
        <v>42877</v>
      </c>
      <c r="T58" s="9">
        <f>'[7]ASIANPAINT-I'!D74</f>
        <v>1127</v>
      </c>
      <c r="U58" s="9">
        <f>'[7]ASIANPAINT-I'!E74</f>
        <v>1136</v>
      </c>
      <c r="V58" s="9">
        <f>'[7]ASIANPAINT-I'!F74</f>
        <v>1106.7</v>
      </c>
      <c r="W58" s="9">
        <f>'[7]ASIANPAINT-I'!G74</f>
        <v>1114.75</v>
      </c>
      <c r="X58" s="12">
        <f>'[7]ASIANPAINT-I'!H74</f>
        <v>3333</v>
      </c>
      <c r="Y58" s="115"/>
      <c r="Z58" s="122">
        <f t="shared" si="18"/>
        <v>-2.9002320185614848E-3</v>
      </c>
      <c r="AA58" s="19">
        <f t="shared" si="19"/>
        <v>-3.1073446327683617E-2</v>
      </c>
      <c r="AB58" s="305">
        <f>IF(OR(SUM(Z38:Z58)=0,SUM('BNF-Nifty'!AA38:AA58)=0),0,(_xlfn.COVARIANCE.P(Z38:Z58,'BNF-Nifty'!AA38:AA58)/_xlfn.VAR.P('BNF-Nifty'!AA38:AA58)))</f>
        <v>1.7156347431584775</v>
      </c>
      <c r="AC58" s="306">
        <f>IF(OR(SUM(AA38:AA58)=0,SUM('BNF-Nifty'!AA38:AA58)=0),0,(_xlfn.COVARIANCE.P(AA38:AA58,'BNF-Nifty'!AA38:AA58)/_xlfn.VAR.P('BNF-Nifty'!AA38:AA58)))</f>
        <v>0.69100863547128932</v>
      </c>
      <c r="AD58" s="466">
        <f t="shared" si="20"/>
        <v>-2.9044458407891543E-3</v>
      </c>
      <c r="AE58" s="17">
        <f t="shared" si="41"/>
        <v>1.4102297719762397E-2</v>
      </c>
      <c r="AF58" s="17">
        <f t="shared" si="42"/>
        <v>1.3691181879470136E-2</v>
      </c>
      <c r="AG58" s="314">
        <f t="shared" si="43"/>
        <v>0.26156966253506342</v>
      </c>
      <c r="AH58" s="467">
        <f t="shared" si="21"/>
        <v>-3.156646596783453E-2</v>
      </c>
      <c r="AI58" s="18">
        <f t="shared" si="149"/>
        <v>1.2313426454589533E-2</v>
      </c>
      <c r="AJ58" s="18">
        <f t="shared" si="150"/>
        <v>1.4223563168606436E-2</v>
      </c>
      <c r="AK58" s="385">
        <f t="shared" si="151"/>
        <v>0.27174079278264096</v>
      </c>
      <c r="AL58" s="10">
        <f t="shared" si="23"/>
        <v>1.9281929549450284E-2</v>
      </c>
      <c r="AM58" s="17">
        <f t="shared" si="45"/>
        <v>2.3797831732220016E-2</v>
      </c>
      <c r="AN58" s="17">
        <f t="shared" si="46"/>
        <v>2.3551309005546851E-2</v>
      </c>
      <c r="AO58" s="314">
        <f t="shared" si="47"/>
        <v>0.4499471267763408</v>
      </c>
      <c r="AP58" s="448">
        <f t="shared" si="24"/>
        <v>2.6130706010356892E-2</v>
      </c>
      <c r="AQ58" s="18">
        <f t="shared" si="152"/>
        <v>2.0804777069937667E-2</v>
      </c>
      <c r="AR58" s="18">
        <f t="shared" si="153"/>
        <v>2.1162165574203362E-2</v>
      </c>
      <c r="AS58" s="385">
        <f t="shared" si="154"/>
        <v>0.40430260561038833</v>
      </c>
      <c r="AT58" s="6">
        <f t="shared" si="0"/>
        <v>373139.25</v>
      </c>
      <c r="AU58" s="319">
        <f t="shared" ref="AU58:AU67" si="165">AVERAGE(AT4:AT58)/AVERAGE(R4:R58)</f>
        <v>86.809714058604996</v>
      </c>
      <c r="AV58" s="140">
        <f t="shared" si="1"/>
        <v>3756291</v>
      </c>
      <c r="AW58" s="481">
        <f t="shared" ref="AW58:AW67" si="166">AVERAGE(AV4:AV58)/AVERAGE(X4:X58)</f>
        <v>1089.9628995327253</v>
      </c>
      <c r="AX58" s="135">
        <f t="shared" si="97"/>
        <v>278105.39131543366</v>
      </c>
      <c r="AY58" s="21">
        <f t="shared" si="98"/>
        <v>3237.5661813296279</v>
      </c>
      <c r="AZ58" s="319">
        <f t="shared" si="99"/>
        <v>85.899523203327774</v>
      </c>
      <c r="BA58" s="21">
        <f t="shared" si="2"/>
        <v>85.7</v>
      </c>
      <c r="BB58" s="21">
        <f t="shared" si="3"/>
        <v>375108.9</v>
      </c>
      <c r="BC58" s="21">
        <f t="shared" si="61"/>
        <v>307324.36558098247</v>
      </c>
      <c r="BD58" s="21">
        <f t="shared" si="57"/>
        <v>3560.3340052556382</v>
      </c>
      <c r="BE58" s="332">
        <f t="shared" si="58"/>
        <v>86.318970390789517</v>
      </c>
      <c r="BF58" s="141">
        <f t="shared" si="100"/>
        <v>3852373.9354025605</v>
      </c>
      <c r="BG58" s="118">
        <f t="shared" si="101"/>
        <v>3374.5456951412339</v>
      </c>
      <c r="BH58" s="329">
        <f t="shared" si="102"/>
        <v>1141.5977981715635</v>
      </c>
      <c r="BI58" s="118">
        <f t="shared" si="4"/>
        <v>1119.1499999999999</v>
      </c>
      <c r="BJ58" s="118">
        <f t="shared" si="5"/>
        <v>3730126.9499999997</v>
      </c>
      <c r="BK58" s="118">
        <f t="shared" si="62"/>
        <v>3607217.1237889137</v>
      </c>
      <c r="BL58" s="118">
        <f t="shared" si="59"/>
        <v>3164.5790152925715</v>
      </c>
      <c r="BM58" s="325">
        <f t="shared" si="60"/>
        <v>1139.8726675356593</v>
      </c>
      <c r="BN58" s="6">
        <f t="shared" si="6"/>
        <v>376203.15</v>
      </c>
      <c r="BO58" s="331">
        <f t="shared" si="87"/>
        <v>85.33175470718443</v>
      </c>
      <c r="BP58" s="319">
        <f t="shared" si="55"/>
        <v>86.759622774433197</v>
      </c>
      <c r="BQ58" s="331">
        <f t="shared" si="139"/>
        <v>85.218992206105213</v>
      </c>
      <c r="BR58" s="332">
        <f t="shared" si="88"/>
        <v>85.677290738665874</v>
      </c>
      <c r="BS58" s="140">
        <f t="shared" si="7"/>
        <v>3715461.75</v>
      </c>
      <c r="BT58" s="339">
        <f t="shared" si="89"/>
        <v>1149.603381145248</v>
      </c>
      <c r="BU58" s="329">
        <f t="shared" si="56"/>
        <v>1141.444894012644</v>
      </c>
      <c r="BV58" s="339">
        <f t="shared" si="140"/>
        <v>1113.0675437727778</v>
      </c>
      <c r="BW58" s="325">
        <f t="shared" si="90"/>
        <v>1148.3546510326928</v>
      </c>
      <c r="BX58" s="21">
        <f t="shared" si="91"/>
        <v>279429.38970559416</v>
      </c>
      <c r="BY58" s="21">
        <f t="shared" si="92"/>
        <v>3246.377119403493</v>
      </c>
      <c r="BZ58" s="21">
        <f t="shared" si="93"/>
        <v>86.074223489148437</v>
      </c>
      <c r="CA58" s="21">
        <f t="shared" si="129"/>
        <v>278182.06770277052</v>
      </c>
      <c r="CB58" s="21">
        <f t="shared" si="130"/>
        <v>3234.774989804474</v>
      </c>
      <c r="CC58" s="21">
        <f t="shared" si="135"/>
        <v>85.997347135290312</v>
      </c>
      <c r="CD58" s="342">
        <f t="shared" si="131"/>
        <v>7.6876353858125412E-2</v>
      </c>
      <c r="CE58" s="342">
        <f t="shared" si="163"/>
        <v>-0.16314978308240469</v>
      </c>
      <c r="CF58" s="343">
        <f t="shared" si="156"/>
        <v>0.2400261369405301</v>
      </c>
      <c r="CG58" s="141">
        <f t="shared" si="94"/>
        <v>3851923.4047391922</v>
      </c>
      <c r="CH58" s="118">
        <f t="shared" si="95"/>
        <v>3373.72924406325</v>
      </c>
      <c r="CI58" s="118">
        <f t="shared" si="96"/>
        <v>1141.7405269013275</v>
      </c>
      <c r="CJ58" s="118">
        <f t="shared" si="132"/>
        <v>3675045.398844481</v>
      </c>
      <c r="CK58" s="118">
        <f t="shared" si="133"/>
        <v>3259.4412504828256</v>
      </c>
      <c r="CL58" s="118">
        <f t="shared" si="136"/>
        <v>1127.5077893488926</v>
      </c>
      <c r="CM58" s="350">
        <f t="shared" si="134"/>
        <v>14.232737552434855</v>
      </c>
      <c r="CN58" s="350">
        <f t="shared" si="164"/>
        <v>18.068374547988874</v>
      </c>
      <c r="CO58" s="351">
        <f t="shared" si="158"/>
        <v>-3.8356369955540188</v>
      </c>
      <c r="CP58" s="20">
        <f t="shared" si="26"/>
        <v>-1</v>
      </c>
      <c r="CQ58" s="21">
        <f t="shared" si="27"/>
        <v>0</v>
      </c>
      <c r="CR58" s="21">
        <f t="shared" si="28"/>
        <v>375108.9</v>
      </c>
      <c r="CS58" s="21">
        <f t="shared" si="159"/>
        <v>132454.73412717425</v>
      </c>
      <c r="CT58" s="21">
        <f t="shared" si="159"/>
        <v>145577.40897916374</v>
      </c>
      <c r="CU58" s="21">
        <f t="shared" si="105"/>
        <v>0.90985775235312971</v>
      </c>
      <c r="CV58" s="342">
        <f t="shared" si="106"/>
        <v>47.640079541635856</v>
      </c>
      <c r="CW58" s="342">
        <f t="shared" si="161"/>
        <v>45.585187814601966</v>
      </c>
      <c r="CX58" s="355">
        <f t="shared" si="146"/>
        <v>51.628229569108377</v>
      </c>
      <c r="CY58" s="141">
        <f t="shared" si="29"/>
        <v>-31.683333333333394</v>
      </c>
      <c r="CZ58" s="118">
        <f t="shared" si="30"/>
        <v>0</v>
      </c>
      <c r="DA58" s="118">
        <f t="shared" si="31"/>
        <v>3730126.9499999997</v>
      </c>
      <c r="DB58" s="118">
        <f t="shared" si="160"/>
        <v>1553882.3641670269</v>
      </c>
      <c r="DC58" s="118">
        <f t="shared" si="160"/>
        <v>2290289.6166025167</v>
      </c>
      <c r="DD58" s="118">
        <f t="shared" si="107"/>
        <v>0.67846544511348827</v>
      </c>
      <c r="DE58" s="350">
        <f t="shared" si="108"/>
        <v>40.421770200197024</v>
      </c>
      <c r="DF58" s="350">
        <f t="shared" si="162"/>
        <v>59.666917192693212</v>
      </c>
      <c r="DG58" s="351">
        <f t="shared" si="147"/>
        <v>62.196540888310381</v>
      </c>
      <c r="DH58" s="135">
        <f t="shared" si="32"/>
        <v>1.6500000000000057</v>
      </c>
      <c r="DI58" s="20">
        <f t="shared" si="33"/>
        <v>7222.0500000000247</v>
      </c>
      <c r="DJ58" s="21">
        <f t="shared" si="127"/>
        <v>6487.8399904851958</v>
      </c>
      <c r="DK58" s="21">
        <f t="shared" si="122"/>
        <v>3212.0923584623356</v>
      </c>
      <c r="DL58" s="319">
        <f t="shared" si="123"/>
        <v>2.0198173858210593</v>
      </c>
      <c r="DM58" s="21">
        <f t="shared" si="124"/>
        <v>8079.2695432842374</v>
      </c>
      <c r="DN58" s="21">
        <f>DM58*'Base Data'!$D$10</f>
        <v>16158.539086568475</v>
      </c>
      <c r="DO58" s="363">
        <f>IF(INT(('Base Data'!$D$7)/DN58)=0,0,INT(('Base Data'!$D$7)/DN58))</f>
        <v>0</v>
      </c>
      <c r="DP58" s="364">
        <f t="shared" si="113"/>
        <v>2.3499911411530648E-2</v>
      </c>
      <c r="DQ58" s="141">
        <f t="shared" si="34"/>
        <v>43.799999999999955</v>
      </c>
      <c r="DR58" s="143">
        <f t="shared" si="35"/>
        <v>145985.39999999985</v>
      </c>
      <c r="DS58" s="118">
        <f t="shared" si="128"/>
        <v>95480.559504178076</v>
      </c>
      <c r="DT58" s="118">
        <f t="shared" si="125"/>
        <v>3304.1466163966556</v>
      </c>
      <c r="DU58" s="329">
        <f t="shared" si="126"/>
        <v>28.89719210108921</v>
      </c>
      <c r="DV58" s="118">
        <f t="shared" si="114"/>
        <v>17338.315260653526</v>
      </c>
      <c r="DW58" s="118">
        <f>DV58*'Base Data'!$D$10</f>
        <v>34676.630521307052</v>
      </c>
      <c r="DX58" s="375">
        <f>IF(INT(('Base Data'!$D$7)/DW58)=0,0,INT(('Base Data'!$D$7)/DW58))</f>
        <v>0</v>
      </c>
      <c r="DY58" s="376">
        <f t="shared" si="115"/>
        <v>2.59225764530964E-2</v>
      </c>
      <c r="DZ58" s="135">
        <f t="shared" si="36"/>
        <v>1.6500000000000057</v>
      </c>
      <c r="EA58" s="21">
        <f t="shared" si="37"/>
        <v>7222.0500000000247</v>
      </c>
      <c r="EB58" s="21">
        <f t="shared" si="79"/>
        <v>6872.7771690193813</v>
      </c>
      <c r="EC58" s="21">
        <f t="shared" si="75"/>
        <v>3343.3441900233529</v>
      </c>
      <c r="ED58" s="319">
        <f t="shared" si="76"/>
        <v>2.0556594769775636</v>
      </c>
      <c r="EE58" s="21">
        <f t="shared" si="63"/>
        <v>8222.6379079102535</v>
      </c>
      <c r="EF58" s="21">
        <f>EE58*'Base Data'!$D$13</f>
        <v>6166.9784309326897</v>
      </c>
      <c r="EG58" s="363">
        <f>IF(INT(('Base Data'!$D$7)/EF58)=0,0,INT(('Base Data'!$D$7)/EF58))</f>
        <v>1</v>
      </c>
      <c r="EH58" s="314">
        <f t="shared" si="64"/>
        <v>2.3916922361577237E-2</v>
      </c>
      <c r="EI58" s="143">
        <f t="shared" si="38"/>
        <v>43.799999999999955</v>
      </c>
      <c r="EJ58" s="118">
        <f t="shared" si="39"/>
        <v>145985.39999999985</v>
      </c>
      <c r="EK58" s="118">
        <f t="shared" si="80"/>
        <v>103439.54877451475</v>
      </c>
      <c r="EL58" s="118">
        <f t="shared" si="77"/>
        <v>3312.6731588153966</v>
      </c>
      <c r="EM58" s="329">
        <f t="shared" si="78"/>
        <v>31.225401304457236</v>
      </c>
      <c r="EN58" s="118">
        <f t="shared" si="65"/>
        <v>18735.24078267434</v>
      </c>
      <c r="EO58" s="118">
        <f>EN58*'Base Data'!$D$13</f>
        <v>14051.430587005754</v>
      </c>
      <c r="EP58" s="375">
        <f>IF(INT(('Base Data'!$D$7)/EO58)=0,0,INT(('Base Data'!$D$7)/EO58))</f>
        <v>0</v>
      </c>
      <c r="EQ58" s="385">
        <f t="shared" si="66"/>
        <v>2.8011124740486421E-2</v>
      </c>
      <c r="ER58" s="397">
        <f t="shared" si="116"/>
        <v>0.30334346906780296</v>
      </c>
      <c r="ES58" s="403">
        <f t="shared" si="67"/>
        <v>-7.8036595293758351E-2</v>
      </c>
      <c r="ET58" s="405">
        <f t="shared" si="117"/>
        <v>-0.3093616330752616</v>
      </c>
      <c r="EU58" s="410">
        <f t="shared" si="68"/>
        <v>-1.2998898857238785</v>
      </c>
      <c r="EV58" s="20">
        <f t="shared" si="8"/>
        <v>1.6500000000000057</v>
      </c>
      <c r="EW58" s="17">
        <f t="shared" si="9"/>
        <v>1.9354838709677486E-2</v>
      </c>
      <c r="EX58" s="388">
        <f t="shared" si="69"/>
        <v>2.1995139311247729E-2</v>
      </c>
      <c r="EY58" s="388">
        <f t="shared" si="103"/>
        <v>2.0742022293542849E-2</v>
      </c>
      <c r="EZ58" s="314">
        <f t="shared" si="118"/>
        <v>2.2713633662731842E-2</v>
      </c>
      <c r="FA58" s="442">
        <f t="shared" si="10"/>
        <v>29.299999999999955</v>
      </c>
      <c r="FB58" s="18">
        <f t="shared" si="11"/>
        <v>2.5998225377107324E-2</v>
      </c>
      <c r="FC58" s="394">
        <f t="shared" si="70"/>
        <v>2.3163324898061902E-2</v>
      </c>
      <c r="FD58" s="394">
        <f t="shared" si="104"/>
        <v>2.0850803349652374E-2</v>
      </c>
      <c r="FE58" s="385">
        <f t="shared" si="119"/>
        <v>2.0159521361864188E-2</v>
      </c>
      <c r="FF58" s="416">
        <f t="shared" si="49"/>
        <v>1</v>
      </c>
      <c r="FG58" s="417">
        <f t="shared" si="50"/>
        <v>1</v>
      </c>
      <c r="FH58" s="415">
        <f t="shared" si="111"/>
        <v>52.054794520547929</v>
      </c>
      <c r="FI58" s="413" t="str">
        <f t="shared" si="120"/>
        <v>T-D</v>
      </c>
      <c r="FJ58" s="404">
        <f t="shared" si="112"/>
        <v>37.779379956741224</v>
      </c>
      <c r="FK58" s="414" t="str">
        <f t="shared" si="121"/>
        <v>T-D</v>
      </c>
      <c r="FL58" s="415">
        <f t="shared" si="71"/>
        <v>5</v>
      </c>
      <c r="FM58" s="413" t="str">
        <f t="shared" si="72"/>
        <v>C-D</v>
      </c>
      <c r="FN58" s="404">
        <f t="shared" si="73"/>
        <v>58.990944372574305</v>
      </c>
      <c r="FO58" s="414" t="str">
        <f t="shared" si="74"/>
        <v>T-R</v>
      </c>
      <c r="FQ58" s="135">
        <f t="shared" si="51"/>
        <v>86.877472799089233</v>
      </c>
      <c r="FR58" s="21">
        <f t="shared" si="12"/>
        <v>86.877472799089233</v>
      </c>
      <c r="FS58" s="21">
        <f t="shared" si="13"/>
        <v>84.75</v>
      </c>
      <c r="FT58" s="182">
        <f t="shared" si="14"/>
        <v>85.587499999999991</v>
      </c>
      <c r="FU58" s="141">
        <f t="shared" si="52"/>
        <v>1149.0891181943052</v>
      </c>
      <c r="FV58" s="118">
        <f t="shared" si="15"/>
        <v>1149.0891181943052</v>
      </c>
      <c r="FW58" s="118">
        <f t="shared" si="16"/>
        <v>1106.7</v>
      </c>
      <c r="FX58" s="181">
        <f t="shared" si="17"/>
        <v>1121.1125</v>
      </c>
    </row>
    <row r="59" spans="1:180" ht="12.45" x14ac:dyDescent="0.3">
      <c r="A59" s="1" t="s">
        <v>266</v>
      </c>
      <c r="E59" s="22"/>
      <c r="F59" s="22"/>
      <c r="G59" s="23"/>
      <c r="H59" s="23"/>
      <c r="I59" s="23"/>
      <c r="J59" s="23"/>
      <c r="L59" s="283">
        <f t="shared" si="40"/>
        <v>56</v>
      </c>
      <c r="M59" s="290">
        <f>'[6]ASHOKLEY-I'!C75</f>
        <v>42878</v>
      </c>
      <c r="N59" s="7">
        <f>'[6]ASHOKLEY-I'!D75</f>
        <v>86.25</v>
      </c>
      <c r="O59" s="7">
        <f>'[6]ASHOKLEY-I'!E75</f>
        <v>86.25</v>
      </c>
      <c r="P59" s="7">
        <f>'[6]ASHOKLEY-I'!F75</f>
        <v>83.8</v>
      </c>
      <c r="Q59" s="7">
        <f>'[6]ASHOKLEY-I'!G75</f>
        <v>84.45</v>
      </c>
      <c r="R59" s="11">
        <f>'[6]ASHOKLEY-I'!H75</f>
        <v>5140</v>
      </c>
      <c r="S59" s="291">
        <f>'[7]ASIANPAINT-I'!C75</f>
        <v>42878</v>
      </c>
      <c r="T59" s="9">
        <f>'[7]ASIANPAINT-I'!D75</f>
        <v>1122</v>
      </c>
      <c r="U59" s="9">
        <f>'[7]ASIANPAINT-I'!E75</f>
        <v>1126</v>
      </c>
      <c r="V59" s="9">
        <f>'[7]ASIANPAINT-I'!F75</f>
        <v>1093.05</v>
      </c>
      <c r="W59" s="9">
        <f>'[7]ASIANPAINT-I'!G75</f>
        <v>1101.8</v>
      </c>
      <c r="X59" s="12">
        <f>'[7]ASIANPAINT-I'!H75</f>
        <v>3438</v>
      </c>
      <c r="Y59" s="115"/>
      <c r="Z59" s="122">
        <f t="shared" si="18"/>
        <v>-1.7452006980802792E-2</v>
      </c>
      <c r="AA59" s="19">
        <f t="shared" si="19"/>
        <v>-1.1616954474097371E-2</v>
      </c>
      <c r="AB59" s="305">
        <f>IF(OR(SUM(Z39:Z59)=0,SUM('BNF-Nifty'!AA39:AA59)=0),0,(_xlfn.COVARIANCE.P(Z39:Z59,'BNF-Nifty'!AA39:AA59)/_xlfn.VAR.P('BNF-Nifty'!AA39:AA59)))</f>
        <v>1.8211026580407483</v>
      </c>
      <c r="AC59" s="306">
        <f>IF(OR(SUM(AA39:AA59)=0,SUM('BNF-Nifty'!AA39:AA59)=0),0,(_xlfn.COVARIANCE.P(AA39:AA59,'BNF-Nifty'!AA39:AA59)/_xlfn.VAR.P('BNF-Nifty'!AA39:AA59)))</f>
        <v>0.81996980378528417</v>
      </c>
      <c r="AD59" s="466">
        <f t="shared" si="20"/>
        <v>-1.7606088575049125E-2</v>
      </c>
      <c r="AE59" s="17">
        <f t="shared" si="41"/>
        <v>1.3691181879470136E-2</v>
      </c>
      <c r="AF59" s="17">
        <f t="shared" si="42"/>
        <v>1.395707759081664E-2</v>
      </c>
      <c r="AG59" s="314">
        <f t="shared" si="43"/>
        <v>0.26664959296756435</v>
      </c>
      <c r="AH59" s="467">
        <f t="shared" si="21"/>
        <v>-1.1684958468969929E-2</v>
      </c>
      <c r="AI59" s="18">
        <f t="shared" si="149"/>
        <v>1.4223563168606436E-2</v>
      </c>
      <c r="AJ59" s="18">
        <f t="shared" si="150"/>
        <v>1.408415632986053E-2</v>
      </c>
      <c r="AK59" s="385">
        <f t="shared" si="151"/>
        <v>0.26907742886805258</v>
      </c>
      <c r="AL59" s="10">
        <f t="shared" si="23"/>
        <v>2.8817048423431912E-2</v>
      </c>
      <c r="AM59" s="17">
        <f t="shared" si="45"/>
        <v>2.3551309005546851E-2</v>
      </c>
      <c r="AN59" s="17">
        <f t="shared" si="46"/>
        <v>2.3899992537918757E-2</v>
      </c>
      <c r="AO59" s="314">
        <f t="shared" si="47"/>
        <v>0.45660871630871092</v>
      </c>
      <c r="AP59" s="448">
        <f t="shared" si="24"/>
        <v>2.9699575915234786E-2</v>
      </c>
      <c r="AQ59" s="18">
        <f t="shared" si="152"/>
        <v>2.1162165574203362E-2</v>
      </c>
      <c r="AR59" s="18">
        <f t="shared" si="153"/>
        <v>2.1769035469108081E-2</v>
      </c>
      <c r="AS59" s="385">
        <f t="shared" si="154"/>
        <v>0.41589683867298061</v>
      </c>
      <c r="AT59" s="6">
        <f t="shared" si="0"/>
        <v>443325</v>
      </c>
      <c r="AU59" s="319">
        <f t="shared" si="165"/>
        <v>86.762910936842829</v>
      </c>
      <c r="AV59" s="140">
        <f t="shared" si="1"/>
        <v>3857436</v>
      </c>
      <c r="AW59" s="481">
        <f t="shared" si="166"/>
        <v>1092.8977493037955</v>
      </c>
      <c r="AX59" s="135">
        <f t="shared" si="97"/>
        <v>301708.192556086</v>
      </c>
      <c r="AY59" s="21">
        <f t="shared" si="98"/>
        <v>3509.3424411396809</v>
      </c>
      <c r="AZ59" s="319">
        <f t="shared" si="99"/>
        <v>85.972856059639582</v>
      </c>
      <c r="BA59" s="21">
        <f t="shared" si="2"/>
        <v>84.833333333333329</v>
      </c>
      <c r="BB59" s="21">
        <f t="shared" si="3"/>
        <v>436043.33333333331</v>
      </c>
      <c r="BC59" s="21">
        <f t="shared" si="61"/>
        <v>350230.68816509942</v>
      </c>
      <c r="BD59" s="21">
        <f t="shared" si="57"/>
        <v>4086.8893368370918</v>
      </c>
      <c r="BE59" s="332">
        <f t="shared" si="58"/>
        <v>85.696151595861039</v>
      </c>
      <c r="BF59" s="141">
        <f t="shared" si="100"/>
        <v>3853097.087487909</v>
      </c>
      <c r="BG59" s="118">
        <f t="shared" si="101"/>
        <v>3383.6105958353432</v>
      </c>
      <c r="BH59" s="329">
        <f t="shared" si="102"/>
        <v>1138.7531095423406</v>
      </c>
      <c r="BI59" s="118">
        <f t="shared" si="4"/>
        <v>1106.95</v>
      </c>
      <c r="BJ59" s="118">
        <f t="shared" si="5"/>
        <v>3805694.1</v>
      </c>
      <c r="BK59" s="118">
        <f t="shared" si="62"/>
        <v>3673376.1158592757</v>
      </c>
      <c r="BL59" s="118">
        <f t="shared" si="59"/>
        <v>3255.7193435283812</v>
      </c>
      <c r="BM59" s="325">
        <f t="shared" si="60"/>
        <v>1128.2840221351082</v>
      </c>
      <c r="BN59" s="6">
        <f t="shared" si="6"/>
        <v>434073</v>
      </c>
      <c r="BO59" s="331">
        <f t="shared" si="87"/>
        <v>85.506318517042047</v>
      </c>
      <c r="BP59" s="319">
        <f t="shared" si="55"/>
        <v>86.146598122016485</v>
      </c>
      <c r="BQ59" s="331">
        <f t="shared" si="139"/>
        <v>85.380477341001153</v>
      </c>
      <c r="BR59" s="332">
        <f t="shared" si="88"/>
        <v>85.616699471795897</v>
      </c>
      <c r="BS59" s="140">
        <f t="shared" si="7"/>
        <v>3787988.4</v>
      </c>
      <c r="BT59" s="339">
        <f t="shared" si="89"/>
        <v>1148.2850841815505</v>
      </c>
      <c r="BU59" s="329">
        <f t="shared" si="56"/>
        <v>1130.328356877854</v>
      </c>
      <c r="BV59" s="339">
        <f t="shared" si="140"/>
        <v>1114.9426547223188</v>
      </c>
      <c r="BW59" s="325">
        <f t="shared" si="90"/>
        <v>1145.6662996393743</v>
      </c>
      <c r="BX59" s="21">
        <f t="shared" si="91"/>
        <v>303523.84257140016</v>
      </c>
      <c r="BY59" s="21">
        <f t="shared" si="92"/>
        <v>3537.7037164183403</v>
      </c>
      <c r="BZ59" s="21">
        <f t="shared" si="93"/>
        <v>85.79685211137334</v>
      </c>
      <c r="CA59" s="21">
        <f t="shared" si="129"/>
        <v>289875.49478651589</v>
      </c>
      <c r="CB59" s="21">
        <f t="shared" si="130"/>
        <v>3375.9027683374761</v>
      </c>
      <c r="CC59" s="21">
        <f t="shared" si="135"/>
        <v>85.866067442834051</v>
      </c>
      <c r="CD59" s="342">
        <f t="shared" si="131"/>
        <v>-6.9215331460711127E-2</v>
      </c>
      <c r="CE59" s="342">
        <f t="shared" si="163"/>
        <v>-0.14436289275806596</v>
      </c>
      <c r="CF59" s="343">
        <f t="shared" si="156"/>
        <v>7.5147561297354837E-2</v>
      </c>
      <c r="CG59" s="141">
        <f t="shared" si="94"/>
        <v>3844811.2040100857</v>
      </c>
      <c r="CH59" s="118">
        <f t="shared" si="95"/>
        <v>3383.6170526689039</v>
      </c>
      <c r="CI59" s="118">
        <f t="shared" si="96"/>
        <v>1136.3021122551102</v>
      </c>
      <c r="CJ59" s="118">
        <f t="shared" si="132"/>
        <v>3684723.0804115566</v>
      </c>
      <c r="CK59" s="118">
        <f t="shared" si="133"/>
        <v>3272.6678245211347</v>
      </c>
      <c r="CL59" s="118">
        <f t="shared" si="136"/>
        <v>1125.9080597190505</v>
      </c>
      <c r="CM59" s="350">
        <f t="shared" si="134"/>
        <v>10.394052536059689</v>
      </c>
      <c r="CN59" s="350">
        <f t="shared" si="164"/>
        <v>16.533510145603039</v>
      </c>
      <c r="CO59" s="351">
        <f t="shared" si="158"/>
        <v>-6.1394576095433493</v>
      </c>
      <c r="CP59" s="20">
        <f t="shared" si="26"/>
        <v>-0.86666666666667425</v>
      </c>
      <c r="CQ59" s="21">
        <f t="shared" si="27"/>
        <v>0</v>
      </c>
      <c r="CR59" s="21">
        <f t="shared" si="28"/>
        <v>436043.33333333331</v>
      </c>
      <c r="CS59" s="21">
        <f t="shared" si="159"/>
        <v>114794.10291021768</v>
      </c>
      <c r="CT59" s="21">
        <f t="shared" si="159"/>
        <v>184306.19889305302</v>
      </c>
      <c r="CU59" s="21">
        <f t="shared" si="105"/>
        <v>0.62284450333018382</v>
      </c>
      <c r="CV59" s="342">
        <f t="shared" si="106"/>
        <v>38.379801764868162</v>
      </c>
      <c r="CW59" s="342">
        <f t="shared" si="161"/>
        <v>45.991050945970869</v>
      </c>
      <c r="CX59" s="355">
        <f t="shared" si="146"/>
        <v>51.504036914231513</v>
      </c>
      <c r="CY59" s="141">
        <f t="shared" si="29"/>
        <v>-12.199999999999818</v>
      </c>
      <c r="CZ59" s="118">
        <f t="shared" si="30"/>
        <v>0</v>
      </c>
      <c r="DA59" s="118">
        <f t="shared" si="31"/>
        <v>3805694.1</v>
      </c>
      <c r="DB59" s="118">
        <f t="shared" si="160"/>
        <v>1346698.0489447566</v>
      </c>
      <c r="DC59" s="118">
        <f t="shared" si="160"/>
        <v>2492343.5477221813</v>
      </c>
      <c r="DD59" s="118">
        <f t="shared" si="107"/>
        <v>0.54033403628305565</v>
      </c>
      <c r="DE59" s="350">
        <f t="shared" si="108"/>
        <v>35.079016859675662</v>
      </c>
      <c r="DF59" s="350">
        <f t="shared" si="162"/>
        <v>59.125436397320023</v>
      </c>
      <c r="DG59" s="351">
        <f t="shared" si="147"/>
        <v>61.461734122913853</v>
      </c>
      <c r="DH59" s="135">
        <f t="shared" si="32"/>
        <v>2.4500000000000028</v>
      </c>
      <c r="DI59" s="20">
        <f t="shared" si="33"/>
        <v>12593.000000000015</v>
      </c>
      <c r="DJ59" s="21">
        <f t="shared" si="127"/>
        <v>7042.8545368047253</v>
      </c>
      <c r="DK59" s="21">
        <f t="shared" si="122"/>
        <v>3387.356689511214</v>
      </c>
      <c r="DL59" s="319">
        <f t="shared" si="123"/>
        <v>2.0791594102305742</v>
      </c>
      <c r="DM59" s="21">
        <f t="shared" si="124"/>
        <v>8316.6376409222958</v>
      </c>
      <c r="DN59" s="21">
        <f>DM59*'Base Data'!$D$10</f>
        <v>16633.275281844592</v>
      </c>
      <c r="DO59" s="363">
        <f>IF(INT(('Base Data'!$D$7)/DN59)=0,0,INT(('Base Data'!$D$7)/DN59))</f>
        <v>0</v>
      </c>
      <c r="DP59" s="364">
        <f t="shared" si="113"/>
        <v>2.4620004857674058E-2</v>
      </c>
      <c r="DQ59" s="141">
        <f t="shared" si="34"/>
        <v>32.950000000000045</v>
      </c>
      <c r="DR59" s="143">
        <f t="shared" si="35"/>
        <v>113282.10000000015</v>
      </c>
      <c r="DS59" s="118">
        <f t="shared" si="128"/>
        <v>97098.881367434631</v>
      </c>
      <c r="DT59" s="118">
        <f t="shared" si="125"/>
        <v>3316.3151058151416</v>
      </c>
      <c r="DU59" s="329">
        <f t="shared" si="126"/>
        <v>29.279148171768188</v>
      </c>
      <c r="DV59" s="118">
        <f t="shared" si="114"/>
        <v>17567.488903060912</v>
      </c>
      <c r="DW59" s="118">
        <f>DV59*'Base Data'!$D$10</f>
        <v>35134.977806121824</v>
      </c>
      <c r="DX59" s="375">
        <f>IF(INT(('Base Data'!$D$7)/DW59)=0,0,INT(('Base Data'!$D$7)/DW59))</f>
        <v>0</v>
      </c>
      <c r="DY59" s="376">
        <f t="shared" si="115"/>
        <v>2.657392282788908E-2</v>
      </c>
      <c r="DZ59" s="135">
        <f t="shared" si="36"/>
        <v>2.4500000000000028</v>
      </c>
      <c r="EA59" s="21">
        <f t="shared" si="37"/>
        <v>12593.000000000015</v>
      </c>
      <c r="EB59" s="21">
        <f t="shared" si="79"/>
        <v>8143.9377981261887</v>
      </c>
      <c r="EC59" s="21">
        <f t="shared" si="75"/>
        <v>3742.60103668483</v>
      </c>
      <c r="ED59" s="319">
        <f t="shared" si="76"/>
        <v>2.176010137949417</v>
      </c>
      <c r="EE59" s="21">
        <f t="shared" si="63"/>
        <v>8704.0405517976687</v>
      </c>
      <c r="EF59" s="21">
        <f>EE59*'Base Data'!$D$13</f>
        <v>6528.0304138482516</v>
      </c>
      <c r="EG59" s="363">
        <f>IF(INT(('Base Data'!$D$7)/EF59)=0,0,INT(('Base Data'!$D$7)/EF59))</f>
        <v>1</v>
      </c>
      <c r="EH59" s="314">
        <f t="shared" si="64"/>
        <v>2.5766845920064143E-2</v>
      </c>
      <c r="EI59" s="143">
        <f t="shared" si="38"/>
        <v>32.950000000000045</v>
      </c>
      <c r="EJ59" s="118">
        <f t="shared" si="39"/>
        <v>113282.10000000015</v>
      </c>
      <c r="EK59" s="118">
        <f t="shared" si="80"/>
        <v>105626.78238017818</v>
      </c>
      <c r="EL59" s="118">
        <f t="shared" si="77"/>
        <v>3340.5235679675307</v>
      </c>
      <c r="EM59" s="329">
        <f t="shared" si="78"/>
        <v>31.619828518211744</v>
      </c>
      <c r="EN59" s="118">
        <f t="shared" si="65"/>
        <v>18971.897110927046</v>
      </c>
      <c r="EO59" s="118">
        <f>EN59*'Base Data'!$D$13</f>
        <v>14228.922833195284</v>
      </c>
      <c r="EP59" s="375">
        <f>IF(INT(('Base Data'!$D$7)/EO59)=0,0,INT(('Base Data'!$D$7)/EO59))</f>
        <v>0</v>
      </c>
      <c r="EQ59" s="385">
        <f t="shared" si="66"/>
        <v>2.8698337736623475E-2</v>
      </c>
      <c r="ER59" s="397">
        <f t="shared" si="116"/>
        <v>-0.51837188263417455</v>
      </c>
      <c r="ES59" s="403">
        <f t="shared" si="67"/>
        <v>-0.88751884300499484</v>
      </c>
      <c r="ET59" s="405">
        <f t="shared" si="117"/>
        <v>-0.85965073581309981</v>
      </c>
      <c r="EU59" s="410">
        <f t="shared" si="68"/>
        <v>-1.4940519566529993</v>
      </c>
      <c r="EV59" s="20">
        <f t="shared" si="8"/>
        <v>2.4500000000000028</v>
      </c>
      <c r="EW59" s="17">
        <f t="shared" si="9"/>
        <v>2.8405797101449307E-2</v>
      </c>
      <c r="EX59" s="388">
        <f t="shared" si="69"/>
        <v>2.1959492161720277E-2</v>
      </c>
      <c r="EY59" s="388">
        <f t="shared" si="103"/>
        <v>2.1826872735288161E-2</v>
      </c>
      <c r="EZ59" s="314">
        <f t="shared" si="118"/>
        <v>2.3484150721119638E-2</v>
      </c>
      <c r="FA59" s="442">
        <f t="shared" si="10"/>
        <v>32.950000000000045</v>
      </c>
      <c r="FB59" s="18">
        <f t="shared" si="11"/>
        <v>2.9367201426024996E-2</v>
      </c>
      <c r="FC59" s="394">
        <f t="shared" si="70"/>
        <v>2.3510074280254107E-2</v>
      </c>
      <c r="FD59" s="394">
        <f t="shared" si="104"/>
        <v>2.2205969266443189E-2</v>
      </c>
      <c r="FE59" s="385">
        <f t="shared" si="119"/>
        <v>2.0673297851964818E-2</v>
      </c>
      <c r="FF59" s="416">
        <f t="shared" si="49"/>
        <v>1</v>
      </c>
      <c r="FG59" s="417">
        <f t="shared" si="50"/>
        <v>1</v>
      </c>
      <c r="FH59" s="415">
        <f t="shared" si="111"/>
        <v>20.930232558139437</v>
      </c>
      <c r="FI59" s="413" t="str">
        <f t="shared" si="120"/>
        <v>C-D</v>
      </c>
      <c r="FJ59" s="404">
        <f t="shared" si="112"/>
        <v>24.185463659147899</v>
      </c>
      <c r="FK59" s="414" t="str">
        <f t="shared" si="121"/>
        <v>C-D</v>
      </c>
      <c r="FL59" s="415">
        <f t="shared" si="71"/>
        <v>47.872340425531881</v>
      </c>
      <c r="FM59" s="413" t="str">
        <f t="shared" si="72"/>
        <v>T-R</v>
      </c>
      <c r="FN59" s="404">
        <f t="shared" si="73"/>
        <v>77.405167674546519</v>
      </c>
      <c r="FO59" s="414" t="str">
        <f t="shared" si="74"/>
        <v>T-R</v>
      </c>
      <c r="FQ59" s="135">
        <f t="shared" si="51"/>
        <v>86.232486399544612</v>
      </c>
      <c r="FR59" s="21">
        <f t="shared" si="12"/>
        <v>86.25</v>
      </c>
      <c r="FS59" s="21">
        <f t="shared" si="13"/>
        <v>83.8</v>
      </c>
      <c r="FT59" s="182">
        <f t="shared" si="14"/>
        <v>85.1875</v>
      </c>
      <c r="FU59" s="141">
        <f t="shared" si="52"/>
        <v>1135.1008090971527</v>
      </c>
      <c r="FV59" s="118">
        <f t="shared" si="15"/>
        <v>1135.1008090971527</v>
      </c>
      <c r="FW59" s="118">
        <f t="shared" si="16"/>
        <v>1093.05</v>
      </c>
      <c r="FX59" s="181">
        <f t="shared" si="17"/>
        <v>1110.7125000000001</v>
      </c>
    </row>
    <row r="60" spans="1:180" ht="12.45" x14ac:dyDescent="0.3">
      <c r="A60" s="1" t="s">
        <v>267</v>
      </c>
      <c r="E60" s="22"/>
      <c r="F60" s="22"/>
      <c r="G60" s="23"/>
      <c r="H60" s="23"/>
      <c r="I60" s="23"/>
      <c r="J60" s="23"/>
      <c r="L60" s="283">
        <f t="shared" si="40"/>
        <v>57</v>
      </c>
      <c r="M60" s="290">
        <f>'[6]ASHOKLEY-I'!C76</f>
        <v>42879</v>
      </c>
      <c r="N60" s="7">
        <f>'[6]ASHOKLEY-I'!D76</f>
        <v>84.65</v>
      </c>
      <c r="O60" s="7">
        <f>'[6]ASHOKLEY-I'!E76</f>
        <v>84.9</v>
      </c>
      <c r="P60" s="7">
        <f>'[6]ASHOKLEY-I'!F76</f>
        <v>81.45</v>
      </c>
      <c r="Q60" s="7">
        <f>'[6]ASHOKLEY-I'!G76</f>
        <v>82.4</v>
      </c>
      <c r="R60" s="11">
        <f>'[6]ASHOKLEY-I'!H76</f>
        <v>5115</v>
      </c>
      <c r="S60" s="291">
        <f>'[7]ASIANPAINT-I'!C76</f>
        <v>42879</v>
      </c>
      <c r="T60" s="9">
        <f>'[7]ASIANPAINT-I'!D76</f>
        <v>1102.55</v>
      </c>
      <c r="U60" s="9">
        <f>'[7]ASIANPAINT-I'!E76</f>
        <v>1110.4000000000001</v>
      </c>
      <c r="V60" s="9">
        <f>'[7]ASIANPAINT-I'!F76</f>
        <v>1082.6500000000001</v>
      </c>
      <c r="W60" s="9">
        <f>'[7]ASIANPAINT-I'!G76</f>
        <v>1094.75</v>
      </c>
      <c r="X60" s="12">
        <f>'[7]ASIANPAINT-I'!H76</f>
        <v>3622</v>
      </c>
      <c r="Y60" s="115"/>
      <c r="Z60" s="122">
        <f t="shared" si="18"/>
        <v>-2.4274718768502037E-2</v>
      </c>
      <c r="AA60" s="19">
        <f t="shared" si="19"/>
        <v>-6.3986204392811356E-3</v>
      </c>
      <c r="AB60" s="305">
        <f>IF(OR(SUM(Z40:Z60)=0,SUM('BNF-Nifty'!AA40:AA60)=0),0,(_xlfn.COVARIANCE.P(Z40:Z60,'BNF-Nifty'!AA40:AA60)/_xlfn.VAR.P('BNF-Nifty'!AA40:AA60)))</f>
        <v>2.1924950421898464</v>
      </c>
      <c r="AC60" s="306">
        <f>IF(OR(SUM(AA40:AA60)=0,SUM('BNF-Nifty'!AA40:AA60)=0),0,(_xlfn.COVARIANCE.P(AA40:AA60,'BNF-Nifty'!AA40:AA60)/_xlfn.VAR.P('BNF-Nifty'!AA40:AA60)))</f>
        <v>0.90726541372285174</v>
      </c>
      <c r="AD60" s="466">
        <f t="shared" si="20"/>
        <v>-2.4574206338383062E-2</v>
      </c>
      <c r="AE60" s="17">
        <f t="shared" si="41"/>
        <v>1.395707759081664E-2</v>
      </c>
      <c r="AF60" s="17">
        <f t="shared" si="42"/>
        <v>1.4810317721547943E-2</v>
      </c>
      <c r="AG60" s="314">
        <f t="shared" si="43"/>
        <v>0.2829507227766293</v>
      </c>
      <c r="AH60" s="467">
        <f t="shared" si="21"/>
        <v>-6.4191793571084328E-3</v>
      </c>
      <c r="AI60" s="18">
        <f t="shared" si="149"/>
        <v>1.408415632986053E-2</v>
      </c>
      <c r="AJ60" s="18">
        <f t="shared" si="150"/>
        <v>1.3745326615604193E-2</v>
      </c>
      <c r="AK60" s="385">
        <f t="shared" si="151"/>
        <v>0.26260409626644726</v>
      </c>
      <c r="AL60" s="10">
        <f t="shared" si="23"/>
        <v>4.1484758269247496E-2</v>
      </c>
      <c r="AM60" s="17">
        <f t="shared" si="45"/>
        <v>2.3899992537918757E-2</v>
      </c>
      <c r="AN60" s="17">
        <f t="shared" si="46"/>
        <v>2.5302098229856192E-2</v>
      </c>
      <c r="AO60" s="314">
        <f t="shared" si="47"/>
        <v>0.48339590794104936</v>
      </c>
      <c r="AP60" s="448">
        <f t="shared" si="24"/>
        <v>2.5308571346241239E-2</v>
      </c>
      <c r="AQ60" s="18">
        <f t="shared" si="152"/>
        <v>2.1769035469108081E-2</v>
      </c>
      <c r="AR60" s="18">
        <f t="shared" si="153"/>
        <v>2.1997474354007906E-2</v>
      </c>
      <c r="AS60" s="385">
        <f t="shared" si="154"/>
        <v>0.42026115744101422</v>
      </c>
      <c r="AT60" s="6">
        <f t="shared" si="0"/>
        <v>432984.75</v>
      </c>
      <c r="AU60" s="319">
        <f t="shared" si="165"/>
        <v>86.605688036494868</v>
      </c>
      <c r="AV60" s="140">
        <f t="shared" si="1"/>
        <v>3993436.0999999996</v>
      </c>
      <c r="AW60" s="481">
        <f t="shared" si="166"/>
        <v>1094.5690428426346</v>
      </c>
      <c r="AX60" s="135">
        <f t="shared" si="97"/>
        <v>320461.98647664516</v>
      </c>
      <c r="AY60" s="21">
        <f t="shared" si="98"/>
        <v>3738.7220924054409</v>
      </c>
      <c r="AZ60" s="319">
        <f t="shared" si="99"/>
        <v>85.714310546806232</v>
      </c>
      <c r="BA60" s="21">
        <f t="shared" si="2"/>
        <v>82.916666666666671</v>
      </c>
      <c r="BB60" s="21">
        <f t="shared" si="3"/>
        <v>424118.75</v>
      </c>
      <c r="BC60" s="21">
        <f t="shared" si="61"/>
        <v>374860.04211006628</v>
      </c>
      <c r="BD60" s="21">
        <f t="shared" si="57"/>
        <v>4429.5928912247282</v>
      </c>
      <c r="BE60" s="332">
        <f t="shared" si="58"/>
        <v>84.626296663218199</v>
      </c>
      <c r="BF60" s="141">
        <f t="shared" si="100"/>
        <v>3873145.517846779</v>
      </c>
      <c r="BG60" s="118">
        <f t="shared" si="101"/>
        <v>3417.666225001723</v>
      </c>
      <c r="BH60" s="329">
        <f t="shared" si="102"/>
        <v>1133.2720233219459</v>
      </c>
      <c r="BI60" s="118">
        <f t="shared" si="4"/>
        <v>1095.9333333333334</v>
      </c>
      <c r="BJ60" s="118">
        <f t="shared" si="5"/>
        <v>3969470.5333333337</v>
      </c>
      <c r="BK60" s="118">
        <f t="shared" si="62"/>
        <v>3772074.255017295</v>
      </c>
      <c r="BL60" s="118">
        <f t="shared" si="59"/>
        <v>3377.8128956855876</v>
      </c>
      <c r="BM60" s="325">
        <f t="shared" si="60"/>
        <v>1116.7208994421478</v>
      </c>
      <c r="BN60" s="6">
        <f t="shared" si="6"/>
        <v>421476</v>
      </c>
      <c r="BO60" s="331">
        <f t="shared" si="87"/>
        <v>85.497823171718551</v>
      </c>
      <c r="BP60" s="319">
        <f t="shared" si="55"/>
        <v>85.21996189195248</v>
      </c>
      <c r="BQ60" s="331">
        <f t="shared" si="139"/>
        <v>85.38762973592533</v>
      </c>
      <c r="BR60" s="332">
        <f t="shared" si="88"/>
        <v>85.324913874823707</v>
      </c>
      <c r="BS60" s="140">
        <f t="shared" si="7"/>
        <v>3965184.5</v>
      </c>
      <c r="BT60" s="339">
        <f t="shared" si="89"/>
        <v>1146.169480964546</v>
      </c>
      <c r="BU60" s="329">
        <f t="shared" si="56"/>
        <v>1120.1660165975104</v>
      </c>
      <c r="BV60" s="339">
        <f t="shared" si="140"/>
        <v>1115.3537406556895</v>
      </c>
      <c r="BW60" s="325">
        <f t="shared" si="90"/>
        <v>1142.3879140964132</v>
      </c>
      <c r="BX60" s="21">
        <f t="shared" si="91"/>
        <v>322076.9052527232</v>
      </c>
      <c r="BY60" s="21">
        <f t="shared" si="92"/>
        <v>3780.3646831232109</v>
      </c>
      <c r="BZ60" s="21">
        <f t="shared" si="93"/>
        <v>85.197310907749255</v>
      </c>
      <c r="CA60" s="21">
        <f t="shared" si="129"/>
        <v>299819.43961714435</v>
      </c>
      <c r="CB60" s="21">
        <f t="shared" si="130"/>
        <v>3504.7247854976631</v>
      </c>
      <c r="CC60" s="21">
        <f t="shared" si="135"/>
        <v>85.547213538072626</v>
      </c>
      <c r="CD60" s="342">
        <f t="shared" si="131"/>
        <v>-0.34990263032337054</v>
      </c>
      <c r="CE60" s="342">
        <f t="shared" si="163"/>
        <v>-0.18547084027112687</v>
      </c>
      <c r="CF60" s="343">
        <f t="shared" si="156"/>
        <v>-0.16443179005224368</v>
      </c>
      <c r="CG60" s="141">
        <f t="shared" si="94"/>
        <v>3863989.5623675087</v>
      </c>
      <c r="CH60" s="118">
        <f t="shared" si="95"/>
        <v>3420.291352258303</v>
      </c>
      <c r="CI60" s="118">
        <f t="shared" si="96"/>
        <v>1129.7252673566088</v>
      </c>
      <c r="CJ60" s="118">
        <f t="shared" si="132"/>
        <v>3705815.4843316884</v>
      </c>
      <c r="CK60" s="118">
        <f t="shared" si="133"/>
        <v>3298.5442819640134</v>
      </c>
      <c r="CL60" s="118">
        <f t="shared" si="136"/>
        <v>1123.4699817718313</v>
      </c>
      <c r="CM60" s="350">
        <f t="shared" si="134"/>
        <v>6.255285584777539</v>
      </c>
      <c r="CN60" s="350">
        <f t="shared" si="164"/>
        <v>14.477865233437939</v>
      </c>
      <c r="CO60" s="351">
        <f t="shared" si="158"/>
        <v>-8.2225796486603997</v>
      </c>
      <c r="CP60" s="20">
        <f t="shared" si="26"/>
        <v>-1.9166666666666572</v>
      </c>
      <c r="CQ60" s="21">
        <f t="shared" si="27"/>
        <v>0</v>
      </c>
      <c r="CR60" s="21">
        <f t="shared" si="28"/>
        <v>424118.75</v>
      </c>
      <c r="CS60" s="21">
        <f t="shared" si="159"/>
        <v>99488.222522188662</v>
      </c>
      <c r="CT60" s="21">
        <f t="shared" si="159"/>
        <v>216281.20570731262</v>
      </c>
      <c r="CU60" s="21">
        <f t="shared" si="105"/>
        <v>0.45999476559615321</v>
      </c>
      <c r="CV60" s="342">
        <f t="shared" si="106"/>
        <v>31.506603751988493</v>
      </c>
      <c r="CW60" s="342">
        <f t="shared" si="161"/>
        <v>46.000537249017654</v>
      </c>
      <c r="CX60" s="355">
        <f t="shared" si="146"/>
        <v>51.046018536274147</v>
      </c>
      <c r="CY60" s="141">
        <f t="shared" si="29"/>
        <v>-11.016666666666652</v>
      </c>
      <c r="CZ60" s="118">
        <f t="shared" si="30"/>
        <v>0</v>
      </c>
      <c r="DA60" s="118">
        <f t="shared" si="31"/>
        <v>3969470.5333333337</v>
      </c>
      <c r="DB60" s="118">
        <f t="shared" si="160"/>
        <v>1167138.3090854557</v>
      </c>
      <c r="DC60" s="118">
        <f t="shared" si="160"/>
        <v>2689293.812470335</v>
      </c>
      <c r="DD60" s="118">
        <f t="shared" si="107"/>
        <v>0.43399434590352337</v>
      </c>
      <c r="DE60" s="350">
        <f t="shared" si="108"/>
        <v>30.26471806833203</v>
      </c>
      <c r="DF60" s="350">
        <f t="shared" si="162"/>
        <v>58.309241551925872</v>
      </c>
      <c r="DG60" s="351">
        <f t="shared" si="147"/>
        <v>60.494813531840791</v>
      </c>
      <c r="DH60" s="135">
        <f t="shared" si="32"/>
        <v>3.4500000000000028</v>
      </c>
      <c r="DI60" s="20">
        <f t="shared" si="33"/>
        <v>17646.750000000015</v>
      </c>
      <c r="DJ60" s="21">
        <f t="shared" si="127"/>
        <v>8006.8450334588424</v>
      </c>
      <c r="DK60" s="21">
        <f t="shared" si="122"/>
        <v>3544.415172282922</v>
      </c>
      <c r="DL60" s="319">
        <f t="shared" si="123"/>
        <v>2.2590031484098727</v>
      </c>
      <c r="DM60" s="21">
        <f t="shared" si="124"/>
        <v>9036.0125936394907</v>
      </c>
      <c r="DN60" s="21">
        <f>DM60*'Base Data'!$D$10</f>
        <v>18072.025187278981</v>
      </c>
      <c r="DO60" s="363">
        <f>IF(INT(('Base Data'!$D$7)/DN60)=0,0,INT(('Base Data'!$D$7)/DN60))</f>
        <v>0</v>
      </c>
      <c r="DP60" s="364">
        <f t="shared" si="113"/>
        <v>2.7415086752546999E-2</v>
      </c>
      <c r="DQ60" s="141">
        <f t="shared" si="34"/>
        <v>27.75</v>
      </c>
      <c r="DR60" s="143">
        <f t="shared" si="35"/>
        <v>100510.5</v>
      </c>
      <c r="DS60" s="118">
        <f t="shared" si="128"/>
        <v>97409.02851584967</v>
      </c>
      <c r="DT60" s="118">
        <f t="shared" si="125"/>
        <v>3344.1046416501285</v>
      </c>
      <c r="DU60" s="329">
        <f t="shared" si="126"/>
        <v>29.128582671319688</v>
      </c>
      <c r="DV60" s="118">
        <f t="shared" si="114"/>
        <v>17477.149602791811</v>
      </c>
      <c r="DW60" s="118">
        <f>DV60*'Base Data'!$D$10</f>
        <v>34954.299205583622</v>
      </c>
      <c r="DX60" s="375">
        <f>IF(INT(('Base Data'!$D$7)/DW60)=0,0,INT(('Base Data'!$D$7)/DW60))</f>
        <v>0</v>
      </c>
      <c r="DY60" s="376">
        <f t="shared" si="115"/>
        <v>2.6607520138223054E-2</v>
      </c>
      <c r="DZ60" s="135">
        <f t="shared" si="36"/>
        <v>3.4500000000000028</v>
      </c>
      <c r="EA60" s="21">
        <f t="shared" si="37"/>
        <v>17646.750000000015</v>
      </c>
      <c r="EB60" s="21">
        <f t="shared" si="79"/>
        <v>10255.673842987038</v>
      </c>
      <c r="EC60" s="21">
        <f t="shared" si="75"/>
        <v>4047.5785840882008</v>
      </c>
      <c r="ED60" s="319">
        <f t="shared" si="76"/>
        <v>2.5337800440253435</v>
      </c>
      <c r="EE60" s="21">
        <f t="shared" si="63"/>
        <v>10135.120176101374</v>
      </c>
      <c r="EF60" s="21">
        <f>EE60*'Base Data'!$D$13</f>
        <v>7601.3401320760313</v>
      </c>
      <c r="EG60" s="363">
        <f>IF(INT(('Base Data'!$D$7)/EF60)=0,0,INT(('Base Data'!$D$7)/EF60))</f>
        <v>1</v>
      </c>
      <c r="EH60" s="314">
        <f t="shared" si="64"/>
        <v>3.0749757815841546E-2</v>
      </c>
      <c r="EI60" s="143">
        <f t="shared" si="38"/>
        <v>27.75</v>
      </c>
      <c r="EJ60" s="118">
        <f t="shared" si="39"/>
        <v>100510.5</v>
      </c>
      <c r="EK60" s="118">
        <f t="shared" si="80"/>
        <v>104489.83074013858</v>
      </c>
      <c r="EL60" s="118">
        <f t="shared" si="77"/>
        <v>3403.0738861969685</v>
      </c>
      <c r="EM60" s="329">
        <f t="shared" si="78"/>
        <v>30.704543666816747</v>
      </c>
      <c r="EN60" s="118">
        <f t="shared" si="65"/>
        <v>18422.726200090048</v>
      </c>
      <c r="EO60" s="118">
        <f>EN60*'Base Data'!$D$13</f>
        <v>13817.044650067535</v>
      </c>
      <c r="EP60" s="375">
        <f>IF(INT(('Base Data'!$D$7)/EO60)=0,0,INT(('Base Data'!$D$7)/EO60))</f>
        <v>0</v>
      </c>
      <c r="EQ60" s="385">
        <f t="shared" si="66"/>
        <v>2.8047082591291846E-2</v>
      </c>
      <c r="ER60" s="397">
        <f t="shared" si="116"/>
        <v>-1.443254943054157</v>
      </c>
      <c r="ES60" s="403">
        <f t="shared" si="67"/>
        <v>-1.561402304564218</v>
      </c>
      <c r="ET60" s="405">
        <f t="shared" si="117"/>
        <v>-1.1868830904794583</v>
      </c>
      <c r="EU60" s="410">
        <f t="shared" si="68"/>
        <v>-1.5303788209077409</v>
      </c>
      <c r="EV60" s="20">
        <f t="shared" si="8"/>
        <v>3.4500000000000028</v>
      </c>
      <c r="EW60" s="17">
        <f t="shared" si="9"/>
        <v>4.075605434140582E-2</v>
      </c>
      <c r="EX60" s="388">
        <f t="shared" si="69"/>
        <v>2.4806319140010837E-2</v>
      </c>
      <c r="EY60" s="388">
        <f t="shared" si="103"/>
        <v>2.3487978711803484E-2</v>
      </c>
      <c r="EZ60" s="314">
        <f t="shared" si="118"/>
        <v>2.315186097676707E-2</v>
      </c>
      <c r="FA60" s="442">
        <f t="shared" si="10"/>
        <v>27.75</v>
      </c>
      <c r="FB60" s="18">
        <f t="shared" si="11"/>
        <v>2.5168926579293458E-2</v>
      </c>
      <c r="FC60" s="394">
        <f t="shared" si="70"/>
        <v>2.3232124429734265E-2</v>
      </c>
      <c r="FD60" s="394">
        <f t="shared" si="104"/>
        <v>2.2958344665838511E-2</v>
      </c>
      <c r="FE60" s="385">
        <f t="shared" si="119"/>
        <v>2.1622596981463876E-2</v>
      </c>
      <c r="FF60" s="416">
        <f t="shared" si="49"/>
        <v>1</v>
      </c>
      <c r="FG60" s="417">
        <f t="shared" si="50"/>
        <v>1</v>
      </c>
      <c r="FH60" s="415">
        <f t="shared" si="111"/>
        <v>66.6666666666666</v>
      </c>
      <c r="FI60" s="413" t="str">
        <f t="shared" si="120"/>
        <v>T-R</v>
      </c>
      <c r="FJ60" s="404">
        <f t="shared" si="112"/>
        <v>18.504594820384362</v>
      </c>
      <c r="FK60" s="414" t="str">
        <f t="shared" si="121"/>
        <v>C-D</v>
      </c>
      <c r="FL60" s="415">
        <f t="shared" si="71"/>
        <v>48.936170212765816</v>
      </c>
      <c r="FM60" s="413" t="str">
        <f t="shared" si="72"/>
        <v>T-R</v>
      </c>
      <c r="FN60" s="404">
        <f t="shared" si="73"/>
        <v>39.778449144008079</v>
      </c>
      <c r="FO60" s="414" t="str">
        <f t="shared" si="74"/>
        <v>T-D</v>
      </c>
      <c r="FQ60" s="135">
        <f t="shared" si="51"/>
        <v>85.709993199772299</v>
      </c>
      <c r="FR60" s="21">
        <f t="shared" si="12"/>
        <v>85.709993199772299</v>
      </c>
      <c r="FS60" s="21">
        <f t="shared" si="13"/>
        <v>81.45</v>
      </c>
      <c r="FT60" s="182">
        <f t="shared" si="14"/>
        <v>83.35</v>
      </c>
      <c r="FU60" s="141">
        <f t="shared" si="52"/>
        <v>1122.9066545485764</v>
      </c>
      <c r="FV60" s="118">
        <f t="shared" si="15"/>
        <v>1122.9066545485764</v>
      </c>
      <c r="FW60" s="118">
        <f t="shared" si="16"/>
        <v>1082.6500000000001</v>
      </c>
      <c r="FX60" s="181">
        <f t="shared" si="17"/>
        <v>1097.5875000000001</v>
      </c>
    </row>
    <row r="61" spans="1:180" s="255" customFormat="1" ht="12.45" x14ac:dyDescent="0.3">
      <c r="A61" s="1" t="s">
        <v>273</v>
      </c>
      <c r="B61" s="2"/>
      <c r="C61" s="2"/>
      <c r="D61" s="2"/>
      <c r="E61" s="22"/>
      <c r="F61" s="22"/>
      <c r="G61" s="23"/>
      <c r="H61" s="23"/>
      <c r="I61" s="23"/>
      <c r="J61" s="23"/>
      <c r="K61" s="2"/>
      <c r="L61" s="284">
        <f t="shared" si="40"/>
        <v>58</v>
      </c>
      <c r="M61" s="290">
        <f>'[6]ASHOKLEY-I'!C77</f>
        <v>42880</v>
      </c>
      <c r="N61" s="7">
        <f>'[6]ASHOKLEY-I'!D77</f>
        <v>83.1</v>
      </c>
      <c r="O61" s="7">
        <f>'[6]ASHOKLEY-I'!E77</f>
        <v>86.4</v>
      </c>
      <c r="P61" s="7">
        <f>'[6]ASHOKLEY-I'!F77</f>
        <v>81.900000000000006</v>
      </c>
      <c r="Q61" s="7">
        <f>'[6]ASHOKLEY-I'!G77</f>
        <v>85.05</v>
      </c>
      <c r="R61" s="11">
        <f>'[6]ASHOKLEY-I'!H77</f>
        <v>8352</v>
      </c>
      <c r="S61" s="291">
        <f>'[7]ASIANPAINT-I'!C77</f>
        <v>42880</v>
      </c>
      <c r="T61" s="9">
        <f>'[7]ASIANPAINT-I'!D77</f>
        <v>1098.8499999999999</v>
      </c>
      <c r="U61" s="9">
        <f>'[7]ASIANPAINT-I'!E77</f>
        <v>1117.1500000000001</v>
      </c>
      <c r="V61" s="9">
        <f>'[7]ASIANPAINT-I'!F77</f>
        <v>1090.1500000000001</v>
      </c>
      <c r="W61" s="9">
        <f>'[7]ASIANPAINT-I'!G77</f>
        <v>1109.55</v>
      </c>
      <c r="X61" s="12">
        <f>'[7]ASIANPAINT-I'!H77</f>
        <v>3288</v>
      </c>
      <c r="Y61" s="115"/>
      <c r="Z61" s="256">
        <f t="shared" si="18"/>
        <v>3.2160194174757177E-2</v>
      </c>
      <c r="AA61" s="257">
        <f t="shared" si="19"/>
        <v>1.3519068280429281E-2</v>
      </c>
      <c r="AB61" s="307">
        <f>IF(OR(SUM(Z41:Z61)=0,SUM('BNF-Nifty'!AA41:AA61)=0),0,(_xlfn.COVARIANCE.P(Z41:Z61,'BNF-Nifty'!AA41:AA61)/_xlfn.VAR.P('BNF-Nifty'!AA41:AA61)))</f>
        <v>2.2038480361229467</v>
      </c>
      <c r="AC61" s="308">
        <f>IF(OR(SUM(AA41:AA61)=0,SUM('BNF-Nifty'!AA41:AA61)=0),0,(_xlfn.COVARIANCE.P(AA41:AA61,'BNF-Nifty'!AA41:AA61)/_xlfn.VAR.P('BNF-Nifty'!AA41:AA61)))</f>
        <v>0.97054697444901794</v>
      </c>
      <c r="AD61" s="471">
        <f t="shared" si="20"/>
        <v>3.1653881926444603E-2</v>
      </c>
      <c r="AE61" s="258">
        <f t="shared" si="41"/>
        <v>1.4810317721547943E-2</v>
      </c>
      <c r="AF61" s="258">
        <f t="shared" si="42"/>
        <v>1.6318789011847756E-2</v>
      </c>
      <c r="AG61" s="315">
        <f t="shared" si="43"/>
        <v>0.31177002631237516</v>
      </c>
      <c r="AH61" s="471">
        <f t="shared" si="21"/>
        <v>1.3428501020478665E-2</v>
      </c>
      <c r="AI61" s="258">
        <f t="shared" si="149"/>
        <v>1.3745326615604193E-2</v>
      </c>
      <c r="AJ61" s="258">
        <f t="shared" si="150"/>
        <v>1.372652330063511E-2</v>
      </c>
      <c r="AK61" s="315">
        <f t="shared" si="151"/>
        <v>0.26224485943837045</v>
      </c>
      <c r="AL61" s="450">
        <f t="shared" si="23"/>
        <v>5.3488684950986222E-2</v>
      </c>
      <c r="AM61" s="258">
        <f t="shared" si="45"/>
        <v>2.5302098229856192E-2</v>
      </c>
      <c r="AN61" s="258">
        <f t="shared" si="46"/>
        <v>2.7810910977716027E-2</v>
      </c>
      <c r="AO61" s="315">
        <f t="shared" si="47"/>
        <v>0.53132670818886252</v>
      </c>
      <c r="AP61" s="451">
        <f t="shared" si="24"/>
        <v>2.4465497891438127E-2</v>
      </c>
      <c r="AQ61" s="258">
        <f t="shared" si="152"/>
        <v>2.1997474354007906E-2</v>
      </c>
      <c r="AR61" s="258">
        <f t="shared" si="153"/>
        <v>2.2153310824851422E-2</v>
      </c>
      <c r="AS61" s="315">
        <f t="shared" si="154"/>
        <v>0.42323840903609505</v>
      </c>
      <c r="AT61" s="263">
        <f t="shared" si="0"/>
        <v>694051.2</v>
      </c>
      <c r="AU61" s="320">
        <f t="shared" si="165"/>
        <v>86.402079451518901</v>
      </c>
      <c r="AV61" s="263">
        <f t="shared" si="1"/>
        <v>3613018.8</v>
      </c>
      <c r="AW61" s="322">
        <f t="shared" si="166"/>
        <v>1095.8427488193274</v>
      </c>
      <c r="AX61" s="259">
        <f t="shared" si="97"/>
        <v>373831.87412283872</v>
      </c>
      <c r="AY61" s="260">
        <f t="shared" si="98"/>
        <v>4397.7617934903774</v>
      </c>
      <c r="AZ61" s="320">
        <f t="shared" si="99"/>
        <v>85.005030212457029</v>
      </c>
      <c r="BA61" s="260">
        <f t="shared" si="2"/>
        <v>84.45</v>
      </c>
      <c r="BB61" s="260">
        <f t="shared" si="3"/>
        <v>705326.4</v>
      </c>
      <c r="BC61" s="260">
        <f t="shared" si="61"/>
        <v>485015.49474004417</v>
      </c>
      <c r="BD61" s="260">
        <f t="shared" si="57"/>
        <v>5737.0619274831515</v>
      </c>
      <c r="BE61" s="326">
        <f t="shared" si="58"/>
        <v>84.54074592024152</v>
      </c>
      <c r="BF61" s="259">
        <f t="shared" si="100"/>
        <v>3835984.5581543818</v>
      </c>
      <c r="BG61" s="260">
        <f t="shared" si="101"/>
        <v>3399.1424785729055</v>
      </c>
      <c r="BH61" s="320">
        <f t="shared" si="102"/>
        <v>1128.5153777269377</v>
      </c>
      <c r="BI61" s="260">
        <f t="shared" si="4"/>
        <v>1105.6166666666668</v>
      </c>
      <c r="BJ61" s="260">
        <f t="shared" si="5"/>
        <v>3635267.6000000006</v>
      </c>
      <c r="BK61" s="260">
        <f t="shared" si="62"/>
        <v>3726472.0366781969</v>
      </c>
      <c r="BL61" s="260">
        <f t="shared" si="59"/>
        <v>3347.8752637903917</v>
      </c>
      <c r="BM61" s="326">
        <f t="shared" si="60"/>
        <v>1113.0856866092336</v>
      </c>
      <c r="BN61" s="263">
        <f t="shared" si="6"/>
        <v>710337.6</v>
      </c>
      <c r="BO61" s="333">
        <f t="shared" si="87"/>
        <v>85.178099830760758</v>
      </c>
      <c r="BP61" s="320">
        <f t="shared" si="55"/>
        <v>84.730123581999862</v>
      </c>
      <c r="BQ61" s="333">
        <f t="shared" si="139"/>
        <v>85.224452219455657</v>
      </c>
      <c r="BR61" s="326">
        <f t="shared" si="88"/>
        <v>85.386404787635342</v>
      </c>
      <c r="BS61" s="263">
        <f t="shared" si="7"/>
        <v>3648200.4</v>
      </c>
      <c r="BT61" s="333">
        <f t="shared" si="89"/>
        <v>1143.8315024965955</v>
      </c>
      <c r="BU61" s="320">
        <f t="shared" si="56"/>
        <v>1112.2390894578498</v>
      </c>
      <c r="BV61" s="333">
        <f t="shared" si="140"/>
        <v>1115.8572896567855</v>
      </c>
      <c r="BW61" s="326">
        <f t="shared" si="90"/>
        <v>1139.4881417115189</v>
      </c>
      <c r="BX61" s="260">
        <f t="shared" si="91"/>
        <v>381038.36598307348</v>
      </c>
      <c r="BY61" s="260">
        <f t="shared" si="92"/>
        <v>4483.6931934119475</v>
      </c>
      <c r="BZ61" s="260">
        <f t="shared" si="93"/>
        <v>84.983148834301801</v>
      </c>
      <c r="CA61" s="260">
        <f t="shared" si="129"/>
        <v>329856.9922380966</v>
      </c>
      <c r="CB61" s="260">
        <f t="shared" si="130"/>
        <v>3863.7822087941327</v>
      </c>
      <c r="CC61" s="260">
        <f t="shared" si="135"/>
        <v>85.371528314232634</v>
      </c>
      <c r="CD61" s="344">
        <f t="shared" si="131"/>
        <v>-0.38837947993083333</v>
      </c>
      <c r="CE61" s="344">
        <f t="shared" si="163"/>
        <v>-0.22605256820306815</v>
      </c>
      <c r="CF61" s="345">
        <f t="shared" si="156"/>
        <v>-0.16232691172776517</v>
      </c>
      <c r="CG61" s="259">
        <f t="shared" si="94"/>
        <v>3828801.5681571229</v>
      </c>
      <c r="CH61" s="260">
        <f t="shared" si="95"/>
        <v>3399.9388365262566</v>
      </c>
      <c r="CI61" s="260">
        <f t="shared" si="96"/>
        <v>1126.1383666739837</v>
      </c>
      <c r="CJ61" s="260">
        <f t="shared" si="132"/>
        <v>3700589.7151219337</v>
      </c>
      <c r="CK61" s="260">
        <f t="shared" si="133"/>
        <v>3297.7632240407534</v>
      </c>
      <c r="CL61" s="260">
        <f t="shared" si="136"/>
        <v>1122.1514292307488</v>
      </c>
      <c r="CM61" s="344">
        <f t="shared" si="134"/>
        <v>3.986937443234865</v>
      </c>
      <c r="CN61" s="344">
        <f t="shared" si="164"/>
        <v>12.379679675397323</v>
      </c>
      <c r="CO61" s="352">
        <f t="shared" si="158"/>
        <v>-8.3927422321624583</v>
      </c>
      <c r="CP61" s="262">
        <f t="shared" si="26"/>
        <v>1.5333333333333314</v>
      </c>
      <c r="CQ61" s="260">
        <f t="shared" si="27"/>
        <v>705326.4</v>
      </c>
      <c r="CR61" s="260">
        <f t="shared" si="28"/>
        <v>0</v>
      </c>
      <c r="CS61" s="260">
        <f t="shared" si="159"/>
        <v>180266.64618589683</v>
      </c>
      <c r="CT61" s="260">
        <f t="shared" si="159"/>
        <v>187443.71161300427</v>
      </c>
      <c r="CU61" s="260">
        <f t="shared" si="105"/>
        <v>0.96171082313006484</v>
      </c>
      <c r="CV61" s="344">
        <f t="shared" si="106"/>
        <v>49.024087127968187</v>
      </c>
      <c r="CW61" s="344">
        <f t="shared" si="161"/>
        <v>46.365133353939484</v>
      </c>
      <c r="CX61" s="352">
        <f t="shared" si="146"/>
        <v>50.44431218011713</v>
      </c>
      <c r="CY61" s="259">
        <f t="shared" si="29"/>
        <v>9.683333333333394</v>
      </c>
      <c r="CZ61" s="260">
        <f t="shared" si="30"/>
        <v>3635267.6000000006</v>
      </c>
      <c r="DA61" s="260">
        <f t="shared" si="31"/>
        <v>0</v>
      </c>
      <c r="DB61" s="260">
        <f t="shared" si="160"/>
        <v>1496222.2145407284</v>
      </c>
      <c r="DC61" s="260">
        <f t="shared" si="160"/>
        <v>2330721.3041409571</v>
      </c>
      <c r="DD61" s="260">
        <f t="shared" si="107"/>
        <v>0.64195672467678278</v>
      </c>
      <c r="DE61" s="344">
        <f t="shared" si="108"/>
        <v>39.097055058083285</v>
      </c>
      <c r="DF61" s="344">
        <f t="shared" si="162"/>
        <v>57.575586538891173</v>
      </c>
      <c r="DG61" s="352">
        <f t="shared" si="147"/>
        <v>60.418253463000447</v>
      </c>
      <c r="DH61" s="259">
        <f t="shared" si="32"/>
        <v>4.5</v>
      </c>
      <c r="DI61" s="262">
        <f t="shared" si="33"/>
        <v>37584</v>
      </c>
      <c r="DJ61" s="260">
        <f t="shared" si="127"/>
        <v>10695.677303144403</v>
      </c>
      <c r="DK61" s="260">
        <f t="shared" si="122"/>
        <v>3981.46833843902</v>
      </c>
      <c r="DL61" s="320">
        <f t="shared" si="123"/>
        <v>2.6863650276665934</v>
      </c>
      <c r="DM61" s="260">
        <f t="shared" si="124"/>
        <v>10745.460110666374</v>
      </c>
      <c r="DN61" s="260">
        <f>DM61*'Base Data'!$D$10</f>
        <v>21490.920221332748</v>
      </c>
      <c r="DO61" s="365">
        <f>IF(INT(('Base Data'!$D$7)/DN61)=0,0,INT(('Base Data'!$D$7)/DN61))</f>
        <v>0</v>
      </c>
      <c r="DP61" s="366">
        <f t="shared" si="113"/>
        <v>3.1585714611012269E-2</v>
      </c>
      <c r="DQ61" s="259">
        <f t="shared" si="34"/>
        <v>27</v>
      </c>
      <c r="DR61" s="262">
        <f t="shared" si="35"/>
        <v>88776</v>
      </c>
      <c r="DS61" s="260">
        <f t="shared" si="128"/>
        <v>96624.207741681515</v>
      </c>
      <c r="DT61" s="260">
        <f t="shared" si="125"/>
        <v>3339.004219681935</v>
      </c>
      <c r="DU61" s="320">
        <f t="shared" si="126"/>
        <v>28.938031036955589</v>
      </c>
      <c r="DV61" s="260">
        <f t="shared" si="114"/>
        <v>17362.818622173352</v>
      </c>
      <c r="DW61" s="260">
        <f>DV61*'Base Data'!$D$10</f>
        <v>34725.637244346704</v>
      </c>
      <c r="DX61" s="365">
        <f>IF(INT(('Base Data'!$D$7)/DW61)=0,0,INT(('Base Data'!$D$7)/DW61))</f>
        <v>0</v>
      </c>
      <c r="DY61" s="377">
        <f t="shared" si="115"/>
        <v>2.608087155779874E-2</v>
      </c>
      <c r="DZ61" s="259">
        <f t="shared" si="36"/>
        <v>4.5</v>
      </c>
      <c r="EA61" s="260">
        <f t="shared" si="37"/>
        <v>37584</v>
      </c>
      <c r="EB61" s="260">
        <f t="shared" si="79"/>
        <v>16328.63521121214</v>
      </c>
      <c r="EC61" s="260">
        <f t="shared" si="75"/>
        <v>5004.1166765130447</v>
      </c>
      <c r="ED61" s="320">
        <f t="shared" si="76"/>
        <v>3.2630404658330661</v>
      </c>
      <c r="EE61" s="260">
        <f t="shared" si="63"/>
        <v>13052.161863332265</v>
      </c>
      <c r="EF61" s="260">
        <f>EE61*'Base Data'!$D$13</f>
        <v>9789.1213974991988</v>
      </c>
      <c r="EG61" s="365">
        <f>IF(INT(('Base Data'!$D$7)/EF61)=0,0,INT(('Base Data'!$D$7)/EF61))</f>
        <v>1</v>
      </c>
      <c r="EH61" s="315">
        <f t="shared" si="64"/>
        <v>3.8366143043304719E-2</v>
      </c>
      <c r="EI61" s="262">
        <f t="shared" si="38"/>
        <v>27</v>
      </c>
      <c r="EJ61" s="260">
        <f t="shared" si="39"/>
        <v>88776</v>
      </c>
      <c r="EK61" s="260">
        <f t="shared" si="80"/>
        <v>100997.86835344112</v>
      </c>
      <c r="EL61" s="260">
        <f t="shared" si="77"/>
        <v>3377.5019114865308</v>
      </c>
      <c r="EM61" s="320">
        <f t="shared" si="78"/>
        <v>29.903126926429838</v>
      </c>
      <c r="EN61" s="260">
        <f t="shared" si="65"/>
        <v>17941.876155857903</v>
      </c>
      <c r="EO61" s="260">
        <f>EN61*'Base Data'!$D$13</f>
        <v>13456.407116893428</v>
      </c>
      <c r="EP61" s="365">
        <f>IF(INT(('Base Data'!$D$7)/EO61)=0,0,INT(('Base Data'!$D$7)/EO61))</f>
        <v>0</v>
      </c>
      <c r="EQ61" s="315">
        <f t="shared" si="66"/>
        <v>2.6950679939101291E-2</v>
      </c>
      <c r="ER61" s="398">
        <f t="shared" si="116"/>
        <v>-0.19351103237552919</v>
      </c>
      <c r="ES61" s="308">
        <f t="shared" si="67"/>
        <v>-0.25730092596905274</v>
      </c>
      <c r="ET61" s="406">
        <f t="shared" si="117"/>
        <v>-0.72316544619982182</v>
      </c>
      <c r="EU61" s="446">
        <f t="shared" si="68"/>
        <v>-0.76894132364722267</v>
      </c>
      <c r="EV61" s="262">
        <f t="shared" si="8"/>
        <v>4.5</v>
      </c>
      <c r="EW61" s="258">
        <f t="shared" si="9"/>
        <v>5.4151624548736468E-2</v>
      </c>
      <c r="EX61" s="389">
        <f t="shared" si="69"/>
        <v>2.8776764745916318E-2</v>
      </c>
      <c r="EY61" s="389">
        <f t="shared" si="103"/>
        <v>2.5679924863064838E-2</v>
      </c>
      <c r="EZ61" s="315">
        <f t="shared" si="118"/>
        <v>2.4656395908733395E-2</v>
      </c>
      <c r="FA61" s="443">
        <f t="shared" si="10"/>
        <v>27</v>
      </c>
      <c r="FB61" s="258">
        <f t="shared" si="11"/>
        <v>2.4571142558128953E-2</v>
      </c>
      <c r="FC61" s="389">
        <f t="shared" si="70"/>
        <v>2.084075129205356E-2</v>
      </c>
      <c r="FD61" s="389">
        <f t="shared" si="104"/>
        <v>2.3048824950568418E-2</v>
      </c>
      <c r="FE61" s="315">
        <f t="shared" si="119"/>
        <v>2.2233606442671056E-2</v>
      </c>
      <c r="FF61" s="418">
        <f t="shared" si="49"/>
        <v>1</v>
      </c>
      <c r="FG61" s="419">
        <f t="shared" si="50"/>
        <v>1</v>
      </c>
      <c r="FH61" s="420">
        <f t="shared" si="111"/>
        <v>40.81632653061228</v>
      </c>
      <c r="FI61" s="421" t="str">
        <f t="shared" si="120"/>
        <v>T-D</v>
      </c>
      <c r="FJ61" s="420">
        <f t="shared" si="112"/>
        <v>10.052447552447545</v>
      </c>
      <c r="FK61" s="421" t="str">
        <f t="shared" si="121"/>
        <v>C-D</v>
      </c>
      <c r="FL61" s="420">
        <f t="shared" si="71"/>
        <v>22.695035460993036</v>
      </c>
      <c r="FM61" s="421" t="str">
        <f t="shared" si="72"/>
        <v>C-D</v>
      </c>
      <c r="FN61" s="420">
        <f t="shared" si="73"/>
        <v>50.064683053040191</v>
      </c>
      <c r="FO61" s="421" t="str">
        <f t="shared" si="74"/>
        <v>T-R</v>
      </c>
      <c r="FP61" s="2"/>
      <c r="FQ61" s="259">
        <f t="shared" si="51"/>
        <v>84.529996599886147</v>
      </c>
      <c r="FR61" s="260">
        <f t="shared" si="12"/>
        <v>86.4</v>
      </c>
      <c r="FS61" s="260">
        <f t="shared" si="13"/>
        <v>81.900000000000006</v>
      </c>
      <c r="FT61" s="261">
        <f t="shared" si="14"/>
        <v>84.112499999999997</v>
      </c>
      <c r="FU61" s="259">
        <f t="shared" si="52"/>
        <v>1110.2470772742881</v>
      </c>
      <c r="FV61" s="260">
        <f t="shared" si="15"/>
        <v>1117.1500000000001</v>
      </c>
      <c r="FW61" s="260">
        <f t="shared" si="16"/>
        <v>1090.1500000000001</v>
      </c>
      <c r="FX61" s="261">
        <f t="shared" si="17"/>
        <v>1103.925</v>
      </c>
    </row>
    <row r="62" spans="1:180" ht="12.45" x14ac:dyDescent="0.3">
      <c r="A62" s="59" t="s">
        <v>268</v>
      </c>
      <c r="E62" s="22"/>
      <c r="F62" s="22"/>
      <c r="G62" s="23"/>
      <c r="H62" s="23"/>
      <c r="I62" s="23"/>
      <c r="J62" s="23"/>
      <c r="L62" s="283">
        <f t="shared" si="40"/>
        <v>59</v>
      </c>
      <c r="M62" s="290">
        <f>'[6]ASHOKLEY-I'!C78</f>
        <v>42881</v>
      </c>
      <c r="N62" s="7">
        <f>'[6]ASHOKLEY-I'!D78</f>
        <v>88.35</v>
      </c>
      <c r="O62" s="7">
        <f>'[6]ASHOKLEY-I'!E78</f>
        <v>93.8</v>
      </c>
      <c r="P62" s="7">
        <f>'[6]ASHOKLEY-I'!F78</f>
        <v>88.05</v>
      </c>
      <c r="Q62" s="7">
        <f>'[6]ASHOKLEY-I'!G78</f>
        <v>92.15</v>
      </c>
      <c r="R62" s="11">
        <f>'[6]ASHOKLEY-I'!H78</f>
        <v>13481</v>
      </c>
      <c r="S62" s="291">
        <f>'[7]ASIANPAINT-I'!C78</f>
        <v>42881</v>
      </c>
      <c r="T62" s="9">
        <f>'[7]ASIANPAINT-I'!D78</f>
        <v>1123.45</v>
      </c>
      <c r="U62" s="9">
        <f>'[7]ASIANPAINT-I'!E78</f>
        <v>1149.95</v>
      </c>
      <c r="V62" s="9">
        <f>'[7]ASIANPAINT-I'!F78</f>
        <v>1123.45</v>
      </c>
      <c r="W62" s="9">
        <f>'[7]ASIANPAINT-I'!G78</f>
        <v>1131.8</v>
      </c>
      <c r="X62" s="12">
        <f>'[7]ASIANPAINT-I'!H78</f>
        <v>2662</v>
      </c>
      <c r="Y62" s="115"/>
      <c r="Z62" s="122">
        <f t="shared" si="18"/>
        <v>8.3480305702528027E-2</v>
      </c>
      <c r="AA62" s="19">
        <f t="shared" si="19"/>
        <v>2.0053174710468209E-2</v>
      </c>
      <c r="AB62" s="305">
        <f>IF(OR(SUM(Z42:Z62)=0,SUM('BNF-Nifty'!AA42:AA62)=0),0,(_xlfn.COVARIANCE.P(Z42:Z62,'BNF-Nifty'!AA42:AA62)/_xlfn.VAR.P('BNF-Nifty'!AA42:AA62)))</f>
        <v>2.8918347562181124</v>
      </c>
      <c r="AC62" s="306">
        <f>IF(OR(SUM(AA42:AA62)=0,SUM('BNF-Nifty'!AA42:AA62)=0),0,(_xlfn.COVARIANCE.P(AA42:AA62,'BNF-Nifty'!AA42:AA62)/_xlfn.VAR.P('BNF-Nifty'!AA42:AA62)))</f>
        <v>0.92659824776516186</v>
      </c>
      <c r="AD62" s="466">
        <f t="shared" si="20"/>
        <v>8.0178365273961549E-2</v>
      </c>
      <c r="AE62" s="17">
        <f t="shared" si="41"/>
        <v>1.6318789011847756E-2</v>
      </c>
      <c r="AF62" s="17">
        <f t="shared" si="42"/>
        <v>2.5219812009701796E-2</v>
      </c>
      <c r="AG62" s="314">
        <f t="shared" si="43"/>
        <v>0.48182383191236511</v>
      </c>
      <c r="AH62" s="467">
        <f t="shared" si="21"/>
        <v>1.9854758006437087E-2</v>
      </c>
      <c r="AI62" s="18">
        <f t="shared" si="149"/>
        <v>1.372652330063511E-2</v>
      </c>
      <c r="AJ62" s="18">
        <f t="shared" si="150"/>
        <v>1.4169159478852531E-2</v>
      </c>
      <c r="AK62" s="385">
        <f t="shared" si="151"/>
        <v>0.27070141174929646</v>
      </c>
      <c r="AL62" s="10">
        <f t="shared" si="23"/>
        <v>6.3260021069963784E-2</v>
      </c>
      <c r="AM62" s="17">
        <f t="shared" si="45"/>
        <v>2.7810910977716027E-2</v>
      </c>
      <c r="AN62" s="17">
        <f t="shared" si="46"/>
        <v>3.1099031804738789E-2</v>
      </c>
      <c r="AO62" s="314">
        <f t="shared" si="47"/>
        <v>0.59414616838378786</v>
      </c>
      <c r="AP62" s="448">
        <f t="shared" si="24"/>
        <v>2.3314155298979594E-2</v>
      </c>
      <c r="AQ62" s="18">
        <f t="shared" si="152"/>
        <v>2.2153310824851422E-2</v>
      </c>
      <c r="AR62" s="18">
        <f t="shared" si="153"/>
        <v>2.2224671424131936E-2</v>
      </c>
      <c r="AS62" s="385">
        <f t="shared" si="154"/>
        <v>0.42460175137106854</v>
      </c>
      <c r="AT62" s="6">
        <f t="shared" si="0"/>
        <v>1191046.3499999999</v>
      </c>
      <c r="AU62" s="319">
        <f t="shared" si="165"/>
        <v>86.511405852355253</v>
      </c>
      <c r="AV62" s="140">
        <f t="shared" si="1"/>
        <v>2990623.9</v>
      </c>
      <c r="AW62" s="481">
        <f t="shared" si="166"/>
        <v>1097.4839771478801</v>
      </c>
      <c r="AX62" s="135">
        <f t="shared" si="97"/>
        <v>490576.79924814746</v>
      </c>
      <c r="AY62" s="21">
        <f t="shared" si="98"/>
        <v>5695.3672515631806</v>
      </c>
      <c r="AZ62" s="319">
        <f t="shared" si="99"/>
        <v>86.136113367140837</v>
      </c>
      <c r="BA62" s="21">
        <f t="shared" si="2"/>
        <v>91.333333333333329</v>
      </c>
      <c r="BB62" s="21">
        <f t="shared" si="3"/>
        <v>1231264.6666666665</v>
      </c>
      <c r="BC62" s="21">
        <f t="shared" si="61"/>
        <v>733765.21871558495</v>
      </c>
      <c r="BD62" s="21">
        <f t="shared" si="57"/>
        <v>8318.374618322101</v>
      </c>
      <c r="BE62" s="332">
        <f t="shared" si="58"/>
        <v>88.210167536743214</v>
      </c>
      <c r="BF62" s="141">
        <f t="shared" si="100"/>
        <v>3715218.749846613</v>
      </c>
      <c r="BG62" s="118">
        <f t="shared" si="101"/>
        <v>3293.8364102053474</v>
      </c>
      <c r="BH62" s="329">
        <f t="shared" si="102"/>
        <v>1127.9305609518706</v>
      </c>
      <c r="BI62" s="118">
        <f t="shared" si="4"/>
        <v>1135.0666666666666</v>
      </c>
      <c r="BJ62" s="118">
        <f t="shared" si="5"/>
        <v>3021547.4666666663</v>
      </c>
      <c r="BK62" s="118">
        <f t="shared" si="62"/>
        <v>3491497.1800076868</v>
      </c>
      <c r="BL62" s="118">
        <f t="shared" si="59"/>
        <v>3119.2501758602612</v>
      </c>
      <c r="BM62" s="325">
        <f t="shared" si="60"/>
        <v>1119.3386176678705</v>
      </c>
      <c r="BN62" s="6">
        <f t="shared" si="6"/>
        <v>1242274.1500000001</v>
      </c>
      <c r="BO62" s="331">
        <f t="shared" si="87"/>
        <v>85.94171618257262</v>
      </c>
      <c r="BP62" s="319">
        <f t="shared" si="55"/>
        <v>87.326584395996164</v>
      </c>
      <c r="BQ62" s="331">
        <f t="shared" si="139"/>
        <v>85.54094348229593</v>
      </c>
      <c r="BR62" s="332">
        <f t="shared" si="88"/>
        <v>86.95586721991701</v>
      </c>
      <c r="BS62" s="140">
        <f t="shared" si="7"/>
        <v>3012851.6</v>
      </c>
      <c r="BT62" s="339">
        <f t="shared" si="89"/>
        <v>1142.4472501886385</v>
      </c>
      <c r="BU62" s="329">
        <f t="shared" si="56"/>
        <v>1109.3242764486326</v>
      </c>
      <c r="BV62" s="339">
        <f t="shared" si="140"/>
        <v>1116.541246730771</v>
      </c>
      <c r="BW62" s="325">
        <f t="shared" si="90"/>
        <v>1137.4281448744207</v>
      </c>
      <c r="BX62" s="21">
        <f t="shared" si="91"/>
        <v>511842.41224208777</v>
      </c>
      <c r="BY62" s="21">
        <f t="shared" si="92"/>
        <v>5867.8942405793405</v>
      </c>
      <c r="BZ62" s="21">
        <f t="shared" si="93"/>
        <v>87.227613732784874</v>
      </c>
      <c r="CA62" s="21">
        <f t="shared" si="129"/>
        <v>396627.93108465732</v>
      </c>
      <c r="CB62" s="21">
        <f t="shared" si="130"/>
        <v>4576.1687118464188</v>
      </c>
      <c r="CC62" s="21">
        <f t="shared" si="135"/>
        <v>86.672488725754079</v>
      </c>
      <c r="CD62" s="342">
        <f t="shared" si="131"/>
        <v>0.55512500703079581</v>
      </c>
      <c r="CE62" s="342">
        <f t="shared" si="163"/>
        <v>-6.9817053156295356E-2</v>
      </c>
      <c r="CF62" s="343">
        <f t="shared" si="156"/>
        <v>0.6249420601870912</v>
      </c>
      <c r="CG62" s="141">
        <f t="shared" si="94"/>
        <v>3704608.6294662836</v>
      </c>
      <c r="CH62" s="118">
        <f t="shared" si="95"/>
        <v>3286.4097847529865</v>
      </c>
      <c r="CI62" s="118">
        <f t="shared" si="96"/>
        <v>1127.2509735862809</v>
      </c>
      <c r="CJ62" s="118">
        <f t="shared" si="132"/>
        <v>3650290.2893104325</v>
      </c>
      <c r="CK62" s="118">
        <f t="shared" si="133"/>
        <v>3250.6696518895865</v>
      </c>
      <c r="CL62" s="118">
        <f t="shared" si="136"/>
        <v>1122.9348658017434</v>
      </c>
      <c r="CM62" s="350">
        <f t="shared" si="134"/>
        <v>4.3161077845375075</v>
      </c>
      <c r="CN62" s="350">
        <f t="shared" si="164"/>
        <v>10.76696529722536</v>
      </c>
      <c r="CO62" s="351">
        <f t="shared" si="158"/>
        <v>-6.4508575126878522</v>
      </c>
      <c r="CP62" s="20">
        <f t="shared" si="26"/>
        <v>6.8833333333333258</v>
      </c>
      <c r="CQ62" s="21">
        <f t="shared" si="27"/>
        <v>1231264.6666666665</v>
      </c>
      <c r="CR62" s="21">
        <f t="shared" si="28"/>
        <v>0</v>
      </c>
      <c r="CS62" s="21">
        <f t="shared" si="159"/>
        <v>320399.71558333281</v>
      </c>
      <c r="CT62" s="21">
        <f t="shared" si="159"/>
        <v>162451.21673127037</v>
      </c>
      <c r="CU62" s="21">
        <f t="shared" si="105"/>
        <v>1.9722826460163951</v>
      </c>
      <c r="CV62" s="342">
        <f t="shared" si="106"/>
        <v>66.355824156217068</v>
      </c>
      <c r="CW62" s="342">
        <f t="shared" si="161"/>
        <v>47.075571390451479</v>
      </c>
      <c r="CX62" s="355">
        <f t="shared" si="146"/>
        <v>50.236065423370306</v>
      </c>
      <c r="CY62" s="141">
        <f t="shared" si="29"/>
        <v>29.449999999999818</v>
      </c>
      <c r="CZ62" s="118">
        <f t="shared" si="30"/>
        <v>3021547.4666666663</v>
      </c>
      <c r="DA62" s="118">
        <f t="shared" si="31"/>
        <v>0</v>
      </c>
      <c r="DB62" s="118">
        <f t="shared" si="160"/>
        <v>1699598.9148241868</v>
      </c>
      <c r="DC62" s="118">
        <f t="shared" si="160"/>
        <v>2019958.4635888294</v>
      </c>
      <c r="DD62" s="118">
        <f t="shared" si="107"/>
        <v>0.84140290281243479</v>
      </c>
      <c r="DE62" s="350">
        <f t="shared" si="108"/>
        <v>45.693579690101103</v>
      </c>
      <c r="DF62" s="350">
        <f t="shared" si="162"/>
        <v>57.257987173354017</v>
      </c>
      <c r="DG62" s="351">
        <f t="shared" si="147"/>
        <v>59.796391121712304</v>
      </c>
      <c r="DH62" s="135">
        <f t="shared" si="32"/>
        <v>8.75</v>
      </c>
      <c r="DI62" s="20">
        <f t="shared" si="33"/>
        <v>117958.75</v>
      </c>
      <c r="DJ62" s="21">
        <f t="shared" si="127"/>
        <v>20446.865730131278</v>
      </c>
      <c r="DK62" s="21">
        <f t="shared" si="122"/>
        <v>4845.0621258536548</v>
      </c>
      <c r="DL62" s="319">
        <f t="shared" si="123"/>
        <v>4.2201452115598475</v>
      </c>
      <c r="DM62" s="21">
        <f t="shared" si="124"/>
        <v>16880.580846239391</v>
      </c>
      <c r="DN62" s="21">
        <f>DM62*'Base Data'!$D$10</f>
        <v>33761.161692478781</v>
      </c>
      <c r="DO62" s="363">
        <f>IF(INT(('Base Data'!$D$7)/DN62)=0,0,INT(('Base Data'!$D$7)/DN62))</f>
        <v>0</v>
      </c>
      <c r="DP62" s="364">
        <f t="shared" si="113"/>
        <v>4.5796475437437298E-2</v>
      </c>
      <c r="DQ62" s="141">
        <f t="shared" si="34"/>
        <v>40.400000000000091</v>
      </c>
      <c r="DR62" s="143">
        <f t="shared" si="35"/>
        <v>107544.80000000024</v>
      </c>
      <c r="DS62" s="118">
        <f t="shared" si="128"/>
        <v>97616.988856074124</v>
      </c>
      <c r="DT62" s="118">
        <f t="shared" si="125"/>
        <v>3277.4583815290316</v>
      </c>
      <c r="DU62" s="329">
        <f t="shared" si="126"/>
        <v>29.7843565020444</v>
      </c>
      <c r="DV62" s="118">
        <f t="shared" si="114"/>
        <v>17870.613901226639</v>
      </c>
      <c r="DW62" s="118">
        <f>DV62*'Base Data'!$D$10</f>
        <v>35741.227802453279</v>
      </c>
      <c r="DX62" s="375">
        <f>IF(INT(('Base Data'!$D$7)/DW62)=0,0,INT(('Base Data'!$D$7)/DW62))</f>
        <v>0</v>
      </c>
      <c r="DY62" s="376">
        <f t="shared" si="115"/>
        <v>2.6315918450295458E-2</v>
      </c>
      <c r="DZ62" s="135">
        <f t="shared" si="36"/>
        <v>8.75</v>
      </c>
      <c r="EA62" s="21">
        <f t="shared" si="37"/>
        <v>117958.75</v>
      </c>
      <c r="EB62" s="21">
        <f t="shared" si="79"/>
        <v>38913.105164276109</v>
      </c>
      <c r="EC62" s="21">
        <f t="shared" si="75"/>
        <v>6887.8685261768123</v>
      </c>
      <c r="ED62" s="319">
        <f t="shared" si="76"/>
        <v>5.6495133460213207</v>
      </c>
      <c r="EE62" s="21">
        <f t="shared" si="63"/>
        <v>22598.053384085284</v>
      </c>
      <c r="EF62" s="21">
        <f>EE62*'Base Data'!$D$13</f>
        <v>16948.540038063962</v>
      </c>
      <c r="EG62" s="363">
        <f>IF(INT(('Base Data'!$D$7)/EF62)=0,0,INT(('Base Data'!$D$7)/EF62))</f>
        <v>0</v>
      </c>
      <c r="EH62" s="314">
        <f t="shared" si="64"/>
        <v>6.1307795399037662E-2</v>
      </c>
      <c r="EI62" s="143">
        <f t="shared" si="38"/>
        <v>40.400000000000091</v>
      </c>
      <c r="EJ62" s="118">
        <f t="shared" si="39"/>
        <v>107544.80000000024</v>
      </c>
      <c r="EK62" s="118">
        <f t="shared" si="80"/>
        <v>102452.74205267648</v>
      </c>
      <c r="EL62" s="118">
        <f t="shared" si="77"/>
        <v>3218.5014867117461</v>
      </c>
      <c r="EM62" s="329">
        <f t="shared" si="78"/>
        <v>31.832435832536962</v>
      </c>
      <c r="EN62" s="118">
        <f t="shared" si="65"/>
        <v>19099.461499522178</v>
      </c>
      <c r="EO62" s="118">
        <f>EN62*'Base Data'!$D$13</f>
        <v>14324.596124641634</v>
      </c>
      <c r="EP62" s="375">
        <f>IF(INT(('Base Data'!$D$7)/EO62)=0,0,INT(('Base Data'!$D$7)/EO62))</f>
        <v>0</v>
      </c>
      <c r="EQ62" s="385">
        <f t="shared" si="66"/>
        <v>2.8125495522651495E-2</v>
      </c>
      <c r="ER62" s="397">
        <f t="shared" si="116"/>
        <v>1.5870589071847299</v>
      </c>
      <c r="ES62" s="403">
        <f t="shared" si="67"/>
        <v>1.1446413647683176</v>
      </c>
      <c r="ET62" s="405">
        <f t="shared" si="117"/>
        <v>-1.0525393203333379E-2</v>
      </c>
      <c r="EU62" s="410">
        <f t="shared" si="68"/>
        <v>0.14673188561206926</v>
      </c>
      <c r="EV62" s="20">
        <f t="shared" si="8"/>
        <v>5.75</v>
      </c>
      <c r="EW62" s="17">
        <f t="shared" si="9"/>
        <v>6.5082059988681384E-2</v>
      </c>
      <c r="EX62" s="388">
        <f t="shared" si="69"/>
        <v>3.5027964273487006E-2</v>
      </c>
      <c r="EY62" s="388">
        <f t="shared" si="103"/>
        <v>2.9032965068853188E-2</v>
      </c>
      <c r="EZ62" s="314">
        <f t="shared" si="118"/>
        <v>2.6970016946170468E-2</v>
      </c>
      <c r="FA62" s="442">
        <f t="shared" si="10"/>
        <v>26.5</v>
      </c>
      <c r="FB62" s="18">
        <f t="shared" si="11"/>
        <v>2.3588054653077572E-2</v>
      </c>
      <c r="FC62" s="394">
        <f t="shared" si="70"/>
        <v>2.2249713828799544E-2</v>
      </c>
      <c r="FD62" s="394">
        <f t="shared" si="104"/>
        <v>2.2969954232144058E-2</v>
      </c>
      <c r="FE62" s="385">
        <f t="shared" si="119"/>
        <v>2.1969841565826379E-2</v>
      </c>
      <c r="FF62" s="416">
        <f t="shared" si="49"/>
        <v>2</v>
      </c>
      <c r="FG62" s="417">
        <f t="shared" si="50"/>
        <v>2</v>
      </c>
      <c r="FH62" s="415">
        <f t="shared" si="111"/>
        <v>35.222672064777413</v>
      </c>
      <c r="FI62" s="413" t="str">
        <f t="shared" si="120"/>
        <v>T-D</v>
      </c>
      <c r="FJ62" s="404">
        <f t="shared" si="112"/>
        <v>24.568327577700924</v>
      </c>
      <c r="FK62" s="414" t="str">
        <f t="shared" si="121"/>
        <v>C-R</v>
      </c>
      <c r="FL62" s="415">
        <f t="shared" si="71"/>
        <v>42.105263157894782</v>
      </c>
      <c r="FM62" s="413" t="str">
        <f t="shared" si="72"/>
        <v>T-R</v>
      </c>
      <c r="FN62" s="404">
        <f t="shared" si="73"/>
        <v>17.9818887451489</v>
      </c>
      <c r="FO62" s="414" t="str">
        <f t="shared" si="74"/>
        <v>C-D</v>
      </c>
      <c r="FQ62" s="135">
        <f t="shared" si="51"/>
        <v>84.321248299943079</v>
      </c>
      <c r="FR62" s="21">
        <f t="shared" si="12"/>
        <v>93.8</v>
      </c>
      <c r="FS62" s="21">
        <f t="shared" si="13"/>
        <v>84.321248299943079</v>
      </c>
      <c r="FT62" s="182">
        <f t="shared" si="14"/>
        <v>90.587500000000006</v>
      </c>
      <c r="FU62" s="141">
        <f t="shared" si="52"/>
        <v>1107.0860386371442</v>
      </c>
      <c r="FV62" s="118">
        <f t="shared" si="15"/>
        <v>1149.95</v>
      </c>
      <c r="FW62" s="118">
        <f t="shared" si="16"/>
        <v>1107.0860386371442</v>
      </c>
      <c r="FX62" s="181">
        <f t="shared" si="17"/>
        <v>1132.1625000000001</v>
      </c>
    </row>
    <row r="63" spans="1:180" ht="12.45" x14ac:dyDescent="0.3">
      <c r="A63" s="1" t="s">
        <v>269</v>
      </c>
      <c r="E63" s="22"/>
      <c r="F63" s="22"/>
      <c r="G63" s="23"/>
      <c r="H63" s="23"/>
      <c r="I63" s="23"/>
      <c r="J63" s="23"/>
      <c r="L63" s="283">
        <f t="shared" si="40"/>
        <v>60</v>
      </c>
      <c r="M63" s="290">
        <f>'[6]ASHOKLEY-I'!C79</f>
        <v>42884</v>
      </c>
      <c r="N63" s="7">
        <f>'[6]ASHOKLEY-I'!D79</f>
        <v>92.5</v>
      </c>
      <c r="O63" s="7">
        <f>'[6]ASHOKLEY-I'!E79</f>
        <v>94.35</v>
      </c>
      <c r="P63" s="7">
        <f>'[6]ASHOKLEY-I'!F79</f>
        <v>91.2</v>
      </c>
      <c r="Q63" s="7">
        <f>'[6]ASHOKLEY-I'!G79</f>
        <v>92</v>
      </c>
      <c r="R63" s="11">
        <f>'[6]ASHOKLEY-I'!H79</f>
        <v>4778</v>
      </c>
      <c r="S63" s="291">
        <f>'[7]ASIANPAINT-I'!C79</f>
        <v>42884</v>
      </c>
      <c r="T63" s="9">
        <f>'[7]ASIANPAINT-I'!D79</f>
        <v>1131</v>
      </c>
      <c r="U63" s="9">
        <f>'[7]ASIANPAINT-I'!E79</f>
        <v>1150</v>
      </c>
      <c r="V63" s="9">
        <f>'[7]ASIANPAINT-I'!F79</f>
        <v>1128.7</v>
      </c>
      <c r="W63" s="9">
        <f>'[7]ASIANPAINT-I'!G79</f>
        <v>1145.5999999999999</v>
      </c>
      <c r="X63" s="12">
        <f>'[7]ASIANPAINT-I'!H79</f>
        <v>2355</v>
      </c>
      <c r="Y63" s="115"/>
      <c r="Z63" s="122">
        <f t="shared" si="18"/>
        <v>-1.6277807921867137E-3</v>
      </c>
      <c r="AA63" s="19">
        <f t="shared" si="19"/>
        <v>1.2192966955292414E-2</v>
      </c>
      <c r="AB63" s="305">
        <f>IF(OR(SUM(Z43:Z63)=0,SUM('BNF-Nifty'!AA43:AA63)=0),0,(_xlfn.COVARIANCE.P(Z43:Z63,'BNF-Nifty'!AA43:AA63)/_xlfn.VAR.P('BNF-Nifty'!AA43:AA63)))</f>
        <v>2.9688026215658279</v>
      </c>
      <c r="AC63" s="306">
        <f>IF(OR(SUM(AA43:AA63)=0,SUM('BNF-Nifty'!AA43:AA63)=0),0,(_xlfn.COVARIANCE.P(AA43:AA63,'BNF-Nifty'!AA43:AA63)/_xlfn.VAR.P('BNF-Nifty'!AA43:AA63)))</f>
        <v>0.93424976541725957</v>
      </c>
      <c r="AD63" s="466">
        <f t="shared" si="20"/>
        <v>-1.6291070667920553E-3</v>
      </c>
      <c r="AE63" s="17">
        <f t="shared" si="41"/>
        <v>2.5219812009701796E-2</v>
      </c>
      <c r="AF63" s="17">
        <f t="shared" si="42"/>
        <v>2.4454770948150819E-2</v>
      </c>
      <c r="AG63" s="314">
        <f t="shared" si="43"/>
        <v>0.46720774295400996</v>
      </c>
      <c r="AH63" s="467">
        <f t="shared" si="21"/>
        <v>1.2119231497957739E-2</v>
      </c>
      <c r="AI63" s="18">
        <f t="shared" si="149"/>
        <v>1.4169159478852531E-2</v>
      </c>
      <c r="AJ63" s="18">
        <f t="shared" si="150"/>
        <v>1.4054597889765206E-2</v>
      </c>
      <c r="AK63" s="385">
        <f t="shared" si="151"/>
        <v>0.2685127156629501</v>
      </c>
      <c r="AL63" s="10">
        <f t="shared" si="23"/>
        <v>3.3956374734273397E-2</v>
      </c>
      <c r="AM63" s="17">
        <f t="shared" si="45"/>
        <v>3.1099031804738789E-2</v>
      </c>
      <c r="AN63" s="17">
        <f t="shared" si="46"/>
        <v>3.1277834252810562E-2</v>
      </c>
      <c r="AO63" s="314">
        <f t="shared" si="47"/>
        <v>0.59756218435774167</v>
      </c>
      <c r="AP63" s="448">
        <f t="shared" si="24"/>
        <v>1.8695414395715104E-2</v>
      </c>
      <c r="AQ63" s="18">
        <f t="shared" si="152"/>
        <v>2.2224671424131936E-2</v>
      </c>
      <c r="AR63" s="18">
        <f t="shared" si="153"/>
        <v>2.2028866740748144E-2</v>
      </c>
      <c r="AS63" s="385">
        <f t="shared" si="154"/>
        <v>0.42086090814757138</v>
      </c>
      <c r="AT63" s="6">
        <f t="shared" si="0"/>
        <v>441965</v>
      </c>
      <c r="AU63" s="319">
        <f t="shared" si="165"/>
        <v>86.613690673262298</v>
      </c>
      <c r="AV63" s="140">
        <f t="shared" si="1"/>
        <v>2663505</v>
      </c>
      <c r="AW63" s="481">
        <f t="shared" si="166"/>
        <v>1099.0334033824304</v>
      </c>
      <c r="AX63" s="135">
        <f t="shared" si="97"/>
        <v>483632.25649841211</v>
      </c>
      <c r="AY63" s="21">
        <f t="shared" si="98"/>
        <v>5564.3147870541552</v>
      </c>
      <c r="AZ63" s="319">
        <f t="shared" si="99"/>
        <v>86.916767833412862</v>
      </c>
      <c r="BA63" s="21">
        <f t="shared" si="2"/>
        <v>92.516666666666666</v>
      </c>
      <c r="BB63" s="21">
        <f t="shared" si="3"/>
        <v>442044.6333333333</v>
      </c>
      <c r="BC63" s="21">
        <f t="shared" si="61"/>
        <v>636525.02358816774</v>
      </c>
      <c r="BD63" s="21">
        <f t="shared" si="57"/>
        <v>7138.2497455480679</v>
      </c>
      <c r="BE63" s="332">
        <f t="shared" si="58"/>
        <v>89.171021787960143</v>
      </c>
      <c r="BF63" s="141">
        <f t="shared" si="100"/>
        <v>3564973.9284399538</v>
      </c>
      <c r="BG63" s="118">
        <f t="shared" si="101"/>
        <v>3159.7169230331551</v>
      </c>
      <c r="BH63" s="329">
        <f t="shared" si="102"/>
        <v>1128.2573772519388</v>
      </c>
      <c r="BI63" s="118">
        <f t="shared" si="4"/>
        <v>1141.4333333333332</v>
      </c>
      <c r="BJ63" s="118">
        <f t="shared" si="5"/>
        <v>2688075.4999999995</v>
      </c>
      <c r="BK63" s="118">
        <f t="shared" si="62"/>
        <v>3223689.9533384577</v>
      </c>
      <c r="BL63" s="118">
        <f t="shared" si="59"/>
        <v>2864.5001172401739</v>
      </c>
      <c r="BM63" s="325">
        <f t="shared" si="60"/>
        <v>1125.3935491000602</v>
      </c>
      <c r="BN63" s="6">
        <f t="shared" si="6"/>
        <v>439576</v>
      </c>
      <c r="BO63" s="331">
        <f t="shared" si="87"/>
        <v>86.473947248463517</v>
      </c>
      <c r="BP63" s="319">
        <f t="shared" si="55"/>
        <v>88.095718277003201</v>
      </c>
      <c r="BQ63" s="331">
        <f t="shared" si="139"/>
        <v>85.802037274521382</v>
      </c>
      <c r="BR63" s="332">
        <f t="shared" si="88"/>
        <v>87.415666703343348</v>
      </c>
      <c r="BS63" s="140">
        <f t="shared" si="7"/>
        <v>2697888</v>
      </c>
      <c r="BT63" s="339">
        <f t="shared" si="89"/>
        <v>1140.2331642235702</v>
      </c>
      <c r="BU63" s="329">
        <f t="shared" si="56"/>
        <v>1113.7073153270419</v>
      </c>
      <c r="BV63" s="339">
        <f t="shared" si="140"/>
        <v>1117.5460233477324</v>
      </c>
      <c r="BW63" s="325">
        <f t="shared" si="90"/>
        <v>1136.2810140109239</v>
      </c>
      <c r="BX63" s="21">
        <f t="shared" si="91"/>
        <v>501104.29240997171</v>
      </c>
      <c r="BY63" s="21">
        <f t="shared" si="92"/>
        <v>5700.218203567134</v>
      </c>
      <c r="BZ63" s="21">
        <f t="shared" si="93"/>
        <v>87.909668457320834</v>
      </c>
      <c r="CA63" s="21">
        <f t="shared" si="129"/>
        <v>399992.13125122589</v>
      </c>
      <c r="CB63" s="21">
        <f t="shared" si="130"/>
        <v>4591.1191776355727</v>
      </c>
      <c r="CC63" s="21">
        <f t="shared" si="135"/>
        <v>87.123012009725684</v>
      </c>
      <c r="CD63" s="342">
        <f t="shared" si="131"/>
        <v>0.78665644759514919</v>
      </c>
      <c r="CE63" s="342">
        <f t="shared" si="163"/>
        <v>0.10147764699399356</v>
      </c>
      <c r="CF63" s="343">
        <f t="shared" si="156"/>
        <v>0.68517880060115566</v>
      </c>
      <c r="CG63" s="141">
        <f t="shared" si="94"/>
        <v>3548218.9172407016</v>
      </c>
      <c r="CH63" s="118">
        <f t="shared" si="95"/>
        <v>3143.1159717140654</v>
      </c>
      <c r="CI63" s="118">
        <f t="shared" si="96"/>
        <v>1128.8857774171527</v>
      </c>
      <c r="CJ63" s="118">
        <f t="shared" si="132"/>
        <v>3579015.1197318821</v>
      </c>
      <c r="CK63" s="118">
        <f t="shared" si="133"/>
        <v>3184.3237517496173</v>
      </c>
      <c r="CL63" s="118">
        <f t="shared" si="136"/>
        <v>1123.9482536175547</v>
      </c>
      <c r="CM63" s="350">
        <f t="shared" si="134"/>
        <v>4.9375237995980115</v>
      </c>
      <c r="CN63" s="350">
        <f t="shared" si="164"/>
        <v>9.6010769976998898</v>
      </c>
      <c r="CO63" s="351">
        <f t="shared" si="158"/>
        <v>-4.6635531981018783</v>
      </c>
      <c r="CP63" s="20">
        <f t="shared" si="26"/>
        <v>1.1833333333333371</v>
      </c>
      <c r="CQ63" s="21">
        <f t="shared" si="27"/>
        <v>442044.6333333333</v>
      </c>
      <c r="CR63" s="21">
        <f t="shared" si="28"/>
        <v>0</v>
      </c>
      <c r="CS63" s="21">
        <f t="shared" si="159"/>
        <v>336619.03794999956</v>
      </c>
      <c r="CT63" s="21">
        <f t="shared" si="159"/>
        <v>140791.05450043431</v>
      </c>
      <c r="CU63" s="21">
        <f t="shared" si="105"/>
        <v>2.3909121154352966</v>
      </c>
      <c r="CV63" s="342">
        <f t="shared" si="106"/>
        <v>70.509409682190238</v>
      </c>
      <c r="CW63" s="342">
        <f t="shared" si="161"/>
        <v>47.979371474716565</v>
      </c>
      <c r="CX63" s="355">
        <f t="shared" si="146"/>
        <v>50.688279927511203</v>
      </c>
      <c r="CY63" s="141">
        <f t="shared" si="29"/>
        <v>6.3666666666665606</v>
      </c>
      <c r="CZ63" s="118">
        <f t="shared" si="30"/>
        <v>2688075.4999999995</v>
      </c>
      <c r="DA63" s="118">
        <f t="shared" si="31"/>
        <v>0</v>
      </c>
      <c r="DB63" s="118">
        <f t="shared" si="160"/>
        <v>1831395.7928476285</v>
      </c>
      <c r="DC63" s="118">
        <f t="shared" si="160"/>
        <v>1750630.6684436521</v>
      </c>
      <c r="DD63" s="118">
        <f t="shared" si="107"/>
        <v>1.046134873482925</v>
      </c>
      <c r="DE63" s="350">
        <f t="shared" si="108"/>
        <v>51.127366384318407</v>
      </c>
      <c r="DF63" s="350">
        <f t="shared" si="162"/>
        <v>57.246745774012815</v>
      </c>
      <c r="DG63" s="351">
        <f t="shared" si="147"/>
        <v>58.821712584710397</v>
      </c>
      <c r="DH63" s="135">
        <f t="shared" si="32"/>
        <v>3.1499999999999915</v>
      </c>
      <c r="DI63" s="20">
        <f t="shared" si="33"/>
        <v>15050.699999999959</v>
      </c>
      <c r="DJ63" s="21">
        <f t="shared" si="127"/>
        <v>19956.305209210248</v>
      </c>
      <c r="DK63" s="21">
        <f t="shared" si="122"/>
        <v>4838.9655689578676</v>
      </c>
      <c r="DL63" s="319">
        <f t="shared" si="123"/>
        <v>4.12408497742382</v>
      </c>
      <c r="DM63" s="21">
        <f t="shared" si="124"/>
        <v>16496.339909695278</v>
      </c>
      <c r="DN63" s="21">
        <f>DM63*'Base Data'!$D$10</f>
        <v>32992.679819390556</v>
      </c>
      <c r="DO63" s="363">
        <f>IF(INT(('Base Data'!$D$7)/DN63)=0,0,INT(('Base Data'!$D$7)/DN63))</f>
        <v>0</v>
      </c>
      <c r="DP63" s="364">
        <f t="shared" si="113"/>
        <v>4.4827010624171958E-2</v>
      </c>
      <c r="DQ63" s="141">
        <f t="shared" si="34"/>
        <v>21.299999999999955</v>
      </c>
      <c r="DR63" s="143">
        <f t="shared" si="35"/>
        <v>50161.499999999891</v>
      </c>
      <c r="DS63" s="118">
        <f t="shared" si="128"/>
        <v>93302.853505521925</v>
      </c>
      <c r="DT63" s="118">
        <f t="shared" si="125"/>
        <v>3193.5985286627561</v>
      </c>
      <c r="DU63" s="329">
        <f t="shared" si="126"/>
        <v>29.215586326246928</v>
      </c>
      <c r="DV63" s="118">
        <f t="shared" si="114"/>
        <v>17529.351795748156</v>
      </c>
      <c r="DW63" s="118">
        <f>DV63*'Base Data'!$D$10</f>
        <v>35058.703591496313</v>
      </c>
      <c r="DX63" s="375">
        <f>IF(INT(('Base Data'!$D$7)/DW63)=0,0,INT(('Base Data'!$D$7)/DW63))</f>
        <v>0</v>
      </c>
      <c r="DY63" s="376">
        <f t="shared" si="115"/>
        <v>2.5502432198190407E-2</v>
      </c>
      <c r="DZ63" s="135">
        <f t="shared" si="36"/>
        <v>3.1499999999999915</v>
      </c>
      <c r="EA63" s="21">
        <f t="shared" si="37"/>
        <v>15050.699999999959</v>
      </c>
      <c r="EB63" s="21">
        <f t="shared" si="79"/>
        <v>33610.348461103633</v>
      </c>
      <c r="EC63" s="21">
        <f t="shared" si="75"/>
        <v>6419.0088536930762</v>
      </c>
      <c r="ED63" s="319">
        <f t="shared" si="76"/>
        <v>5.2360651351596825</v>
      </c>
      <c r="EE63" s="21">
        <f t="shared" si="63"/>
        <v>20944.26054063873</v>
      </c>
      <c r="EF63" s="21">
        <f>EE63*'Base Data'!$D$13</f>
        <v>15708.195405479048</v>
      </c>
      <c r="EG63" s="363">
        <f>IF(INT(('Base Data'!$D$7)/EF63)=0,0,INT(('Base Data'!$D$7)/EF63))</f>
        <v>0</v>
      </c>
      <c r="EH63" s="314">
        <f t="shared" si="64"/>
        <v>5.6913751469126986E-2</v>
      </c>
      <c r="EI63" s="143">
        <f t="shared" si="38"/>
        <v>21.299999999999955</v>
      </c>
      <c r="EJ63" s="118">
        <f t="shared" si="39"/>
        <v>50161.499999999891</v>
      </c>
      <c r="EK63" s="118">
        <f t="shared" si="80"/>
        <v>90832.466040970568</v>
      </c>
      <c r="EL63" s="118">
        <f t="shared" si="77"/>
        <v>3026.6122674424691</v>
      </c>
      <c r="EM63" s="329">
        <f t="shared" si="78"/>
        <v>30.01126606736624</v>
      </c>
      <c r="EN63" s="118">
        <f t="shared" si="65"/>
        <v>18006.759640419743</v>
      </c>
      <c r="EO63" s="118">
        <f>EN63*'Base Data'!$D$13</f>
        <v>13505.069730314808</v>
      </c>
      <c r="EP63" s="375">
        <f>IF(INT(('Base Data'!$D$7)/EO63)=0,0,INT(('Base Data'!$D$7)/EO63))</f>
        <v>0</v>
      </c>
      <c r="EQ63" s="385">
        <f t="shared" si="66"/>
        <v>2.6196985044837851E-2</v>
      </c>
      <c r="ER63" s="397">
        <f t="shared" si="116"/>
        <v>1.5476256472597345</v>
      </c>
      <c r="ES63" s="403">
        <f t="shared" si="67"/>
        <v>1.0890016044766868</v>
      </c>
      <c r="ET63" s="405">
        <f t="shared" si="117"/>
        <v>0.38737748375403219</v>
      </c>
      <c r="EU63" s="410">
        <f t="shared" si="68"/>
        <v>0.65579539216444993</v>
      </c>
      <c r="EV63" s="20">
        <f t="shared" si="8"/>
        <v>3.1499999999999915</v>
      </c>
      <c r="EW63" s="17">
        <f t="shared" si="9"/>
        <v>3.4054054054053963E-2</v>
      </c>
      <c r="EX63" s="388">
        <f t="shared" si="69"/>
        <v>3.7915055516979622E-2</v>
      </c>
      <c r="EY63" s="388">
        <f t="shared" si="103"/>
        <v>3.0646977271100675E-2</v>
      </c>
      <c r="EZ63" s="314">
        <f t="shared" si="118"/>
        <v>2.7183912316404664E-2</v>
      </c>
      <c r="FA63" s="442">
        <f t="shared" si="10"/>
        <v>21.299999999999955</v>
      </c>
      <c r="FB63" s="18">
        <f t="shared" si="11"/>
        <v>1.8832891246684309E-2</v>
      </c>
      <c r="FC63" s="394">
        <f t="shared" si="70"/>
        <v>2.2682590419465503E-2</v>
      </c>
      <c r="FD63" s="394">
        <f t="shared" si="104"/>
        <v>2.3602678126746497E-2</v>
      </c>
      <c r="FE63" s="385">
        <f t="shared" si="119"/>
        <v>2.1720161472651572E-2</v>
      </c>
      <c r="FF63" s="416">
        <f t="shared" si="49"/>
        <v>2</v>
      </c>
      <c r="FG63" s="417">
        <f t="shared" si="50"/>
        <v>2</v>
      </c>
      <c r="FH63" s="415">
        <f t="shared" si="111"/>
        <v>41.472868217054248</v>
      </c>
      <c r="FI63" s="413" t="str">
        <f t="shared" si="120"/>
        <v>T-R</v>
      </c>
      <c r="FJ63" s="404">
        <f t="shared" si="112"/>
        <v>40.15786877158348</v>
      </c>
      <c r="FK63" s="414" t="str">
        <f t="shared" si="121"/>
        <v>T-R</v>
      </c>
      <c r="FL63" s="415">
        <f t="shared" si="71"/>
        <v>30.232558139534948</v>
      </c>
      <c r="FM63" s="413" t="str">
        <f t="shared" si="72"/>
        <v>T-D</v>
      </c>
      <c r="FN63" s="404">
        <f t="shared" si="73"/>
        <v>12.807244501940618</v>
      </c>
      <c r="FO63" s="414" t="str">
        <f t="shared" si="74"/>
        <v>C-D</v>
      </c>
      <c r="FQ63" s="135">
        <f t="shared" si="51"/>
        <v>87.454374149971542</v>
      </c>
      <c r="FR63" s="21">
        <f t="shared" si="12"/>
        <v>94.35</v>
      </c>
      <c r="FS63" s="21">
        <f t="shared" si="13"/>
        <v>87.454374149971542</v>
      </c>
      <c r="FT63" s="182">
        <f t="shared" si="14"/>
        <v>92.512500000000003</v>
      </c>
      <c r="FU63" s="141">
        <f t="shared" si="52"/>
        <v>1119.6242693185723</v>
      </c>
      <c r="FV63" s="118">
        <f t="shared" si="15"/>
        <v>1150</v>
      </c>
      <c r="FW63" s="118">
        <f t="shared" si="16"/>
        <v>1119.6242693185723</v>
      </c>
      <c r="FX63" s="181">
        <f t="shared" si="17"/>
        <v>1138.8249999999998</v>
      </c>
    </row>
    <row r="64" spans="1:180" ht="12.45" x14ac:dyDescent="0.3">
      <c r="A64" s="472" t="s">
        <v>270</v>
      </c>
      <c r="E64" s="22"/>
      <c r="F64" s="22"/>
      <c r="G64" s="23"/>
      <c r="H64" s="23"/>
      <c r="I64" s="23"/>
      <c r="J64" s="23"/>
      <c r="L64" s="283">
        <f t="shared" si="40"/>
        <v>61</v>
      </c>
      <c r="M64" s="290">
        <f>'[6]ASHOKLEY-I'!C80</f>
        <v>42885</v>
      </c>
      <c r="N64" s="7">
        <f>'[6]ASHOKLEY-I'!D80</f>
        <v>92.35</v>
      </c>
      <c r="O64" s="7">
        <f>'[6]ASHOKLEY-I'!E80</f>
        <v>94.4</v>
      </c>
      <c r="P64" s="7">
        <f>'[6]ASHOKLEY-I'!F80</f>
        <v>92</v>
      </c>
      <c r="Q64" s="7">
        <f>'[6]ASHOKLEY-I'!G80</f>
        <v>94.1</v>
      </c>
      <c r="R64" s="11">
        <f>'[6]ASHOKLEY-I'!H80</f>
        <v>4018</v>
      </c>
      <c r="S64" s="291">
        <f>'[7]ASIANPAINT-I'!C80</f>
        <v>42885</v>
      </c>
      <c r="T64" s="9">
        <f>'[7]ASIANPAINT-I'!D80</f>
        <v>1147.9000000000001</v>
      </c>
      <c r="U64" s="9">
        <f>'[7]ASIANPAINT-I'!E80</f>
        <v>1163.9000000000001</v>
      </c>
      <c r="V64" s="9">
        <f>'[7]ASIANPAINT-I'!F80</f>
        <v>1146.3</v>
      </c>
      <c r="W64" s="9">
        <f>'[7]ASIANPAINT-I'!G80</f>
        <v>1157.8499999999999</v>
      </c>
      <c r="X64" s="12">
        <f>'[7]ASIANPAINT-I'!H80</f>
        <v>2547</v>
      </c>
      <c r="Y64" s="115"/>
      <c r="Z64" s="122">
        <f t="shared" si="18"/>
        <v>2.2826086956521677E-2</v>
      </c>
      <c r="AA64" s="19">
        <f t="shared" si="19"/>
        <v>1.0693086592178772E-2</v>
      </c>
      <c r="AB64" s="305">
        <f>IF(OR(SUM(Z44:Z64)=0,SUM('BNF-Nifty'!AA44:AA64)=0),0,(_xlfn.COVARIANCE.P(Z44:Z64,'BNF-Nifty'!AA44:AA64)/_xlfn.VAR.P('BNF-Nifty'!AA44:AA64)))</f>
        <v>2.9507880774618194</v>
      </c>
      <c r="AC64" s="306">
        <f>IF(OR(SUM(AA44:AA64)=0,SUM('BNF-Nifty'!AA44:AA64)=0),0,(_xlfn.COVARIANCE.P(AA44:AA64,'BNF-Nifty'!AA44:AA64)/_xlfn.VAR.P('BNF-Nifty'!AA44:AA64)))</f>
        <v>0.93124178492279419</v>
      </c>
      <c r="AD64" s="466">
        <f t="shared" si="20"/>
        <v>2.2569469542293673E-2</v>
      </c>
      <c r="AE64" s="17">
        <f t="shared" si="41"/>
        <v>2.4454770948150819E-2</v>
      </c>
      <c r="AF64" s="17">
        <f t="shared" si="42"/>
        <v>2.4345770271736348E-2</v>
      </c>
      <c r="AG64" s="314">
        <f t="shared" si="43"/>
        <v>0.46512528795510449</v>
      </c>
      <c r="AH64" s="467">
        <f t="shared" si="21"/>
        <v>1.0636319857591442E-2</v>
      </c>
      <c r="AI64" s="18">
        <f t="shared" si="149"/>
        <v>1.4054597889765206E-2</v>
      </c>
      <c r="AJ64" s="18">
        <f t="shared" si="150"/>
        <v>1.3873272740748403E-2</v>
      </c>
      <c r="AK64" s="385">
        <f t="shared" si="151"/>
        <v>0.26504850355511411</v>
      </c>
      <c r="AL64" s="10">
        <f t="shared" si="23"/>
        <v>2.5752496102414764E-2</v>
      </c>
      <c r="AM64" s="17">
        <f t="shared" si="45"/>
        <v>3.1277834252810562E-2</v>
      </c>
      <c r="AN64" s="17">
        <f t="shared" si="46"/>
        <v>3.0974121520130408E-2</v>
      </c>
      <c r="AO64" s="314">
        <f t="shared" si="47"/>
        <v>0.59175976074712022</v>
      </c>
      <c r="AP64" s="448">
        <f t="shared" si="24"/>
        <v>1.5237070826966794E-2</v>
      </c>
      <c r="AQ64" s="18">
        <f t="shared" si="152"/>
        <v>2.2028866740748144E-2</v>
      </c>
      <c r="AR64" s="18">
        <f t="shared" si="153"/>
        <v>2.1681439327957484E-2</v>
      </c>
      <c r="AS64" s="385">
        <f t="shared" si="154"/>
        <v>0.41422331674610502</v>
      </c>
      <c r="AT64" s="6">
        <f t="shared" si="0"/>
        <v>371062.3</v>
      </c>
      <c r="AU64" s="319">
        <f t="shared" si="165"/>
        <v>86.548889562180065</v>
      </c>
      <c r="AV64" s="140">
        <f t="shared" si="1"/>
        <v>2923701.3000000003</v>
      </c>
      <c r="AW64" s="481">
        <f t="shared" si="166"/>
        <v>1100.2838618892426</v>
      </c>
      <c r="AX64" s="135">
        <f t="shared" si="97"/>
        <v>467550.8341414961</v>
      </c>
      <c r="AY64" s="21">
        <f t="shared" si="98"/>
        <v>5343.4126746178472</v>
      </c>
      <c r="AZ64" s="319">
        <f t="shared" si="99"/>
        <v>87.500416421596086</v>
      </c>
      <c r="BA64" s="21">
        <f t="shared" si="2"/>
        <v>93.5</v>
      </c>
      <c r="BB64" s="21">
        <f t="shared" si="3"/>
        <v>375683</v>
      </c>
      <c r="BC64" s="21">
        <f t="shared" si="61"/>
        <v>549577.68239211186</v>
      </c>
      <c r="BD64" s="21">
        <f t="shared" si="57"/>
        <v>6098.1664970320453</v>
      </c>
      <c r="BE64" s="332">
        <f t="shared" si="58"/>
        <v>90.121790321662957</v>
      </c>
      <c r="BF64" s="141">
        <f t="shared" si="100"/>
        <v>3473363.5529485317</v>
      </c>
      <c r="BG64" s="118">
        <f t="shared" si="101"/>
        <v>3072.1859340284186</v>
      </c>
      <c r="BH64" s="329">
        <f t="shared" si="102"/>
        <v>1130.58376919071</v>
      </c>
      <c r="BI64" s="118">
        <f t="shared" si="4"/>
        <v>1156.0166666666667</v>
      </c>
      <c r="BJ64" s="118">
        <f t="shared" si="5"/>
        <v>2944374.45</v>
      </c>
      <c r="BK64" s="118">
        <f t="shared" si="62"/>
        <v>3130584.785558972</v>
      </c>
      <c r="BL64" s="118">
        <f t="shared" si="59"/>
        <v>2758.6667448267826</v>
      </c>
      <c r="BM64" s="325">
        <f t="shared" si="60"/>
        <v>1134.8180389782972</v>
      </c>
      <c r="BN64" s="6">
        <f t="shared" si="6"/>
        <v>378093.8</v>
      </c>
      <c r="BO64" s="331">
        <f t="shared" si="87"/>
        <v>87.066701956601349</v>
      </c>
      <c r="BP64" s="319">
        <f t="shared" si="55"/>
        <v>89.294918028200541</v>
      </c>
      <c r="BQ64" s="331">
        <f t="shared" si="139"/>
        <v>86.027496942674176</v>
      </c>
      <c r="BR64" s="332">
        <f t="shared" si="88"/>
        <v>87.975009950169564</v>
      </c>
      <c r="BS64" s="140">
        <f t="shared" si="7"/>
        <v>2949043.9499999997</v>
      </c>
      <c r="BT64" s="339">
        <f t="shared" si="89"/>
        <v>1139.3816178631994</v>
      </c>
      <c r="BU64" s="329">
        <f t="shared" si="56"/>
        <v>1124.3034717424346</v>
      </c>
      <c r="BV64" s="339">
        <f t="shared" si="140"/>
        <v>1119.2206234502985</v>
      </c>
      <c r="BW64" s="325">
        <f t="shared" si="90"/>
        <v>1134.9963086489543</v>
      </c>
      <c r="BX64" s="21">
        <f t="shared" si="91"/>
        <v>481808.70896228374</v>
      </c>
      <c r="BY64" s="21">
        <f t="shared" si="92"/>
        <v>5441.4154030183445</v>
      </c>
      <c r="BZ64" s="21">
        <f t="shared" si="93"/>
        <v>88.54473942478738</v>
      </c>
      <c r="CA64" s="21">
        <f t="shared" si="129"/>
        <v>398191.45486224617</v>
      </c>
      <c r="CB64" s="21">
        <f t="shared" si="130"/>
        <v>4548.665905218123</v>
      </c>
      <c r="CC64" s="21">
        <f t="shared" si="135"/>
        <v>87.540272941446474</v>
      </c>
      <c r="CD64" s="342">
        <f t="shared" si="131"/>
        <v>1.0044664833409058</v>
      </c>
      <c r="CE64" s="342">
        <f t="shared" si="163"/>
        <v>0.28207541426337601</v>
      </c>
      <c r="CF64" s="343">
        <f t="shared" si="156"/>
        <v>0.72239106907752981</v>
      </c>
      <c r="CG64" s="141">
        <f t="shared" si="94"/>
        <v>3455319.7684344398</v>
      </c>
      <c r="CH64" s="118">
        <f t="shared" si="95"/>
        <v>3051.4058222195936</v>
      </c>
      <c r="CI64" s="118">
        <f t="shared" si="96"/>
        <v>1132.3697894503719</v>
      </c>
      <c r="CJ64" s="118">
        <f t="shared" si="132"/>
        <v>3532004.6997517426</v>
      </c>
      <c r="CK64" s="118">
        <f t="shared" si="133"/>
        <v>3137.1145849533491</v>
      </c>
      <c r="CL64" s="118">
        <f t="shared" si="136"/>
        <v>1125.8768540659682</v>
      </c>
      <c r="CM64" s="350">
        <f t="shared" si="134"/>
        <v>6.4929353844036086</v>
      </c>
      <c r="CN64" s="350">
        <f t="shared" si="164"/>
        <v>8.9794486750406328</v>
      </c>
      <c r="CO64" s="351">
        <f t="shared" si="158"/>
        <v>-2.4865132906370242</v>
      </c>
      <c r="CP64" s="20">
        <f t="shared" si="26"/>
        <v>0.98333333333333428</v>
      </c>
      <c r="CQ64" s="21">
        <f t="shared" si="27"/>
        <v>375683</v>
      </c>
      <c r="CR64" s="21">
        <f t="shared" si="28"/>
        <v>0</v>
      </c>
      <c r="CS64" s="21">
        <f>((CQ64-CS63)*(2/(1+14)))+CS63</f>
        <v>341827.56622333295</v>
      </c>
      <c r="CT64" s="21">
        <f t="shared" si="159"/>
        <v>122018.91390037641</v>
      </c>
      <c r="CU64" s="21">
        <f t="shared" si="105"/>
        <v>2.8014309855472206</v>
      </c>
      <c r="CV64" s="342">
        <f t="shared" si="106"/>
        <v>73.694116668119676</v>
      </c>
      <c r="CW64" s="342">
        <f t="shared" si="161"/>
        <v>49.083266324422482</v>
      </c>
      <c r="CX64" s="355">
        <f t="shared" si="146"/>
        <v>51.811408683715314</v>
      </c>
      <c r="CY64" s="141">
        <f t="shared" si="29"/>
        <v>14.583333333333485</v>
      </c>
      <c r="CZ64" s="118">
        <f t="shared" si="30"/>
        <v>2944374.45</v>
      </c>
      <c r="DA64" s="118">
        <f t="shared" si="31"/>
        <v>0</v>
      </c>
      <c r="DB64" s="118">
        <f t="shared" si="160"/>
        <v>1979792.9471346114</v>
      </c>
      <c r="DC64" s="118">
        <f t="shared" si="160"/>
        <v>1517213.2459844984</v>
      </c>
      <c r="DD64" s="118">
        <f t="shared" si="107"/>
        <v>1.3048877291141441</v>
      </c>
      <c r="DE64" s="350">
        <f t="shared" si="108"/>
        <v>56.613938832311888</v>
      </c>
      <c r="DF64" s="350">
        <f t="shared" si="162"/>
        <v>57.221792447175837</v>
      </c>
      <c r="DG64" s="351">
        <f t="shared" si="147"/>
        <v>58.590673309192439</v>
      </c>
      <c r="DH64" s="135">
        <f t="shared" si="32"/>
        <v>2.4000000000000057</v>
      </c>
      <c r="DI64" s="20">
        <f t="shared" si="33"/>
        <v>9643.2000000000226</v>
      </c>
      <c r="DJ64" s="21">
        <f t="shared" si="127"/>
        <v>19018.750190191138</v>
      </c>
      <c r="DK64" s="21">
        <f t="shared" si="122"/>
        <v>4764.332335416243</v>
      </c>
      <c r="DL64" s="319">
        <f t="shared" si="123"/>
        <v>3.9919025062153932</v>
      </c>
      <c r="DM64" s="21">
        <f t="shared" si="124"/>
        <v>15967.610024861573</v>
      </c>
      <c r="DN64" s="21">
        <f>DM64*'Base Data'!$D$10</f>
        <v>31935.220049723146</v>
      </c>
      <c r="DO64" s="363">
        <f>IF(INT(('Base Data'!$D$7)/DN64)=0,0,INT(('Base Data'!$D$7)/DN64))</f>
        <v>0</v>
      </c>
      <c r="DP64" s="364">
        <f t="shared" si="113"/>
        <v>4.242191823820822E-2</v>
      </c>
      <c r="DQ64" s="141">
        <f t="shared" si="34"/>
        <v>18.300000000000182</v>
      </c>
      <c r="DR64" s="143">
        <f t="shared" si="35"/>
        <v>46610.100000000464</v>
      </c>
      <c r="DS64" s="118">
        <f t="shared" si="128"/>
        <v>89058.057732292698</v>
      </c>
      <c r="DT64" s="118">
        <f t="shared" si="125"/>
        <v>3134.8168442388692</v>
      </c>
      <c r="DU64" s="329">
        <f t="shared" si="126"/>
        <v>28.409333673181763</v>
      </c>
      <c r="DV64" s="118">
        <f t="shared" si="114"/>
        <v>17045.600203909056</v>
      </c>
      <c r="DW64" s="118">
        <f>DV64*'Base Data'!$D$10</f>
        <v>34091.200407818113</v>
      </c>
      <c r="DX64" s="375">
        <f>IF(INT(('Base Data'!$D$7)/DW64)=0,0,INT(('Base Data'!$D$7)/DW64))</f>
        <v>0</v>
      </c>
      <c r="DY64" s="376">
        <f t="shared" si="115"/>
        <v>2.4536281619537734E-2</v>
      </c>
      <c r="DZ64" s="135">
        <f t="shared" si="36"/>
        <v>2.4000000000000057</v>
      </c>
      <c r="EA64" s="21">
        <f t="shared" si="37"/>
        <v>9643.2000000000226</v>
      </c>
      <c r="EB64" s="21">
        <f t="shared" si="79"/>
        <v>28284.315469747275</v>
      </c>
      <c r="EC64" s="21">
        <f t="shared" si="75"/>
        <v>5885.4513306501703</v>
      </c>
      <c r="ED64" s="319">
        <f t="shared" si="76"/>
        <v>4.8058022878294171</v>
      </c>
      <c r="EE64" s="21">
        <f t="shared" si="63"/>
        <v>19223.209151317667</v>
      </c>
      <c r="EF64" s="21">
        <f>EE64*'Base Data'!$D$13</f>
        <v>14417.40686348825</v>
      </c>
      <c r="EG64" s="363">
        <f>IF(INT(('Base Data'!$D$7)/EF64)=0,0,INT(('Base Data'!$D$7)/EF64))</f>
        <v>0</v>
      </c>
      <c r="EH64" s="314">
        <f t="shared" si="64"/>
        <v>5.1071225162905604E-2</v>
      </c>
      <c r="EI64" s="143">
        <f t="shared" si="38"/>
        <v>18.300000000000182</v>
      </c>
      <c r="EJ64" s="118">
        <f t="shared" si="39"/>
        <v>46610.100000000464</v>
      </c>
      <c r="EK64" s="118">
        <f t="shared" si="80"/>
        <v>81005.27358742166</v>
      </c>
      <c r="EL64" s="118">
        <f t="shared" si="77"/>
        <v>2920.031763566365</v>
      </c>
      <c r="EM64" s="329">
        <f t="shared" si="78"/>
        <v>27.741230283223462</v>
      </c>
      <c r="EN64" s="118">
        <f t="shared" si="65"/>
        <v>16644.738169934077</v>
      </c>
      <c r="EO64" s="118">
        <f>EN64*'Base Data'!$D$13</f>
        <v>12483.553627450558</v>
      </c>
      <c r="EP64" s="375">
        <f>IF(INT(('Base Data'!$D$7)/EO64)=0,0,INT(('Base Data'!$D$7)/EO64))</f>
        <v>0</v>
      </c>
      <c r="EQ64" s="385">
        <f t="shared" si="66"/>
        <v>2.3959260943320349E-2</v>
      </c>
      <c r="ER64" s="397">
        <f t="shared" si="116"/>
        <v>2.0662861093350631</v>
      </c>
      <c r="ES64" s="403">
        <f t="shared" si="67"/>
        <v>1.4756467790250414</v>
      </c>
      <c r="ET64" s="405">
        <f t="shared" si="117"/>
        <v>0.77338767688765608</v>
      </c>
      <c r="EU64" s="410">
        <f t="shared" si="68"/>
        <v>1.1568220421022266</v>
      </c>
      <c r="EV64" s="20">
        <f t="shared" si="8"/>
        <v>2.4000000000000057</v>
      </c>
      <c r="EW64" s="17">
        <f t="shared" si="9"/>
        <v>2.5988088792636772E-2</v>
      </c>
      <c r="EX64" s="388">
        <f t="shared" si="69"/>
        <v>3.791024099431254E-2</v>
      </c>
      <c r="EY64" s="388">
        <f t="shared" si="103"/>
        <v>3.0439063001482816E-2</v>
      </c>
      <c r="EZ64" s="314">
        <f t="shared" si="118"/>
        <v>2.7689673543839492E-2</v>
      </c>
      <c r="FA64" s="442">
        <f t="shared" si="10"/>
        <v>17.600000000000136</v>
      </c>
      <c r="FB64" s="18">
        <f t="shared" si="11"/>
        <v>1.5332346023172868E-2</v>
      </c>
      <c r="FC64" s="394">
        <f t="shared" si="70"/>
        <v>2.2308514822591743E-2</v>
      </c>
      <c r="FD64" s="394">
        <f t="shared" si="104"/>
        <v>2.2736458100183845E-2</v>
      </c>
      <c r="FE64" s="385">
        <f t="shared" si="119"/>
        <v>2.1783671031260231E-2</v>
      </c>
      <c r="FF64" s="416">
        <f t="shared" si="49"/>
        <v>2</v>
      </c>
      <c r="FG64" s="417">
        <f t="shared" si="50"/>
        <v>2</v>
      </c>
      <c r="FH64" s="415">
        <f t="shared" si="111"/>
        <v>61.776061776061766</v>
      </c>
      <c r="FI64" s="413" t="str">
        <f t="shared" si="120"/>
        <v>T-R</v>
      </c>
      <c r="FJ64" s="404">
        <f t="shared" si="112"/>
        <v>33.103108041440535</v>
      </c>
      <c r="FK64" s="414" t="str">
        <f t="shared" si="121"/>
        <v>T-D</v>
      </c>
      <c r="FL64" s="415">
        <f t="shared" si="71"/>
        <v>61.003861003860926</v>
      </c>
      <c r="FM64" s="413" t="str">
        <f t="shared" si="72"/>
        <v>T-R</v>
      </c>
      <c r="FN64" s="404">
        <f t="shared" si="73"/>
        <v>9.0461538461537341</v>
      </c>
      <c r="FO64" s="414" t="str">
        <f t="shared" si="74"/>
        <v>C-D</v>
      </c>
      <c r="FQ64" s="135">
        <f t="shared" si="51"/>
        <v>89.983437074985773</v>
      </c>
      <c r="FR64" s="21">
        <f t="shared" si="12"/>
        <v>94.4</v>
      </c>
      <c r="FS64" s="21">
        <f t="shared" si="13"/>
        <v>89.983437074985773</v>
      </c>
      <c r="FT64" s="182">
        <f t="shared" si="14"/>
        <v>93.212500000000006</v>
      </c>
      <c r="FU64" s="141">
        <f t="shared" si="52"/>
        <v>1129.224634659286</v>
      </c>
      <c r="FV64" s="118">
        <f t="shared" si="15"/>
        <v>1163.9000000000001</v>
      </c>
      <c r="FW64" s="118">
        <f t="shared" si="16"/>
        <v>1129.224634659286</v>
      </c>
      <c r="FX64" s="181">
        <f t="shared" si="17"/>
        <v>1153.9875000000002</v>
      </c>
    </row>
    <row r="65" spans="5:180" x14ac:dyDescent="0.3">
      <c r="E65" s="22"/>
      <c r="F65" s="22"/>
      <c r="G65" s="23"/>
      <c r="H65" s="23"/>
      <c r="I65" s="23"/>
      <c r="J65" s="23"/>
      <c r="L65" s="283">
        <f t="shared" si="40"/>
        <v>62</v>
      </c>
      <c r="M65" s="290">
        <f>'[6]ASHOKLEY-I'!C81</f>
        <v>42886</v>
      </c>
      <c r="N65" s="7">
        <f>'[6]ASHOKLEY-I'!D81</f>
        <v>94.1</v>
      </c>
      <c r="O65" s="7">
        <f>'[6]ASHOKLEY-I'!E81</f>
        <v>96.35</v>
      </c>
      <c r="P65" s="7">
        <f>'[6]ASHOKLEY-I'!F81</f>
        <v>93.4</v>
      </c>
      <c r="Q65" s="7">
        <f>'[6]ASHOKLEY-I'!G81</f>
        <v>95.15</v>
      </c>
      <c r="R65" s="11">
        <f>'[6]ASHOKLEY-I'!H81</f>
        <v>5338</v>
      </c>
      <c r="S65" s="291">
        <f>'[7]ASIANPAINT-I'!C81</f>
        <v>42886</v>
      </c>
      <c r="T65" s="9">
        <f>'[7]ASIANPAINT-I'!D81</f>
        <v>1157.3</v>
      </c>
      <c r="U65" s="9">
        <f>'[7]ASIANPAINT-I'!E81</f>
        <v>1163.7</v>
      </c>
      <c r="V65" s="9">
        <f>'[7]ASIANPAINT-I'!F81</f>
        <v>1145.2</v>
      </c>
      <c r="W65" s="9">
        <f>'[7]ASIANPAINT-I'!G81</f>
        <v>1150.8</v>
      </c>
      <c r="X65" s="12">
        <f>'[7]ASIANPAINT-I'!H81</f>
        <v>2078</v>
      </c>
      <c r="Y65" s="115"/>
      <c r="Z65" s="122">
        <f t="shared" si="18"/>
        <v>1.115834218916059E-2</v>
      </c>
      <c r="AA65" s="19">
        <f t="shared" si="19"/>
        <v>-6.0888716154941964E-3</v>
      </c>
      <c r="AB65" s="305">
        <f>IF(OR(SUM(Z45:Z65)=0,SUM('BNF-Nifty'!AA45:AA65)=0),0,(_xlfn.COVARIANCE.P(Z45:Z65,'BNF-Nifty'!AA45:AA65)/_xlfn.VAR.P('BNF-Nifty'!AA45:AA65)))</f>
        <v>2.9254745582573403</v>
      </c>
      <c r="AC65" s="306">
        <f>IF(OR(SUM(AA45:AA65)=0,SUM('BNF-Nifty'!AA45:AA65)=0),0,(_xlfn.COVARIANCE.P(AA45:AA65,'BNF-Nifty'!AA45:AA65)/_xlfn.VAR.P('BNF-Nifty'!AA45:AA65)))</f>
        <v>1.0249370036287544</v>
      </c>
      <c r="AD65" s="466">
        <f t="shared" si="20"/>
        <v>1.1096547150824643E-2</v>
      </c>
      <c r="AE65" s="17">
        <f t="shared" si="41"/>
        <v>2.4345770271736348E-2</v>
      </c>
      <c r="AF65" s="17">
        <f t="shared" si="42"/>
        <v>2.3760082908881864E-2</v>
      </c>
      <c r="AG65" s="314">
        <f t="shared" si="43"/>
        <v>0.45393574659910085</v>
      </c>
      <c r="AH65" s="467">
        <f t="shared" si="21"/>
        <v>-6.1074843865796839E-3</v>
      </c>
      <c r="AI65" s="18">
        <f t="shared" si="149"/>
        <v>1.3873272740748403E-2</v>
      </c>
      <c r="AJ65" s="18">
        <f t="shared" si="150"/>
        <v>1.3533577379199484E-2</v>
      </c>
      <c r="AK65" s="385">
        <f t="shared" si="151"/>
        <v>0.25855863278520536</v>
      </c>
      <c r="AL65" s="10">
        <f t="shared" si="23"/>
        <v>3.1096049625578367E-2</v>
      </c>
      <c r="AM65" s="17">
        <f t="shared" si="45"/>
        <v>3.0974121520130408E-2</v>
      </c>
      <c r="AN65" s="17">
        <f t="shared" si="46"/>
        <v>3.0981450738242766E-2</v>
      </c>
      <c r="AO65" s="314">
        <f t="shared" si="47"/>
        <v>0.59189978526254727</v>
      </c>
      <c r="AP65" s="448">
        <f t="shared" si="24"/>
        <v>1.6025289890071199E-2</v>
      </c>
      <c r="AQ65" s="18">
        <f t="shared" si="152"/>
        <v>2.1681439327957484E-2</v>
      </c>
      <c r="AR65" s="18">
        <f t="shared" si="153"/>
        <v>2.1384300727768406E-2</v>
      </c>
      <c r="AS65" s="385">
        <f t="shared" si="154"/>
        <v>0.40854649176037144</v>
      </c>
      <c r="AT65" s="6">
        <f t="shared" si="0"/>
        <v>502305.8</v>
      </c>
      <c r="AU65" s="319">
        <f t="shared" si="165"/>
        <v>86.672326317070201</v>
      </c>
      <c r="AV65" s="140">
        <f t="shared" si="1"/>
        <v>2404869.4</v>
      </c>
      <c r="AW65" s="481">
        <f t="shared" si="166"/>
        <v>1102.0002304763802</v>
      </c>
      <c r="AX65" s="135">
        <f t="shared" si="97"/>
        <v>472515.82926413952</v>
      </c>
      <c r="AY65" s="21">
        <f t="shared" si="98"/>
        <v>5342.6394353867263</v>
      </c>
      <c r="AZ65" s="319">
        <f t="shared" si="99"/>
        <v>88.442395370058605</v>
      </c>
      <c r="BA65" s="21">
        <f t="shared" si="2"/>
        <v>94.966666666666654</v>
      </c>
      <c r="BB65" s="21">
        <f t="shared" si="3"/>
        <v>506932.06666666659</v>
      </c>
      <c r="BC65" s="21">
        <f t="shared" si="61"/>
        <v>535362.47715029679</v>
      </c>
      <c r="BD65" s="21">
        <f t="shared" si="57"/>
        <v>5844.7776646880302</v>
      </c>
      <c r="BE65" s="332">
        <f t="shared" si="58"/>
        <v>91.596722384284604</v>
      </c>
      <c r="BF65" s="141">
        <f t="shared" si="100"/>
        <v>3320721.5310987416</v>
      </c>
      <c r="BG65" s="118">
        <f t="shared" si="101"/>
        <v>2930.1593720243586</v>
      </c>
      <c r="BH65" s="329">
        <f t="shared" si="102"/>
        <v>1133.2904151232412</v>
      </c>
      <c r="BI65" s="118">
        <f t="shared" si="4"/>
        <v>1153.2333333333333</v>
      </c>
      <c r="BJ65" s="118">
        <f t="shared" si="5"/>
        <v>2396418.8666666667</v>
      </c>
      <c r="BK65" s="118">
        <f t="shared" si="62"/>
        <v>2885862.8125948701</v>
      </c>
      <c r="BL65" s="118">
        <f t="shared" si="59"/>
        <v>2531.7778298845219</v>
      </c>
      <c r="BM65" s="325">
        <f t="shared" si="60"/>
        <v>1139.8562616872659</v>
      </c>
      <c r="BN65" s="6">
        <f t="shared" si="6"/>
        <v>507910.7</v>
      </c>
      <c r="BO65" s="331">
        <f t="shared" si="87"/>
        <v>87.704224924485402</v>
      </c>
      <c r="BP65" s="319">
        <f t="shared" si="55"/>
        <v>91.144444907832181</v>
      </c>
      <c r="BQ65" s="331">
        <f t="shared" si="139"/>
        <v>86.406171812342123</v>
      </c>
      <c r="BR65" s="332">
        <f t="shared" si="88"/>
        <v>88.649261981129143</v>
      </c>
      <c r="BS65" s="140">
        <f t="shared" si="7"/>
        <v>2391362.4</v>
      </c>
      <c r="BT65" s="339">
        <f t="shared" si="89"/>
        <v>1138.0949829086762</v>
      </c>
      <c r="BU65" s="329">
        <f t="shared" si="56"/>
        <v>1136.8403982985305</v>
      </c>
      <c r="BV65" s="339">
        <f t="shared" si="140"/>
        <v>1120.8359658020577</v>
      </c>
      <c r="BW65" s="325">
        <f t="shared" si="90"/>
        <v>1131.2340990084608</v>
      </c>
      <c r="BX65" s="21">
        <f t="shared" si="91"/>
        <v>485673.84091680415</v>
      </c>
      <c r="BY65" s="21">
        <f t="shared" si="92"/>
        <v>5425.5053410155224</v>
      </c>
      <c r="BZ65" s="21">
        <f t="shared" si="93"/>
        <v>89.51679343953937</v>
      </c>
      <c r="CA65" s="21">
        <f t="shared" si="129"/>
        <v>406246.31499590696</v>
      </c>
      <c r="CB65" s="21">
        <f t="shared" si="130"/>
        <v>4607.1350974241877</v>
      </c>
      <c r="CC65" s="21">
        <f t="shared" si="135"/>
        <v>88.177643243636595</v>
      </c>
      <c r="CD65" s="342">
        <f t="shared" si="131"/>
        <v>1.339150195902775</v>
      </c>
      <c r="CE65" s="342">
        <f t="shared" si="163"/>
        <v>0.49349037059125583</v>
      </c>
      <c r="CF65" s="343">
        <f t="shared" si="156"/>
        <v>0.84565982531151906</v>
      </c>
      <c r="CG65" s="141">
        <f t="shared" si="94"/>
        <v>3292411.9373932439</v>
      </c>
      <c r="CH65" s="118">
        <f t="shared" si="95"/>
        <v>2901.6510803396559</v>
      </c>
      <c r="CI65" s="118">
        <f t="shared" si="96"/>
        <v>1134.6684512487445</v>
      </c>
      <c r="CJ65" s="118">
        <f t="shared" si="132"/>
        <v>3447887.2306343298</v>
      </c>
      <c r="CK65" s="118">
        <f t="shared" si="133"/>
        <v>3058.6616527345823</v>
      </c>
      <c r="CL65" s="118">
        <f t="shared" si="136"/>
        <v>1127.2535579578612</v>
      </c>
      <c r="CM65" s="350">
        <f t="shared" si="134"/>
        <v>7.4148932908833558</v>
      </c>
      <c r="CN65" s="350">
        <f t="shared" si="164"/>
        <v>8.6665375982091781</v>
      </c>
      <c r="CO65" s="351">
        <f t="shared" si="158"/>
        <v>-1.2516443073258223</v>
      </c>
      <c r="CP65" s="20">
        <f t="shared" si="26"/>
        <v>1.4666666666666544</v>
      </c>
      <c r="CQ65" s="21">
        <f t="shared" si="27"/>
        <v>506932.06666666659</v>
      </c>
      <c r="CR65" s="21">
        <f t="shared" si="28"/>
        <v>0</v>
      </c>
      <c r="CS65" s="21">
        <f t="shared" si="159"/>
        <v>363841.49961577746</v>
      </c>
      <c r="CT65" s="21">
        <f t="shared" si="159"/>
        <v>105749.72538032623</v>
      </c>
      <c r="CU65" s="21">
        <f t="shared" si="105"/>
        <v>3.4405904914384471</v>
      </c>
      <c r="CV65" s="342">
        <f t="shared" si="106"/>
        <v>77.480472429781102</v>
      </c>
      <c r="CW65" s="342">
        <f t="shared" si="161"/>
        <v>50.431814466976491</v>
      </c>
      <c r="CX65" s="355">
        <f t="shared" si="146"/>
        <v>53.27128815451465</v>
      </c>
      <c r="CY65" s="141">
        <f t="shared" si="29"/>
        <v>-2.783333333333303</v>
      </c>
      <c r="CZ65" s="118">
        <f t="shared" si="30"/>
        <v>0</v>
      </c>
      <c r="DA65" s="118">
        <f t="shared" si="31"/>
        <v>2396418.8666666667</v>
      </c>
      <c r="DB65" s="118">
        <f t="shared" si="160"/>
        <v>1715820.5541833299</v>
      </c>
      <c r="DC65" s="118">
        <f t="shared" si="160"/>
        <v>1634440.6620754541</v>
      </c>
      <c r="DD65" s="118">
        <f t="shared" si="107"/>
        <v>1.0497906678389521</v>
      </c>
      <c r="DE65" s="350">
        <f t="shared" si="108"/>
        <v>51.214530552318422</v>
      </c>
      <c r="DF65" s="350">
        <f t="shared" si="162"/>
        <v>57.232693482163931</v>
      </c>
      <c r="DG65" s="351">
        <f t="shared" si="147"/>
        <v>57.856971606018611</v>
      </c>
      <c r="DH65" s="135">
        <f t="shared" si="32"/>
        <v>2.9499999999999886</v>
      </c>
      <c r="DI65" s="20">
        <f t="shared" si="33"/>
        <v>15747.099999999939</v>
      </c>
      <c r="DJ65" s="21">
        <f t="shared" si="127"/>
        <v>18721.327445628303</v>
      </c>
      <c r="DK65" s="21">
        <f t="shared" si="122"/>
        <v>4816.4839412874935</v>
      </c>
      <c r="DL65" s="319">
        <f t="shared" si="123"/>
        <v>3.8869282393213811</v>
      </c>
      <c r="DM65" s="21">
        <f t="shared" si="124"/>
        <v>15547.712957285525</v>
      </c>
      <c r="DN65" s="21">
        <f>DM65*'Base Data'!$D$10</f>
        <v>31095.425914571049</v>
      </c>
      <c r="DO65" s="363">
        <f>IF(INT(('Base Data'!$D$7)/DN65)=0,0,INT(('Base Data'!$D$7)/DN65))</f>
        <v>0</v>
      </c>
      <c r="DP65" s="364">
        <f t="shared" si="113"/>
        <v>4.0850533256136426E-2</v>
      </c>
      <c r="DQ65" s="141">
        <f t="shared" si="34"/>
        <v>18.5</v>
      </c>
      <c r="DR65" s="143">
        <f t="shared" si="35"/>
        <v>38443</v>
      </c>
      <c r="DS65" s="118">
        <f t="shared" si="128"/>
        <v>84456.688847538811</v>
      </c>
      <c r="DT65" s="118">
        <f t="shared" si="125"/>
        <v>3038.7425856716991</v>
      </c>
      <c r="DU65" s="329">
        <f t="shared" si="126"/>
        <v>27.793301494430491</v>
      </c>
      <c r="DV65" s="118">
        <f t="shared" si="114"/>
        <v>16675.980896658293</v>
      </c>
      <c r="DW65" s="118">
        <f>DV65*'Base Data'!$D$10</f>
        <v>33351.961793316586</v>
      </c>
      <c r="DX65" s="375">
        <f>IF(INT(('Base Data'!$D$7)/DW65)=0,0,INT(('Base Data'!$D$7)/DW65))</f>
        <v>0</v>
      </c>
      <c r="DY65" s="376">
        <f t="shared" si="115"/>
        <v>2.4151287360471403E-2</v>
      </c>
      <c r="DZ65" s="135">
        <f t="shared" si="36"/>
        <v>2.9499999999999886</v>
      </c>
      <c r="EA65" s="21">
        <f t="shared" si="37"/>
        <v>15747.099999999939</v>
      </c>
      <c r="EB65" s="21">
        <f t="shared" si="79"/>
        <v>25498.267587581198</v>
      </c>
      <c r="EC65" s="21">
        <f t="shared" si="75"/>
        <v>5763.7954793945773</v>
      </c>
      <c r="ED65" s="319">
        <f t="shared" si="76"/>
        <v>4.4238675155523577</v>
      </c>
      <c r="EE65" s="21">
        <f t="shared" si="63"/>
        <v>17695.470062209431</v>
      </c>
      <c r="EF65" s="21">
        <f>EE65*'Base Data'!$D$13</f>
        <v>13271.602546657074</v>
      </c>
      <c r="EG65" s="363">
        <f>IF(INT(('Base Data'!$D$7)/EF65)=0,0,INT(('Base Data'!$D$7)/EF65))</f>
        <v>0</v>
      </c>
      <c r="EH65" s="314">
        <f t="shared" si="64"/>
        <v>4.6493615507644324E-2</v>
      </c>
      <c r="EI65" s="143">
        <f t="shared" si="38"/>
        <v>18.5</v>
      </c>
      <c r="EJ65" s="118">
        <f t="shared" si="39"/>
        <v>38443</v>
      </c>
      <c r="EK65" s="118">
        <f t="shared" si="80"/>
        <v>71546.990567994624</v>
      </c>
      <c r="EL65" s="118">
        <f t="shared" si="77"/>
        <v>2732.9135938849504</v>
      </c>
      <c r="EM65" s="329">
        <f t="shared" si="78"/>
        <v>26.1797485028744</v>
      </c>
      <c r="EN65" s="118">
        <f t="shared" si="65"/>
        <v>15707.84910172464</v>
      </c>
      <c r="EO65" s="118">
        <f>EN65*'Base Data'!$D$13</f>
        <v>11780.886826293479</v>
      </c>
      <c r="EP65" s="375">
        <f>IF(INT(('Base Data'!$D$7)/EO65)=0,0,INT(('Base Data'!$D$7)/EO65))</f>
        <v>0</v>
      </c>
      <c r="EQ65" s="385">
        <f t="shared" si="66"/>
        <v>2.274917318636983E-2</v>
      </c>
      <c r="ER65" s="397">
        <f t="shared" si="116"/>
        <v>2.3130028744872928</v>
      </c>
      <c r="ES65" s="403">
        <f t="shared" si="67"/>
        <v>1.6741572784363246</v>
      </c>
      <c r="ET65" s="405">
        <f t="shared" si="117"/>
        <v>0.44386622938551235</v>
      </c>
      <c r="EU65" s="410">
        <f t="shared" si="68"/>
        <v>0.93297305729725466</v>
      </c>
      <c r="EV65" s="20">
        <f t="shared" si="8"/>
        <v>2.9499999999999886</v>
      </c>
      <c r="EW65" s="17">
        <f t="shared" si="9"/>
        <v>3.1349628055260245E-2</v>
      </c>
      <c r="EX65" s="388">
        <f t="shared" si="69"/>
        <v>3.739276819898768E-2</v>
      </c>
      <c r="EY65" s="388">
        <f t="shared" si="103"/>
        <v>3.1467385273804271E-2</v>
      </c>
      <c r="EZ65" s="314">
        <f t="shared" si="118"/>
        <v>2.8120074269583052E-2</v>
      </c>
      <c r="FA65" s="442">
        <f t="shared" si="10"/>
        <v>18.5</v>
      </c>
      <c r="FB65" s="18">
        <f t="shared" si="11"/>
        <v>1.5985483452864425E-2</v>
      </c>
      <c r="FC65" s="394">
        <f t="shared" si="70"/>
        <v>2.2355533914544239E-2</v>
      </c>
      <c r="FD65" s="394">
        <f t="shared" si="104"/>
        <v>2.185899333629248E-2</v>
      </c>
      <c r="FE65" s="385">
        <f t="shared" si="119"/>
        <v>2.1672205404102196E-2</v>
      </c>
      <c r="FF65" s="416">
        <f t="shared" si="49"/>
        <v>2</v>
      </c>
      <c r="FG65" s="417">
        <f t="shared" si="50"/>
        <v>2</v>
      </c>
      <c r="FH65" s="415">
        <f t="shared" si="111"/>
        <v>75.503355704698023</v>
      </c>
      <c r="FI65" s="413" t="str">
        <f t="shared" si="120"/>
        <v>T-R</v>
      </c>
      <c r="FJ65" s="404">
        <f t="shared" si="112"/>
        <v>32.313764183522473</v>
      </c>
      <c r="FK65" s="414" t="str">
        <f t="shared" si="121"/>
        <v>T-D</v>
      </c>
      <c r="FL65" s="415">
        <f t="shared" si="71"/>
        <v>61.744966442953078</v>
      </c>
      <c r="FM65" s="413" t="str">
        <f t="shared" si="72"/>
        <v>T-R</v>
      </c>
      <c r="FN65" s="404">
        <f t="shared" si="73"/>
        <v>44.369230769230711</v>
      </c>
      <c r="FO65" s="414" t="str">
        <f t="shared" si="74"/>
        <v>T-R</v>
      </c>
      <c r="FQ65" s="135">
        <f t="shared" si="51"/>
        <v>91.597968537492889</v>
      </c>
      <c r="FR65" s="21">
        <f t="shared" si="12"/>
        <v>96.35</v>
      </c>
      <c r="FS65" s="21">
        <f t="shared" si="13"/>
        <v>91.597968537492889</v>
      </c>
      <c r="FT65" s="182">
        <f t="shared" si="14"/>
        <v>94.75</v>
      </c>
      <c r="FU65" s="141">
        <f t="shared" si="52"/>
        <v>1141.6060673296431</v>
      </c>
      <c r="FV65" s="118">
        <f t="shared" si="15"/>
        <v>1163.7</v>
      </c>
      <c r="FW65" s="118">
        <f t="shared" si="16"/>
        <v>1141.6060673296431</v>
      </c>
      <c r="FX65" s="181">
        <f t="shared" si="17"/>
        <v>1154.25</v>
      </c>
    </row>
    <row r="66" spans="5:180" x14ac:dyDescent="0.3">
      <c r="E66" s="22"/>
      <c r="F66" s="22"/>
      <c r="G66" s="23"/>
      <c r="H66" s="23"/>
      <c r="I66" s="23"/>
      <c r="J66" s="23"/>
      <c r="L66" s="283">
        <f t="shared" si="40"/>
        <v>63</v>
      </c>
      <c r="M66" s="290">
        <f>'[6]ASHOKLEY-I'!C82</f>
        <v>42887</v>
      </c>
      <c r="N66" s="7">
        <f>'[6]ASHOKLEY-I'!D82</f>
        <v>94.55</v>
      </c>
      <c r="O66" s="7">
        <f>'[6]ASHOKLEY-I'!E82</f>
        <v>95.25</v>
      </c>
      <c r="P66" s="7">
        <f>'[6]ASHOKLEY-I'!F82</f>
        <v>90.5</v>
      </c>
      <c r="Q66" s="7">
        <f>'[6]ASHOKLEY-I'!G82</f>
        <v>91.7</v>
      </c>
      <c r="R66" s="11">
        <f>'[6]ASHOKLEY-I'!H82</f>
        <v>7609</v>
      </c>
      <c r="S66" s="291">
        <f>'[7]ASIANPAINT-I'!C82</f>
        <v>42887</v>
      </c>
      <c r="T66" s="9">
        <f>'[7]ASIANPAINT-I'!D82</f>
        <v>1145.0999999999999</v>
      </c>
      <c r="U66" s="9">
        <f>'[7]ASIANPAINT-I'!E82</f>
        <v>1159.5</v>
      </c>
      <c r="V66" s="9">
        <f>'[7]ASIANPAINT-I'!F82</f>
        <v>1132.3</v>
      </c>
      <c r="W66" s="9">
        <f>'[7]ASIANPAINT-I'!G82</f>
        <v>1157.8499999999999</v>
      </c>
      <c r="X66" s="12">
        <f>'[7]ASIANPAINT-I'!H82</f>
        <v>2458</v>
      </c>
      <c r="Y66" s="115"/>
      <c r="Z66" s="122">
        <f t="shared" si="18"/>
        <v>-3.625853914871259E-2</v>
      </c>
      <c r="AA66" s="19">
        <f t="shared" si="19"/>
        <v>6.1261730969759771E-3</v>
      </c>
      <c r="AB66" s="305">
        <f>IF(OR(SUM(Z46:Z66)=0,SUM('BNF-Nifty'!AA46:AA66)=0),0,(_xlfn.COVARIANCE.P(Z46:Z66,'BNF-Nifty'!AA46:AA66)/_xlfn.VAR.P('BNF-Nifty'!AA46:AA66)))</f>
        <v>2.9519397802492455</v>
      </c>
      <c r="AC66" s="306">
        <f>IF(OR(SUM(AA46:AA66)=0,SUM('BNF-Nifty'!AA46:AA66)=0),0,(_xlfn.COVARIANCE.P(AA46:AA66,'BNF-Nifty'!AA46:AA66)/_xlfn.VAR.P('BNF-Nifty'!AA46:AA66)))</f>
        <v>1.0058055629084288</v>
      </c>
      <c r="AD66" s="466">
        <f t="shared" si="20"/>
        <v>-3.693221447973935E-2</v>
      </c>
      <c r="AE66" s="17">
        <f t="shared" si="41"/>
        <v>2.3760082908881864E-2</v>
      </c>
      <c r="AF66" s="17">
        <f t="shared" si="42"/>
        <v>2.4748906146118292E-2</v>
      </c>
      <c r="AG66" s="314">
        <f t="shared" si="43"/>
        <v>0.47282718802086737</v>
      </c>
      <c r="AH66" s="467">
        <f t="shared" si="21"/>
        <v>6.1074843865796353E-3</v>
      </c>
      <c r="AI66" s="18">
        <f t="shared" si="149"/>
        <v>1.3533577379199484E-2</v>
      </c>
      <c r="AJ66" s="18">
        <f t="shared" si="150"/>
        <v>1.3206299088313576E-2</v>
      </c>
      <c r="AK66" s="385">
        <f t="shared" si="151"/>
        <v>0.25230598981721991</v>
      </c>
      <c r="AL66" s="10">
        <f t="shared" si="23"/>
        <v>5.1155163300929833E-2</v>
      </c>
      <c r="AM66" s="17">
        <f t="shared" si="45"/>
        <v>3.0981450738242766E-2</v>
      </c>
      <c r="AN66" s="17">
        <f t="shared" si="46"/>
        <v>3.2546433236164012E-2</v>
      </c>
      <c r="AO66" s="314">
        <f t="shared" si="47"/>
        <v>0.62179873390396168</v>
      </c>
      <c r="AP66" s="448">
        <f t="shared" si="24"/>
        <v>2.3737915375592458E-2</v>
      </c>
      <c r="AQ66" s="18">
        <f t="shared" si="152"/>
        <v>2.1384300727768406E-2</v>
      </c>
      <c r="AR66" s="18">
        <f t="shared" si="153"/>
        <v>2.1532773535739087E-2</v>
      </c>
      <c r="AS66" s="385">
        <f t="shared" si="154"/>
        <v>0.41138306077380032</v>
      </c>
      <c r="AT66" s="6">
        <f t="shared" si="0"/>
        <v>719430.95</v>
      </c>
      <c r="AU66" s="319">
        <f t="shared" si="165"/>
        <v>86.928733361998496</v>
      </c>
      <c r="AV66" s="140">
        <f t="shared" si="1"/>
        <v>2814655.8</v>
      </c>
      <c r="AW66" s="481">
        <f t="shared" si="166"/>
        <v>1103.9273297060533</v>
      </c>
      <c r="AX66" s="135">
        <f t="shared" si="97"/>
        <v>507789.417940691</v>
      </c>
      <c r="AY66" s="21">
        <f t="shared" si="98"/>
        <v>5666.4052303314793</v>
      </c>
      <c r="AZ66" s="319">
        <f t="shared" si="99"/>
        <v>89.614031700832982</v>
      </c>
      <c r="BA66" s="21">
        <f t="shared" si="2"/>
        <v>92.483333333333334</v>
      </c>
      <c r="BB66" s="21">
        <f t="shared" si="3"/>
        <v>703705.68333333335</v>
      </c>
      <c r="BC66" s="21">
        <f t="shared" si="61"/>
        <v>591476.87921130902</v>
      </c>
      <c r="BD66" s="21">
        <f t="shared" si="57"/>
        <v>6432.8517764586868</v>
      </c>
      <c r="BE66" s="332">
        <f t="shared" si="58"/>
        <v>91.946293769094055</v>
      </c>
      <c r="BF66" s="141">
        <f t="shared" si="100"/>
        <v>3248426.4266560641</v>
      </c>
      <c r="BG66" s="118">
        <f t="shared" si="101"/>
        <v>2862.7080331637358</v>
      </c>
      <c r="BH66" s="329">
        <f t="shared" si="102"/>
        <v>1134.7389915506158</v>
      </c>
      <c r="BI66" s="118">
        <f t="shared" si="4"/>
        <v>1149.8833333333334</v>
      </c>
      <c r="BJ66" s="118">
        <f t="shared" si="5"/>
        <v>2826413.2333333334</v>
      </c>
      <c r="BK66" s="118">
        <f t="shared" si="62"/>
        <v>2866046.2861743579</v>
      </c>
      <c r="BL66" s="118">
        <f t="shared" si="59"/>
        <v>2507.1852199230148</v>
      </c>
      <c r="BM66" s="325">
        <f t="shared" si="60"/>
        <v>1143.1330495249019</v>
      </c>
      <c r="BN66" s="6">
        <f t="shared" si="6"/>
        <v>697745.3</v>
      </c>
      <c r="BO66" s="331">
        <f t="shared" si="87"/>
        <v>88.475102599179195</v>
      </c>
      <c r="BP66" s="319">
        <f t="shared" si="55"/>
        <v>92.709514819441281</v>
      </c>
      <c r="BQ66" s="331">
        <f t="shared" si="139"/>
        <v>86.926578018936937</v>
      </c>
      <c r="BR66" s="332">
        <f t="shared" si="88"/>
        <v>89.079866081071344</v>
      </c>
      <c r="BS66" s="140">
        <f t="shared" si="7"/>
        <v>2845995.3</v>
      </c>
      <c r="BT66" s="339">
        <f t="shared" si="89"/>
        <v>1130.5403769537234</v>
      </c>
      <c r="BU66" s="329">
        <f t="shared" si="56"/>
        <v>1148.5240702479339</v>
      </c>
      <c r="BV66" s="339">
        <f t="shared" si="140"/>
        <v>1122.5304537404229</v>
      </c>
      <c r="BW66" s="325">
        <f t="shared" si="90"/>
        <v>1132.4002214916557</v>
      </c>
      <c r="BX66" s="21">
        <f t="shared" si="91"/>
        <v>519217.20128857787</v>
      </c>
      <c r="BY66" s="21">
        <f t="shared" si="92"/>
        <v>5761.4275962439033</v>
      </c>
      <c r="BZ66" s="21">
        <f t="shared" si="93"/>
        <v>90.119539404968933</v>
      </c>
      <c r="CA66" s="21">
        <f t="shared" si="129"/>
        <v>428280.34228016075</v>
      </c>
      <c r="CB66" s="21">
        <f t="shared" si="130"/>
        <v>4829.4954605779512</v>
      </c>
      <c r="CC66" s="21">
        <f t="shared" si="135"/>
        <v>88.680141802826739</v>
      </c>
      <c r="CD66" s="342">
        <f t="shared" si="131"/>
        <v>1.4393976021421935</v>
      </c>
      <c r="CE66" s="342">
        <f t="shared" si="163"/>
        <v>0.68267181690144341</v>
      </c>
      <c r="CF66" s="343">
        <f t="shared" si="156"/>
        <v>0.75672578524075007</v>
      </c>
      <c r="CG66" s="141">
        <f t="shared" si="94"/>
        <v>3220719.8290763344</v>
      </c>
      <c r="CH66" s="118">
        <f t="shared" si="95"/>
        <v>2833.3970679797089</v>
      </c>
      <c r="CI66" s="118">
        <f t="shared" si="96"/>
        <v>1136.699075986832</v>
      </c>
      <c r="CJ66" s="118">
        <f t="shared" si="132"/>
        <v>3401852.1197231449</v>
      </c>
      <c r="CK66" s="118">
        <f t="shared" si="133"/>
        <v>3014.168196976465</v>
      </c>
      <c r="CL66" s="118">
        <f t="shared" si="136"/>
        <v>1128.6205338957423</v>
      </c>
      <c r="CM66" s="350">
        <f t="shared" si="134"/>
        <v>8.0785420910897301</v>
      </c>
      <c r="CN66" s="350">
        <f t="shared" si="164"/>
        <v>8.5489384967852882</v>
      </c>
      <c r="CO66" s="351">
        <f t="shared" si="158"/>
        <v>-0.47039640569555807</v>
      </c>
      <c r="CP66" s="20">
        <f t="shared" si="26"/>
        <v>-2.4833333333333201</v>
      </c>
      <c r="CQ66" s="21">
        <f t="shared" si="27"/>
        <v>0</v>
      </c>
      <c r="CR66" s="21">
        <f t="shared" si="28"/>
        <v>703705.68333333335</v>
      </c>
      <c r="CS66" s="21">
        <f t="shared" si="159"/>
        <v>315329.29966700712</v>
      </c>
      <c r="CT66" s="21">
        <f t="shared" si="159"/>
        <v>185477.18644072715</v>
      </c>
      <c r="CU66" s="21">
        <f t="shared" si="105"/>
        <v>1.7000974929484212</v>
      </c>
      <c r="CV66" s="342">
        <f t="shared" si="106"/>
        <v>62.964300266505134</v>
      </c>
      <c r="CW66" s="342">
        <f t="shared" si="161"/>
        <v>51.453432989007688</v>
      </c>
      <c r="CX66" s="355">
        <f t="shared" si="146"/>
        <v>54.3355878009138</v>
      </c>
      <c r="CY66" s="141">
        <f t="shared" si="29"/>
        <v>-3.3499999999999091</v>
      </c>
      <c r="CZ66" s="118">
        <f t="shared" si="30"/>
        <v>0</v>
      </c>
      <c r="DA66" s="118">
        <f t="shared" si="31"/>
        <v>2826413.2333333334</v>
      </c>
      <c r="DB66" s="118">
        <f t="shared" si="160"/>
        <v>1487044.4802922192</v>
      </c>
      <c r="DC66" s="118">
        <f t="shared" si="160"/>
        <v>1793370.3382431713</v>
      </c>
      <c r="DD66" s="118">
        <f t="shared" si="107"/>
        <v>0.82918984918026672</v>
      </c>
      <c r="DE66" s="350">
        <f t="shared" si="108"/>
        <v>45.330988992304974</v>
      </c>
      <c r="DF66" s="350">
        <f t="shared" si="162"/>
        <v>56.909435895083703</v>
      </c>
      <c r="DG66" s="351">
        <f t="shared" si="147"/>
        <v>56.605194532041409</v>
      </c>
      <c r="DH66" s="135">
        <f t="shared" si="32"/>
        <v>4.75</v>
      </c>
      <c r="DI66" s="20">
        <f t="shared" si="33"/>
        <v>36142.75</v>
      </c>
      <c r="DJ66" s="21">
        <f t="shared" si="127"/>
        <v>20305.093132389367</v>
      </c>
      <c r="DK66" s="21">
        <f t="shared" si="122"/>
        <v>5070.3490375340853</v>
      </c>
      <c r="DL66" s="319">
        <f t="shared" si="123"/>
        <v>4.0046736392460573</v>
      </c>
      <c r="DM66" s="21">
        <f t="shared" si="124"/>
        <v>16018.69455698423</v>
      </c>
      <c r="DN66" s="21">
        <f>DM66*'Base Data'!$D$10</f>
        <v>32037.38911396846</v>
      </c>
      <c r="DO66" s="363">
        <f>IF(INT(('Base Data'!$D$7)/DN66)=0,0,INT(('Base Data'!$D$7)/DN66))</f>
        <v>0</v>
      </c>
      <c r="DP66" s="364">
        <f t="shared" si="113"/>
        <v>4.3671468257863222E-2</v>
      </c>
      <c r="DQ66" s="141">
        <f t="shared" si="34"/>
        <v>27.200000000000045</v>
      </c>
      <c r="DR66" s="143">
        <f t="shared" si="35"/>
        <v>66857.600000000108</v>
      </c>
      <c r="DS66" s="118">
        <f t="shared" si="128"/>
        <v>82856.77167958075</v>
      </c>
      <c r="DT66" s="118">
        <f t="shared" si="125"/>
        <v>2985.94780515609</v>
      </c>
      <c r="DU66" s="329">
        <f t="shared" si="126"/>
        <v>27.748901550289968</v>
      </c>
      <c r="DV66" s="118">
        <f t="shared" si="114"/>
        <v>16649.340930173981</v>
      </c>
      <c r="DW66" s="118">
        <f>DV66*'Base Data'!$D$10</f>
        <v>33298.681860347962</v>
      </c>
      <c r="DX66" s="375">
        <f>IF(INT(('Base Data'!$D$7)/DW66)=0,0,INT(('Base Data'!$D$7)/DW66))</f>
        <v>0</v>
      </c>
      <c r="DY66" s="376">
        <f t="shared" si="115"/>
        <v>2.3965886384497103E-2</v>
      </c>
      <c r="DZ66" s="135">
        <f t="shared" si="36"/>
        <v>4.75</v>
      </c>
      <c r="EA66" s="21">
        <f t="shared" si="37"/>
        <v>36142.75</v>
      </c>
      <c r="EB66" s="21">
        <f t="shared" si="79"/>
        <v>27863.708123674267</v>
      </c>
      <c r="EC66" s="21">
        <f t="shared" si="75"/>
        <v>6173.8409284180043</v>
      </c>
      <c r="ED66" s="319">
        <f t="shared" si="76"/>
        <v>4.5131885396363964</v>
      </c>
      <c r="EE66" s="21">
        <f t="shared" si="63"/>
        <v>18052.754158545587</v>
      </c>
      <c r="EF66" s="21">
        <f>EE66*'Base Data'!$D$13</f>
        <v>13539.56561890919</v>
      </c>
      <c r="EG66" s="363">
        <f>IF(INT(('Base Data'!$D$7)/EF66)=0,0,INT(('Base Data'!$D$7)/EF66))</f>
        <v>0</v>
      </c>
      <c r="EH66" s="314">
        <f t="shared" si="64"/>
        <v>4.9216887018935618E-2</v>
      </c>
      <c r="EI66" s="143">
        <f t="shared" si="38"/>
        <v>27.200000000000045</v>
      </c>
      <c r="EJ66" s="118">
        <f t="shared" si="39"/>
        <v>66857.600000000108</v>
      </c>
      <c r="EK66" s="118">
        <f t="shared" si="80"/>
        <v>70504.903775106955</v>
      </c>
      <c r="EL66" s="118">
        <f t="shared" si="77"/>
        <v>2671.8216841327394</v>
      </c>
      <c r="EM66" s="329">
        <f t="shared" si="78"/>
        <v>26.388326808565637</v>
      </c>
      <c r="EN66" s="118">
        <f t="shared" si="65"/>
        <v>15832.996085139383</v>
      </c>
      <c r="EO66" s="118">
        <f>EN66*'Base Data'!$D$13</f>
        <v>11874.747063854536</v>
      </c>
      <c r="EP66" s="375">
        <f>IF(INT(('Base Data'!$D$7)/EO66)=0,0,INT(('Base Data'!$D$7)/EO66))</f>
        <v>0</v>
      </c>
      <c r="EQ66" s="385">
        <f t="shared" si="66"/>
        <v>2.2790799161001546E-2</v>
      </c>
      <c r="ER66" s="397">
        <f t="shared" si="116"/>
        <v>1.281439261730243</v>
      </c>
      <c r="ES66" s="403">
        <f t="shared" si="67"/>
        <v>0.64763894550307211</v>
      </c>
      <c r="ET66" s="405">
        <f t="shared" si="117"/>
        <v>0.64160983892287093</v>
      </c>
      <c r="EU66" s="410">
        <f t="shared" si="68"/>
        <v>1.1813935846012247</v>
      </c>
      <c r="EV66" s="20">
        <f t="shared" si="8"/>
        <v>4.75</v>
      </c>
      <c r="EW66" s="17">
        <f t="shared" si="9"/>
        <v>5.0237969328397677E-2</v>
      </c>
      <c r="EX66" s="388">
        <f t="shared" si="69"/>
        <v>4.1253159526327708E-2</v>
      </c>
      <c r="EY66" s="388">
        <f t="shared" si="103"/>
        <v>3.3609686014335435E-2</v>
      </c>
      <c r="EZ66" s="314">
        <f t="shared" si="118"/>
        <v>2.8555788858413266E-2</v>
      </c>
      <c r="FA66" s="442">
        <f t="shared" si="10"/>
        <v>27.200000000000045</v>
      </c>
      <c r="FB66" s="18">
        <f t="shared" si="11"/>
        <v>2.3753383983931575E-2</v>
      </c>
      <c r="FC66" s="394">
        <f t="shared" si="70"/>
        <v>2.2074928740397272E-2</v>
      </c>
      <c r="FD66" s="394">
        <f t="shared" si="104"/>
        <v>2.032447459201225E-2</v>
      </c>
      <c r="FE66" s="385">
        <f t="shared" si="119"/>
        <v>2.1317136831840906E-2</v>
      </c>
      <c r="FF66" s="416">
        <f t="shared" si="49"/>
        <v>2</v>
      </c>
      <c r="FG66" s="417">
        <f t="shared" si="50"/>
        <v>1</v>
      </c>
      <c r="FH66" s="415">
        <f t="shared" si="111"/>
        <v>56.711409395973213</v>
      </c>
      <c r="FI66" s="413" t="str">
        <f t="shared" si="120"/>
        <v>T-D</v>
      </c>
      <c r="FJ66" s="404">
        <f t="shared" si="112"/>
        <v>35.964479526393539</v>
      </c>
      <c r="FK66" s="414" t="str">
        <f t="shared" si="121"/>
        <v>T-R</v>
      </c>
      <c r="FL66" s="415">
        <f t="shared" si="71"/>
        <v>48.657718120805399</v>
      </c>
      <c r="FM66" s="413" t="str">
        <f t="shared" si="72"/>
        <v>T-D</v>
      </c>
      <c r="FN66" s="404">
        <f t="shared" si="73"/>
        <v>68.984615384615338</v>
      </c>
      <c r="FO66" s="414" t="str">
        <f t="shared" si="74"/>
        <v>T-R</v>
      </c>
      <c r="FQ66" s="135">
        <f t="shared" si="51"/>
        <v>93.173984268746437</v>
      </c>
      <c r="FR66" s="21">
        <f t="shared" si="12"/>
        <v>95.25</v>
      </c>
      <c r="FS66" s="21">
        <f t="shared" si="13"/>
        <v>90.5</v>
      </c>
      <c r="FT66" s="182">
        <f t="shared" si="14"/>
        <v>93</v>
      </c>
      <c r="FU66" s="141">
        <f t="shared" si="52"/>
        <v>1147.9280336648217</v>
      </c>
      <c r="FV66" s="118">
        <f t="shared" si="15"/>
        <v>1159.5</v>
      </c>
      <c r="FW66" s="118">
        <f t="shared" si="16"/>
        <v>1132.3</v>
      </c>
      <c r="FX66" s="181">
        <f t="shared" si="17"/>
        <v>1148.6875</v>
      </c>
    </row>
    <row r="67" spans="5:180" x14ac:dyDescent="0.3">
      <c r="L67" s="283">
        <f t="shared" si="40"/>
        <v>64</v>
      </c>
      <c r="M67" s="290">
        <f>'[6]ASHOKLEY-I'!C83</f>
        <v>42888</v>
      </c>
      <c r="N67" s="7">
        <f>'[6]ASHOKLEY-I'!D83</f>
        <v>92</v>
      </c>
      <c r="O67" s="7">
        <f>'[6]ASHOKLEY-I'!E83</f>
        <v>93.8</v>
      </c>
      <c r="P67" s="7">
        <f>'[6]ASHOKLEY-I'!F83</f>
        <v>91.65</v>
      </c>
      <c r="Q67" s="7">
        <f>'[6]ASHOKLEY-I'!G83</f>
        <v>93.4</v>
      </c>
      <c r="R67" s="11">
        <f>'[6]ASHOKLEY-I'!H83</f>
        <v>3530</v>
      </c>
      <c r="S67" s="291">
        <f>'[7]ASIANPAINT-I'!C83</f>
        <v>42888</v>
      </c>
      <c r="T67" s="9">
        <f>'[7]ASIANPAINT-I'!D83</f>
        <v>1159.1500000000001</v>
      </c>
      <c r="U67" s="9">
        <f>'[7]ASIANPAINT-I'!E83</f>
        <v>1172.3499999999999</v>
      </c>
      <c r="V67" s="9">
        <f>'[7]ASIANPAINT-I'!F83</f>
        <v>1159</v>
      </c>
      <c r="W67" s="9">
        <f>'[7]ASIANPAINT-I'!G83</f>
        <v>1162.55</v>
      </c>
      <c r="X67" s="12">
        <f>'[7]ASIANPAINT-I'!H83</f>
        <v>2137</v>
      </c>
      <c r="Y67" s="115"/>
      <c r="Z67" s="122">
        <f t="shared" si="18"/>
        <v>1.8538713195201777E-2</v>
      </c>
      <c r="AA67" s="19">
        <f t="shared" si="19"/>
        <v>4.0592477436628633E-3</v>
      </c>
      <c r="AB67" s="305">
        <f>IF(OR(SUM(Z47:Z67)=0,SUM('BNF-Nifty'!AA47:AA67)=0),0,(_xlfn.COVARIANCE.P(Z47:Z67,'BNF-Nifty'!AA47:AA67)/_xlfn.VAR.P('BNF-Nifty'!AA47:AA67)))</f>
        <v>2.9462597946959783</v>
      </c>
      <c r="AC67" s="306">
        <f>IF(OR(SUM(AA47:AA67)=0,SUM('BNF-Nifty'!AA47:AA67)=0),0,(_xlfn.COVARIANCE.P(AA47:AA67,'BNF-Nifty'!AA47:AA67)/_xlfn.VAR.P('BNF-Nifty'!AA47:AA67)))</f>
        <v>1.0141169952783113</v>
      </c>
      <c r="AD67" s="466">
        <f>IF(OR(Q66=0,Q67=0),0,LN(Q67/Q66))</f>
        <v>1.8368965972377756E-2</v>
      </c>
      <c r="AE67" s="17">
        <f t="shared" si="41"/>
        <v>2.4748906146118292E-2</v>
      </c>
      <c r="AF67" s="17">
        <f t="shared" si="42"/>
        <v>2.4413172443524658E-2</v>
      </c>
      <c r="AG67" s="314">
        <f t="shared" si="43"/>
        <v>0.46641300463902607</v>
      </c>
      <c r="AH67" s="467">
        <f t="shared" si="21"/>
        <v>4.0510312252912172E-3</v>
      </c>
      <c r="AI67" s="18">
        <f t="shared" si="149"/>
        <v>1.3206299088313576E-2</v>
      </c>
      <c r="AJ67" s="18">
        <f t="shared" si="150"/>
        <v>1.2842375431075418E-2</v>
      </c>
      <c r="AK67" s="385">
        <f t="shared" si="151"/>
        <v>0.24535323810810339</v>
      </c>
      <c r="AL67" s="10">
        <f t="shared" si="23"/>
        <v>2.3187881726464778E-2</v>
      </c>
      <c r="AM67" s="17">
        <f t="shared" si="45"/>
        <v>3.2546433236164012E-2</v>
      </c>
      <c r="AN67" s="17">
        <f t="shared" si="46"/>
        <v>3.2062045613933429E-2</v>
      </c>
      <c r="AO67" s="314">
        <f t="shared" si="47"/>
        <v>0.6125445213751658</v>
      </c>
      <c r="AP67" s="448">
        <f t="shared" si="24"/>
        <v>1.1452717026993004E-2</v>
      </c>
      <c r="AQ67" s="18">
        <f t="shared" si="152"/>
        <v>2.1532773535739087E-2</v>
      </c>
      <c r="AR67" s="18">
        <f t="shared" si="153"/>
        <v>2.1064439219000409E-2</v>
      </c>
      <c r="AS67" s="385">
        <f t="shared" si="154"/>
        <v>0.40243554621579009</v>
      </c>
      <c r="AT67" s="6">
        <f t="shared" si="0"/>
        <v>324760</v>
      </c>
      <c r="AU67" s="319">
        <f t="shared" si="165"/>
        <v>86.984234738048983</v>
      </c>
      <c r="AV67" s="140">
        <f t="shared" si="1"/>
        <v>2477103.5500000003</v>
      </c>
      <c r="AW67" s="481">
        <f t="shared" si="166"/>
        <v>1105.5456031405251</v>
      </c>
      <c r="AX67" s="135">
        <f t="shared" si="97"/>
        <v>481642.35823487799</v>
      </c>
      <c r="AY67" s="21">
        <f t="shared" si="98"/>
        <v>5361.2044831412677</v>
      </c>
      <c r="AZ67" s="319">
        <f t="shared" si="99"/>
        <v>89.838460694689147</v>
      </c>
      <c r="BA67" s="21">
        <f t="shared" si="2"/>
        <v>92.95</v>
      </c>
      <c r="BB67" s="21">
        <f t="shared" si="3"/>
        <v>328113.5</v>
      </c>
      <c r="BC67" s="21">
        <f t="shared" si="61"/>
        <v>503689.08614087268</v>
      </c>
      <c r="BD67" s="21">
        <f t="shared" si="57"/>
        <v>5465.2345176391245</v>
      </c>
      <c r="BE67" s="332">
        <f t="shared" si="58"/>
        <v>92.162392028230215</v>
      </c>
      <c r="BF67" s="141">
        <f t="shared" si="100"/>
        <v>3138237.4442766262</v>
      </c>
      <c r="BG67" s="118">
        <f t="shared" si="101"/>
        <v>2759.0354569974879</v>
      </c>
      <c r="BH67" s="329">
        <f t="shared" si="102"/>
        <v>1137.4400558417628</v>
      </c>
      <c r="BI67" s="118">
        <f t="shared" si="4"/>
        <v>1164.6333333333332</v>
      </c>
      <c r="BJ67" s="118">
        <f t="shared" si="5"/>
        <v>2488821.4333333331</v>
      </c>
      <c r="BK67" s="118">
        <f t="shared" si="62"/>
        <v>2740304.6685606828</v>
      </c>
      <c r="BL67" s="118">
        <f t="shared" si="59"/>
        <v>2383.790146615343</v>
      </c>
      <c r="BM67" s="325">
        <f t="shared" si="60"/>
        <v>1149.5578469654897</v>
      </c>
      <c r="BN67" s="6">
        <f t="shared" si="6"/>
        <v>329702</v>
      </c>
      <c r="BO67" s="331">
        <f t="shared" si="87"/>
        <v>88.70244023904381</v>
      </c>
      <c r="BP67" s="319">
        <f t="shared" si="55"/>
        <v>93.104411822893979</v>
      </c>
      <c r="BQ67" s="331">
        <f t="shared" si="139"/>
        <v>87.182337992839393</v>
      </c>
      <c r="BR67" s="332">
        <f t="shared" si="88"/>
        <v>89.351441417428873</v>
      </c>
      <c r="BS67" s="140">
        <f t="shared" si="7"/>
        <v>2484369.35</v>
      </c>
      <c r="BT67" s="339">
        <f t="shared" si="89"/>
        <v>1131.7768791058782</v>
      </c>
      <c r="BU67" s="329">
        <f t="shared" si="56"/>
        <v>1154.9597408207342</v>
      </c>
      <c r="BV67" s="339">
        <f t="shared" si="140"/>
        <v>1124.0925288184435</v>
      </c>
      <c r="BW67" s="325">
        <f t="shared" si="90"/>
        <v>1132.9402425845349</v>
      </c>
      <c r="BX67" s="21">
        <f t="shared" si="91"/>
        <v>489816.63185956591</v>
      </c>
      <c r="BY67" s="21">
        <f t="shared" si="92"/>
        <v>5418.1310429756104</v>
      </c>
      <c r="BZ67" s="21">
        <f t="shared" si="93"/>
        <v>90.403245690152431</v>
      </c>
      <c r="CA67" s="21">
        <f t="shared" si="129"/>
        <v>420860.57618533401</v>
      </c>
      <c r="CB67" s="21">
        <f t="shared" si="130"/>
        <v>4733.2365375721774</v>
      </c>
      <c r="CC67" s="21">
        <f t="shared" si="135"/>
        <v>88.916024552030166</v>
      </c>
      <c r="CD67" s="342">
        <f t="shared" si="131"/>
        <v>1.4872211381222655</v>
      </c>
      <c r="CE67" s="342">
        <f t="shared" si="163"/>
        <v>0.84358168114560783</v>
      </c>
      <c r="CF67" s="343">
        <f t="shared" si="156"/>
        <v>0.6436394569766577</v>
      </c>
      <c r="CG67" s="141">
        <f t="shared" si="94"/>
        <v>3108120.0758851035</v>
      </c>
      <c r="CH67" s="118">
        <f t="shared" si="95"/>
        <v>2726.2590575212921</v>
      </c>
      <c r="CI67" s="118">
        <f t="shared" si="96"/>
        <v>1140.0677669681907</v>
      </c>
      <c r="CJ67" s="118">
        <f t="shared" si="132"/>
        <v>3334220.2170276032</v>
      </c>
      <c r="CK67" s="118">
        <f t="shared" si="133"/>
        <v>2949.1927749782085</v>
      </c>
      <c r="CL67" s="118">
        <f t="shared" si="136"/>
        <v>1130.5535010515682</v>
      </c>
      <c r="CM67" s="350">
        <f t="shared" si="134"/>
        <v>9.5142659166224348</v>
      </c>
      <c r="CN67" s="350">
        <f t="shared" si="164"/>
        <v>8.7420039807527168</v>
      </c>
      <c r="CO67" s="351">
        <f t="shared" si="158"/>
        <v>0.77226193586971803</v>
      </c>
      <c r="CP67" s="20">
        <f t="shared" si="26"/>
        <v>0.46666666666666856</v>
      </c>
      <c r="CQ67" s="21">
        <f t="shared" si="27"/>
        <v>328113.5</v>
      </c>
      <c r="CR67" s="21">
        <f t="shared" si="28"/>
        <v>0</v>
      </c>
      <c r="CS67" s="21">
        <f t="shared" ref="CS67:CT67" si="167">((CQ67-CS66)*(2/(1+14)))+CS66</f>
        <v>317033.85971140617</v>
      </c>
      <c r="CT67" s="21">
        <f t="shared" si="167"/>
        <v>160746.89491529687</v>
      </c>
      <c r="CU67" s="21">
        <f t="shared" si="105"/>
        <v>1.9722549532198574</v>
      </c>
      <c r="CV67" s="342">
        <f t="shared" si="106"/>
        <v>66.355510690067291</v>
      </c>
      <c r="CW67" s="342">
        <f t="shared" si="161"/>
        <v>52.246160927253527</v>
      </c>
      <c r="CX67" s="355">
        <f t="shared" si="146"/>
        <v>55.67373836264499</v>
      </c>
      <c r="CY67" s="141">
        <f t="shared" si="29"/>
        <v>14.749999999999773</v>
      </c>
      <c r="CZ67" s="118">
        <f t="shared" si="30"/>
        <v>2488821.4333333331</v>
      </c>
      <c r="DA67" s="118">
        <f t="shared" si="31"/>
        <v>0</v>
      </c>
      <c r="DB67" s="118">
        <f t="shared" ref="DB67:DC67" si="168">((CZ67-DB66)*(2/(1+14)))+DB66</f>
        <v>1620614.740697701</v>
      </c>
      <c r="DC67" s="118">
        <f t="shared" si="168"/>
        <v>1554254.2931440817</v>
      </c>
      <c r="DD67" s="118">
        <f t="shared" si="107"/>
        <v>1.0426960040234983</v>
      </c>
      <c r="DE67" s="350">
        <f t="shared" si="108"/>
        <v>51.045089527257112</v>
      </c>
      <c r="DF67" s="350">
        <f t="shared" si="162"/>
        <v>56.617248149573236</v>
      </c>
      <c r="DG67" s="351">
        <f t="shared" si="147"/>
        <v>55.545673365960177</v>
      </c>
      <c r="DH67" s="135">
        <f t="shared" si="32"/>
        <v>2.1499999999999915</v>
      </c>
      <c r="DI67" s="20">
        <f t="shared" si="33"/>
        <v>7589.49999999997</v>
      </c>
      <c r="DJ67" s="21">
        <f t="shared" si="127"/>
        <v>19149.130120353966</v>
      </c>
      <c r="DK67" s="21">
        <f t="shared" si="122"/>
        <v>4930.3173068491687</v>
      </c>
      <c r="DL67" s="319">
        <f t="shared" si="123"/>
        <v>3.8839549117360264</v>
      </c>
      <c r="DM67" s="21">
        <f t="shared" si="124"/>
        <v>15535.819646944106</v>
      </c>
      <c r="DN67" s="21">
        <f>DM67*'Base Data'!$D$10</f>
        <v>31071.639293888213</v>
      </c>
      <c r="DO67" s="363">
        <f>IF(INT(('Base Data'!$D$7)/DN67)=0,0,INT(('Base Data'!$D$7)/DN67))</f>
        <v>0</v>
      </c>
      <c r="DP67" s="364">
        <f t="shared" si="113"/>
        <v>4.1584099697387862E-2</v>
      </c>
      <c r="DQ67" s="141">
        <f t="shared" si="34"/>
        <v>14.5</v>
      </c>
      <c r="DR67" s="143">
        <f t="shared" si="35"/>
        <v>30986.5</v>
      </c>
      <c r="DS67" s="118">
        <f t="shared" si="128"/>
        <v>78141.292435982497</v>
      </c>
      <c r="DT67" s="118">
        <f t="shared" si="125"/>
        <v>2908.7707319600818</v>
      </c>
      <c r="DU67" s="329">
        <f t="shared" si="126"/>
        <v>26.864025953440066</v>
      </c>
      <c r="DV67" s="118">
        <f t="shared" si="114"/>
        <v>16118.415572064039</v>
      </c>
      <c r="DW67" s="118">
        <f>DV67*'Base Data'!$D$10</f>
        <v>32236.831144128078</v>
      </c>
      <c r="DX67" s="375">
        <f>IF(INT(('Base Data'!$D$7)/DW67)=0,0,INT(('Base Data'!$D$7)/DW67))</f>
        <v>0</v>
      </c>
      <c r="DY67" s="376">
        <f t="shared" si="115"/>
        <v>2.3107845644006766E-2</v>
      </c>
      <c r="DZ67" s="135">
        <f t="shared" si="36"/>
        <v>2.1499999999999915</v>
      </c>
      <c r="EA67" s="21">
        <f t="shared" si="37"/>
        <v>7589.49999999997</v>
      </c>
      <c r="EB67" s="21">
        <f t="shared" si="79"/>
        <v>23358.328540635535</v>
      </c>
      <c r="EC67" s="21">
        <f t="shared" si="75"/>
        <v>5586.3207221028924</v>
      </c>
      <c r="ED67" s="319">
        <f t="shared" si="76"/>
        <v>4.1813439833870865</v>
      </c>
      <c r="EE67" s="21">
        <f t="shared" si="63"/>
        <v>16725.375933548345</v>
      </c>
      <c r="EF67" s="21">
        <f>EE67*'Base Data'!$D$13</f>
        <v>12544.031950161258</v>
      </c>
      <c r="EG67" s="363">
        <f>IF(INT(('Base Data'!$D$7)/EF67)=0,0,INT(('Base Data'!$D$7)/EF67))</f>
        <v>0</v>
      </c>
      <c r="EH67" s="314">
        <f t="shared" si="64"/>
        <v>4.4768136867099427E-2</v>
      </c>
      <c r="EI67" s="143">
        <f t="shared" si="38"/>
        <v>14.5</v>
      </c>
      <c r="EJ67" s="118">
        <f t="shared" si="39"/>
        <v>30986.5</v>
      </c>
      <c r="EK67" s="118">
        <f t="shared" si="80"/>
        <v>61723.036269527634</v>
      </c>
      <c r="EL67" s="118">
        <f t="shared" si="77"/>
        <v>2552.9724209921305</v>
      </c>
      <c r="EM67" s="329">
        <f t="shared" si="78"/>
        <v>24.176930295839611</v>
      </c>
      <c r="EN67" s="118">
        <f t="shared" si="65"/>
        <v>14506.158177503767</v>
      </c>
      <c r="EO67" s="118">
        <f>EN67*'Base Data'!$D$13</f>
        <v>10879.618633127826</v>
      </c>
      <c r="EP67" s="375">
        <f>IF(INT(('Base Data'!$D$7)/EO67)=0,0,INT(('Base Data'!$D$7)/EO67))</f>
        <v>0</v>
      </c>
      <c r="EQ67" s="385">
        <f t="shared" si="66"/>
        <v>2.0796464922661056E-2</v>
      </c>
      <c r="ER67" s="397">
        <f t="shared" si="116"/>
        <v>1.65965668822621</v>
      </c>
      <c r="ES67" s="403">
        <f t="shared" si="67"/>
        <v>0.90281976680188769</v>
      </c>
      <c r="ET67" s="405">
        <f t="shared" si="117"/>
        <v>0.78540745850136395</v>
      </c>
      <c r="EU67" s="410">
        <f t="shared" si="68"/>
        <v>1.3249545306769417</v>
      </c>
      <c r="EV67" s="20">
        <f t="shared" si="8"/>
        <v>2.1499999999999915</v>
      </c>
      <c r="EW67" s="17">
        <f t="shared" si="9"/>
        <v>2.3369565217391211E-2</v>
      </c>
      <c r="EX67" s="388">
        <f t="shared" si="69"/>
        <v>4.0623630540820445E-2</v>
      </c>
      <c r="EY67" s="388">
        <f t="shared" si="103"/>
        <v>3.4247924587356607E-2</v>
      </c>
      <c r="EZ67" s="314">
        <f t="shared" si="118"/>
        <v>2.8987542375490932E-2</v>
      </c>
      <c r="FA67" s="442">
        <f t="shared" si="10"/>
        <v>13.349999999999909</v>
      </c>
      <c r="FB67" s="18">
        <f t="shared" si="11"/>
        <v>1.1517059914592511E-2</v>
      </c>
      <c r="FC67" s="394">
        <f t="shared" si="70"/>
        <v>1.9843661051468207E-2</v>
      </c>
      <c r="FD67" s="394">
        <f t="shared" si="104"/>
        <v>2.0262990403972465E-2</v>
      </c>
      <c r="FE67" s="385">
        <f t="shared" si="119"/>
        <v>2.13060423274051E-2</v>
      </c>
      <c r="FF67" s="416">
        <f>IF(Q66&lt;((O65+P65+Q65)/3),1,IF(Q66&gt;((O65+P65+Q65)/3),2,0))</f>
        <v>1</v>
      </c>
      <c r="FG67" s="417">
        <f>IF(W66&lt;((U65+V65+W65)/3),1,IF(W66&gt;((U65+V65+W65)/3),2,0))</f>
        <v>2</v>
      </c>
      <c r="FH67" s="415">
        <f t="shared" si="111"/>
        <v>65.100671140939653</v>
      </c>
      <c r="FI67" s="413" t="str">
        <f t="shared" si="120"/>
        <v>T-R</v>
      </c>
      <c r="FJ67" s="404">
        <f t="shared" si="112"/>
        <v>27.873704982733127</v>
      </c>
      <c r="FK67" s="414" t="str">
        <f t="shared" si="121"/>
        <v>C-D</v>
      </c>
      <c r="FL67" s="415">
        <f t="shared" si="71"/>
        <v>73.82550335570474</v>
      </c>
      <c r="FM67" s="413" t="str">
        <f t="shared" si="72"/>
        <v>T-R</v>
      </c>
      <c r="FN67" s="404">
        <f t="shared" si="73"/>
        <v>75.585284280936563</v>
      </c>
      <c r="FO67" s="414" t="str">
        <f t="shared" si="74"/>
        <v>T-R</v>
      </c>
      <c r="FQ67" s="135">
        <f t="shared" si="51"/>
        <v>93.086992134373219</v>
      </c>
      <c r="FR67" s="21">
        <f t="shared" si="12"/>
        <v>93.8</v>
      </c>
      <c r="FS67" s="21">
        <f t="shared" si="13"/>
        <v>91.65</v>
      </c>
      <c r="FT67" s="182">
        <f t="shared" si="14"/>
        <v>92.712500000000006</v>
      </c>
      <c r="FU67" s="141">
        <f t="shared" si="52"/>
        <v>1148.3077668324108</v>
      </c>
      <c r="FV67" s="118">
        <f t="shared" si="15"/>
        <v>1172.3499999999999</v>
      </c>
      <c r="FW67" s="118">
        <f t="shared" si="16"/>
        <v>1148.3077668324108</v>
      </c>
      <c r="FX67" s="181">
        <f t="shared" si="17"/>
        <v>1163.2625</v>
      </c>
    </row>
    <row r="68" spans="5:180" ht="11.15" thickBot="1" x14ac:dyDescent="0.35">
      <c r="L68" s="279"/>
      <c r="M68" s="38"/>
      <c r="N68" s="40"/>
      <c r="O68" s="40"/>
      <c r="P68" s="40"/>
      <c r="Q68" s="40"/>
      <c r="R68" s="42"/>
      <c r="S68" s="49"/>
      <c r="T68" s="40"/>
      <c r="U68" s="40"/>
      <c r="V68" s="40"/>
      <c r="W68" s="40"/>
      <c r="X68" s="42"/>
      <c r="Z68" s="38"/>
      <c r="AA68" s="39"/>
      <c r="AB68" s="309"/>
      <c r="AC68" s="310"/>
      <c r="AD68" s="43"/>
      <c r="AE68" s="44"/>
      <c r="AF68" s="44"/>
      <c r="AG68" s="468"/>
      <c r="AH68" s="43"/>
      <c r="AI68" s="44"/>
      <c r="AJ68" s="44"/>
      <c r="AK68" s="468"/>
      <c r="AL68" s="43"/>
      <c r="AM68" s="44"/>
      <c r="AN68" s="44"/>
      <c r="AO68" s="316"/>
      <c r="AP68" s="251"/>
      <c r="AQ68" s="44"/>
      <c r="AR68" s="44"/>
      <c r="AS68" s="316"/>
      <c r="AT68" s="251"/>
      <c r="AU68" s="321"/>
      <c r="AV68" s="136"/>
      <c r="AW68" s="323"/>
      <c r="AX68" s="485"/>
      <c r="AY68" s="252"/>
      <c r="AZ68" s="321"/>
      <c r="BA68" s="50"/>
      <c r="BB68" s="50"/>
      <c r="BC68" s="50"/>
      <c r="BD68" s="50"/>
      <c r="BE68" s="327"/>
      <c r="BF68" s="136"/>
      <c r="BG68" s="50"/>
      <c r="BH68" s="321"/>
      <c r="BI68" s="50"/>
      <c r="BJ68" s="50"/>
      <c r="BK68" s="50"/>
      <c r="BL68" s="50"/>
      <c r="BM68" s="327"/>
      <c r="BN68" s="136"/>
      <c r="BO68" s="334"/>
      <c r="BP68" s="321"/>
      <c r="BQ68" s="334"/>
      <c r="BR68" s="327"/>
      <c r="BS68" s="136"/>
      <c r="BT68" s="334"/>
      <c r="BU68" s="321"/>
      <c r="BV68" s="334"/>
      <c r="BW68" s="327"/>
      <c r="BX68" s="50"/>
      <c r="BY68" s="50"/>
      <c r="BZ68" s="50"/>
      <c r="CA68" s="50"/>
      <c r="CB68" s="50"/>
      <c r="CC68" s="50"/>
      <c r="CD68" s="346"/>
      <c r="CE68" s="346"/>
      <c r="CF68" s="347"/>
      <c r="CG68" s="245"/>
      <c r="CH68" s="47"/>
      <c r="CI68" s="50"/>
      <c r="CJ68" s="50"/>
      <c r="CK68" s="50"/>
      <c r="CL68" s="50"/>
      <c r="CM68" s="346"/>
      <c r="CN68" s="346"/>
      <c r="CO68" s="353"/>
      <c r="CP68" s="49"/>
      <c r="CQ68" s="41"/>
      <c r="CR68" s="41"/>
      <c r="CS68" s="41"/>
      <c r="CT68" s="41"/>
      <c r="CU68" s="41"/>
      <c r="CV68" s="356"/>
      <c r="CW68" s="356"/>
      <c r="CX68" s="357"/>
      <c r="CY68" s="38"/>
      <c r="CZ68" s="41"/>
      <c r="DA68" s="41"/>
      <c r="DB68" s="41"/>
      <c r="DC68" s="41"/>
      <c r="DD68" s="41"/>
      <c r="DE68" s="356"/>
      <c r="DF68" s="356"/>
      <c r="DG68" s="357"/>
      <c r="DH68" s="137"/>
      <c r="DI68" s="45"/>
      <c r="DJ68" s="50"/>
      <c r="DK68" s="50"/>
      <c r="DL68" s="321"/>
      <c r="DM68" s="50"/>
      <c r="DN68" s="50"/>
      <c r="DO68" s="367"/>
      <c r="DP68" s="368"/>
      <c r="DQ68" s="137"/>
      <c r="DR68" s="45"/>
      <c r="DS68" s="50"/>
      <c r="DT68" s="50"/>
      <c r="DU68" s="321"/>
      <c r="DV68" s="50"/>
      <c r="DW68" s="50"/>
      <c r="DX68" s="321"/>
      <c r="DY68" s="378"/>
      <c r="DZ68" s="137"/>
      <c r="EA68" s="46"/>
      <c r="EB68" s="50"/>
      <c r="EC68" s="50"/>
      <c r="ED68" s="321"/>
      <c r="EE68" s="50"/>
      <c r="EF68" s="50"/>
      <c r="EG68" s="367"/>
      <c r="EH68" s="382"/>
      <c r="EI68" s="45"/>
      <c r="EJ68" s="46"/>
      <c r="EK68" s="50"/>
      <c r="EL68" s="50"/>
      <c r="EM68" s="321"/>
      <c r="EN68" s="50"/>
      <c r="EO68" s="50"/>
      <c r="EP68" s="321"/>
      <c r="EQ68" s="327"/>
      <c r="ER68" s="399"/>
      <c r="ES68" s="310"/>
      <c r="ET68" s="407"/>
      <c r="EU68" s="327"/>
      <c r="EV68" s="131"/>
      <c r="EW68" s="44"/>
      <c r="EX68" s="390"/>
      <c r="EY68" s="390"/>
      <c r="EZ68" s="316"/>
      <c r="FA68" s="444"/>
      <c r="FB68" s="44"/>
      <c r="FC68" s="390"/>
      <c r="FD68" s="390"/>
      <c r="FE68" s="316"/>
      <c r="FF68" s="422"/>
      <c r="FG68" s="423"/>
      <c r="FH68" s="407"/>
      <c r="FI68" s="327"/>
      <c r="FJ68" s="407"/>
      <c r="FK68" s="327"/>
      <c r="FL68" s="407"/>
      <c r="FM68" s="327"/>
      <c r="FN68" s="407"/>
      <c r="FO68" s="327"/>
      <c r="FQ68" s="226"/>
      <c r="FR68" s="227"/>
      <c r="FS68" s="227"/>
      <c r="FT68" s="227"/>
      <c r="FU68" s="228"/>
      <c r="FV68" s="229"/>
      <c r="FW68" s="229"/>
      <c r="FX68" s="230"/>
    </row>
    <row r="69" spans="5:180" x14ac:dyDescent="0.3">
      <c r="L69" s="278">
        <f>L67+1</f>
        <v>65</v>
      </c>
      <c r="M69" s="290">
        <f ca="1">NOW()</f>
        <v>45769.773114351854</v>
      </c>
      <c r="N69" s="119">
        <v>93</v>
      </c>
      <c r="O69" s="119">
        <v>94.8</v>
      </c>
      <c r="P69" s="119">
        <v>92.65</v>
      </c>
      <c r="Q69" s="119">
        <v>94.4</v>
      </c>
      <c r="R69" s="134">
        <v>4000</v>
      </c>
      <c r="S69" s="291">
        <f ca="1">NOW()</f>
        <v>45769.773114351854</v>
      </c>
      <c r="T69" s="120">
        <v>1169.1500000000001</v>
      </c>
      <c r="U69" s="120">
        <v>1182.3499999999999</v>
      </c>
      <c r="V69" s="120">
        <v>1169</v>
      </c>
      <c r="W69" s="120">
        <v>1172.55</v>
      </c>
      <c r="X69" s="121">
        <v>3000</v>
      </c>
      <c r="Y69" s="116"/>
      <c r="Z69" s="127">
        <f>IF(Q67=0,0,(Q69-Q67)/Q67)</f>
        <v>1.0706638115631691E-2</v>
      </c>
      <c r="AA69" s="53">
        <f>IF(W67=0,0,(W69-W67)/W67)</f>
        <v>8.6017805685776952E-3</v>
      </c>
      <c r="AB69" s="311">
        <f>IF(OR(SUM(Z48:Z69)=0,SUM('BNF-Nifty'!AA48:AA69)=0),0,(_xlfn.COVARIANCE.P(Z48:Z69,'BNF-Nifty'!AA48:AA69)/_xlfn.VAR.P('BNF-Nifty'!AA48:AA69)))</f>
        <v>0.24141068963258094</v>
      </c>
      <c r="AC69" s="312">
        <f>IF(OR(SUM(AA48:AA69)=0,SUM('BNF-Nifty'!AA48:AA69)=0),0,(_xlfn.COVARIANCE.P(AA48:AA69,'BNF-Nifty'!AA48:AA69)/_xlfn.VAR.P('BNF-Nifty'!AA48:AA69)))</f>
        <v>0.13592105474779598</v>
      </c>
      <c r="AD69" s="10">
        <f>IF(OR(Q67=0,Q69=0),0,LN(Q69/Q67))</f>
        <v>1.0649727916658148E-2</v>
      </c>
      <c r="AE69" s="51">
        <f>AF67</f>
        <v>2.4413172443524658E-2</v>
      </c>
      <c r="AF69" s="51">
        <f>SQRT((0.94*(AE69^2))+(0.06*(AD69^2)))</f>
        <v>2.3812765730039973E-2</v>
      </c>
      <c r="AG69" s="317">
        <f>AF69*SQRT(365)</f>
        <v>0.45494225048408576</v>
      </c>
      <c r="AH69" s="465">
        <f>IF(OR(W67=0,W69=0),0,LN(W69/W67))</f>
        <v>8.5649960451854128E-3</v>
      </c>
      <c r="AI69" s="52">
        <f>AJ67</f>
        <v>1.2842375431075418E-2</v>
      </c>
      <c r="AJ69" s="52">
        <f>SQRT((0.94*(AI69^2))+(0.06*(AH69^2)))</f>
        <v>1.2626660672765808E-2</v>
      </c>
      <c r="AK69" s="386">
        <f>AJ69*SQRT(365)</f>
        <v>0.24123201343724529</v>
      </c>
      <c r="AL69" s="10">
        <f>IF(P69=0,0,LN(O69/P69))</f>
        <v>2.2940456529607224E-2</v>
      </c>
      <c r="AM69" s="51">
        <f>AN67</f>
        <v>3.2062045613933429E-2</v>
      </c>
      <c r="AN69" s="51">
        <f>SQRT((0.94*(AM69^2))+(0.06*(AL69^2)))</f>
        <v>3.1589114510542374E-2</v>
      </c>
      <c r="AO69" s="317">
        <f>AN69*SQRT(365)</f>
        <v>0.60350918533147269</v>
      </c>
      <c r="AP69" s="448">
        <f>IF(V69=0,0,LN(U69/V69))</f>
        <v>1.1355300953599545E-2</v>
      </c>
      <c r="AQ69" s="52">
        <f>AR67</f>
        <v>2.1064439219000409E-2</v>
      </c>
      <c r="AR69" s="52">
        <f>SQRT((0.94*(AQ69^2))+(0.06*(AP69^2)))</f>
        <v>2.0611272042722492E-2</v>
      </c>
      <c r="AS69" s="386">
        <f>AR69*SQRT(365)</f>
        <v>0.39377779946941716</v>
      </c>
      <c r="AT69" s="6">
        <f>(N69*R69)</f>
        <v>372000</v>
      </c>
      <c r="AU69" s="336">
        <f>AVERAGE(AT14:AT69)/AVERAGE(R14:R69)</f>
        <v>87.048785373476207</v>
      </c>
      <c r="AV69" s="140">
        <f>(T69*X69)</f>
        <v>3507450.0000000005</v>
      </c>
      <c r="AW69" s="482">
        <f>AVERAGE(AV14:AV69)/AVERAGE(X14:X69)</f>
        <v>1108.3260342232738</v>
      </c>
      <c r="AX69" s="6">
        <f>((AT69-AX67)*(2/(1+13)))+AX67</f>
        <v>465979.16420132399</v>
      </c>
      <c r="AY69" s="7">
        <f>((R69-AY67)*(2/(1+13)))+AY67</f>
        <v>5166.7466998353721</v>
      </c>
      <c r="AZ69" s="318">
        <f>AX69/AY69</f>
        <v>90.18811861169263</v>
      </c>
      <c r="BA69" s="7">
        <f>(O69+P69+Q69)/3</f>
        <v>93.95</v>
      </c>
      <c r="BB69" s="7">
        <f>(BA69*R69)</f>
        <v>375800</v>
      </c>
      <c r="BC69" s="7">
        <f>((BB69-BC67)*(2/(1+5)))+BC67</f>
        <v>461059.39076058177</v>
      </c>
      <c r="BD69" s="7">
        <f>((R69-BD67)*(2/(1+5)))+BD67</f>
        <v>4976.8230117594167</v>
      </c>
      <c r="BE69" s="313">
        <f>BC69/BD69</f>
        <v>92.641307450792212</v>
      </c>
      <c r="BF69" s="141">
        <f>((AV69-BF67)*(2/(1+13)))+BF67</f>
        <v>3190982.095094251</v>
      </c>
      <c r="BG69" s="118">
        <f>((X69-BG67)*(2/(1+13)))+BG67</f>
        <v>2793.4589631407039</v>
      </c>
      <c r="BH69" s="329">
        <f t="shared" ref="BH69" si="169">BF69/BG69</f>
        <v>1142.3049836059197</v>
      </c>
      <c r="BI69" s="9">
        <f>(U69+V69+W69)/3</f>
        <v>1174.6333333333332</v>
      </c>
      <c r="BJ69" s="118">
        <f>(BI69*X69)</f>
        <v>3523899.9999999995</v>
      </c>
      <c r="BK69" s="118">
        <f>((BJ69-BK67)*(2/(1+5)))+BK67</f>
        <v>3001503.1123737884</v>
      </c>
      <c r="BL69" s="118">
        <f>((X69-BL67)*(2/(1+5)))+BL67</f>
        <v>2589.1934310768952</v>
      </c>
      <c r="BM69" s="325">
        <f t="shared" ref="BM69" si="170">BK69/BL69</f>
        <v>1159.2425179007987</v>
      </c>
      <c r="BN69" s="6">
        <f>(Q69*R69)</f>
        <v>377600</v>
      </c>
      <c r="BO69" s="335">
        <f>AVERAGE(AT56:AT69)/AVERAGE(R56:R69)</f>
        <v>88.987694623421547</v>
      </c>
      <c r="BP69" s="336">
        <f>AVERAGE(BN64:BN69)/AVERAGE(R64:R69)</f>
        <v>93.531406409471316</v>
      </c>
      <c r="BQ69" s="335">
        <f>AVERAGE(AT35:AT69)/AVERAGE(R35:R69)</f>
        <v>87.419748477036748</v>
      </c>
      <c r="BR69" s="337">
        <f>AVERAGE(BN56:BN69)/AVERAGE(R56:R69)</f>
        <v>89.68779610685047</v>
      </c>
      <c r="BS69" s="140">
        <f>(W69*X69)</f>
        <v>3517650</v>
      </c>
      <c r="BT69" s="335">
        <f>AVERAGE(AV56:AV69)/AVERAGE(X56:X69)</f>
        <v>1133.9714244266372</v>
      </c>
      <c r="BU69" s="336">
        <f>AVERAGE(BS64:BS69)/AVERAGE(X64:X69)</f>
        <v>1161.0819148936171</v>
      </c>
      <c r="BV69" s="335">
        <f>AVERAGE(AV35:AV69)/AVERAGE(X35:X69)</f>
        <v>1125.9313386265362</v>
      </c>
      <c r="BW69" s="337">
        <f>AVERAGE(BS56:BS69)/AVERAGE(X56:X69)</f>
        <v>1135.5280920143684</v>
      </c>
      <c r="BX69" s="7">
        <f>((BB69-BX67)*(2/(1+12)))+BX67</f>
        <v>472275.61157347885</v>
      </c>
      <c r="BY69" s="7">
        <f>((R69-BY67)*(2/(1+12)))+BY67</f>
        <v>5199.9570363639777</v>
      </c>
      <c r="BZ69" s="7">
        <f t="shared" si="93"/>
        <v>90.822983395976905</v>
      </c>
      <c r="CA69" s="7">
        <f>((BB69-CA67)*(2/(1+26)))+CA67</f>
        <v>417522.75572716113</v>
      </c>
      <c r="CB69" s="7">
        <f>((R69-CB67)*(2/(1+26)))+CB67</f>
        <v>4678.9227199742381</v>
      </c>
      <c r="CC69" s="7">
        <f>CA69/CB69</f>
        <v>89.234804829061162</v>
      </c>
      <c r="CD69" s="340">
        <f>(BZ69-CC69)</f>
        <v>1.5881785669157438</v>
      </c>
      <c r="CE69" s="340">
        <f>((CD69-CE67)*(2/(1+9)))+CE67</f>
        <v>0.99250105829963498</v>
      </c>
      <c r="CF69" s="341">
        <f>(CD69-CE69)</f>
        <v>0.5956775086161088</v>
      </c>
      <c r="CG69" s="140">
        <f>((BJ69-CG67)*(2/(1+12)))+CG67</f>
        <v>3172086.2180566262</v>
      </c>
      <c r="CH69" s="9">
        <f>((X69-CH67)*(2/(1+12)))+CH67</f>
        <v>2768.3730486718628</v>
      </c>
      <c r="CI69" s="9">
        <f t="shared" ref="CI69" si="171">CG69/CH69</f>
        <v>1145.8304795946653</v>
      </c>
      <c r="CJ69" s="9">
        <f>((BJ69-CJ67)*(2/(1+26)))+CJ67</f>
        <v>3348270.5713218548</v>
      </c>
      <c r="CK69" s="9">
        <f>((X69-CK67)*(2/(1+26)))+CK67</f>
        <v>2952.9562731279707</v>
      </c>
      <c r="CL69" s="9">
        <f>CJ69/CK69</f>
        <v>1133.8706914800132</v>
      </c>
      <c r="CM69" s="348">
        <f t="shared" ref="CM69" si="172">(CI69-CL69)</f>
        <v>11.959788114652156</v>
      </c>
      <c r="CN69" s="348">
        <f>((CM69-CN67)*(2/(1+9)))+CN67</f>
        <v>9.3855608075326042</v>
      </c>
      <c r="CO69" s="349">
        <f>(CM69-CN69)</f>
        <v>2.5742273071195516</v>
      </c>
      <c r="CP69" s="20">
        <f>(BA69-BA67)</f>
        <v>1</v>
      </c>
      <c r="CQ69" s="21">
        <f>IF(CP69&gt;=0,BB69,0)</f>
        <v>375800</v>
      </c>
      <c r="CR69" s="21">
        <f>IF(CP69&lt;0,BB69,0)</f>
        <v>0</v>
      </c>
      <c r="CS69" s="7">
        <f>((CQ69-CS67)*(2/(1+14)))+CS67</f>
        <v>324869.34508321871</v>
      </c>
      <c r="CT69" s="7">
        <f>((CR69-CT67)*(2/(1+14)))+CT67</f>
        <v>139313.97559325729</v>
      </c>
      <c r="CU69" s="7">
        <f t="shared" ref="CU69" si="173">IF(CT69=0,100000,(CS69/CT69))</f>
        <v>2.331922147076694</v>
      </c>
      <c r="CV69" s="340">
        <f t="shared" ref="CV69" si="174">100-(100/(1+CU69))</f>
        <v>69.987293944506973</v>
      </c>
      <c r="CW69" s="358">
        <f>AVERAGE(CV35:CV69)</f>
        <v>52.995638927060718</v>
      </c>
      <c r="CX69" s="359">
        <f>AVERAGE(CV48:CV69)</f>
        <v>56.956050955170724</v>
      </c>
      <c r="CY69" s="141">
        <f>(BI69-BI67)</f>
        <v>10</v>
      </c>
      <c r="CZ69" s="118">
        <f>IF(CY69&gt;=0,BJ69,0)</f>
        <v>3523899.9999999995</v>
      </c>
      <c r="DA69" s="118">
        <f>IF(CY69&lt;0,BJ69,0)</f>
        <v>0</v>
      </c>
      <c r="DB69" s="9">
        <f>((CZ69-DB67)*(2/(1+14)))+DB67</f>
        <v>1874386.1086046742</v>
      </c>
      <c r="DC69" s="9">
        <f>((DA69-DC67)*(2/(1+14)))+DC67</f>
        <v>1347020.3873915374</v>
      </c>
      <c r="DD69" s="9">
        <f t="shared" ref="DD69" si="175">IF(DC69=0,100000,(DB69/DC69))</f>
        <v>1.3915053744912977</v>
      </c>
      <c r="DE69" s="348">
        <f t="shared" ref="DE69" si="176">100-(100/(1+DD69))</f>
        <v>58.185333360887299</v>
      </c>
      <c r="DF69" s="358">
        <f>AVERAGE(DE35:DE69)</f>
        <v>56.454643161570047</v>
      </c>
      <c r="DG69" s="359">
        <f>AVERAGE(DE48:DE69)</f>
        <v>54.682912166458003</v>
      </c>
      <c r="DH69" s="135">
        <f>MAX(O69-P69,ABS(O69-Q67),ABS(Q67-P69))</f>
        <v>2.1499999999999915</v>
      </c>
      <c r="DI69" s="20">
        <f>(DH69*R69)</f>
        <v>8599.9999999999654</v>
      </c>
      <c r="DJ69" s="7">
        <f>((DI69-DJ67)*(2/(1+21)))+DJ67</f>
        <v>18190.118291230876</v>
      </c>
      <c r="DK69" s="21">
        <f>((R69-DK67)*(2/(1+21)))+DK67</f>
        <v>4845.7430062265166</v>
      </c>
      <c r="DL69" s="319">
        <f>DJ69/DK69</f>
        <v>3.7538347097354445</v>
      </c>
      <c r="DM69" s="21">
        <f>DL69*$F$4</f>
        <v>15015.338838941778</v>
      </c>
      <c r="DN69" s="7">
        <f>DM69*'Base Data'!$D$10</f>
        <v>30030.677677883556</v>
      </c>
      <c r="DO69" s="369">
        <f>IF(INT(('Base Data'!$D$7)/DN69)=0,0,INT(('Base Data'!$D$7)/DN69))</f>
        <v>0</v>
      </c>
      <c r="DP69" s="364">
        <f>(DL69/Q69)</f>
        <v>3.9765198196350049E-2</v>
      </c>
      <c r="DQ69" s="141">
        <f>MAX(U69-V69,ABS(U69-W67),ABS(W67-V69))</f>
        <v>19.799999999999955</v>
      </c>
      <c r="DR69" s="143">
        <f>(DQ69*X69)</f>
        <v>59399.999999999862</v>
      </c>
      <c r="DS69" s="9">
        <f>((DR69-DS67)*(2/(1+21)))+DS67</f>
        <v>76437.538578165899</v>
      </c>
      <c r="DT69" s="118">
        <f>((X69-DT67)*(2/(1+21)))+DT67</f>
        <v>2917.0643017818925</v>
      </c>
      <c r="DU69" s="329">
        <f>DS69/DT69</f>
        <v>26.20358369593496</v>
      </c>
      <c r="DV69" s="9">
        <f t="shared" ref="DV69" si="177">DU69*$G$4</f>
        <v>15722.150217560975</v>
      </c>
      <c r="DW69" s="9">
        <f>DV69*'Base Data'!$D$10</f>
        <v>31444.30043512195</v>
      </c>
      <c r="DX69" s="379">
        <f>IF(INT(('Base Data'!$D$7)/DW69)=0,0,INT(('Base Data'!$D$7)/DW69))</f>
        <v>0</v>
      </c>
      <c r="DY69" s="376">
        <f>(DU69/W69)</f>
        <v>2.2347519249443486E-2</v>
      </c>
      <c r="DZ69" s="6">
        <f>MAX(O69-P69,ABS(O69-Q67),ABS(Q67-P69))</f>
        <v>2.1499999999999915</v>
      </c>
      <c r="EA69" s="7">
        <f>(DZ69*R69)</f>
        <v>8599.9999999999654</v>
      </c>
      <c r="EB69" s="7">
        <f>((EA69-EB67)*(2/(1+8)))+EB67</f>
        <v>20078.699976049855</v>
      </c>
      <c r="EC69" s="7">
        <f>((R69-EC67)*(2/(1+8)))+EC67</f>
        <v>5233.8050060800279</v>
      </c>
      <c r="ED69" s="318">
        <f>EB69/EC69</f>
        <v>3.8363484984107639</v>
      </c>
      <c r="EE69" s="7">
        <f t="shared" ref="EE69" si="178">ED69*$F$4</f>
        <v>15345.393993643056</v>
      </c>
      <c r="EF69" s="7">
        <f>EE69*'Base Data'!$D$13</f>
        <v>11509.045495232293</v>
      </c>
      <c r="EG69" s="369">
        <f>IF(INT(('Base Data'!$D$7)/EF69)=0,0,INT(('Base Data'!$D$7)/EF69))</f>
        <v>0</v>
      </c>
      <c r="EH69" s="317">
        <f>(ED69/Q69)</f>
        <v>4.0639284940791991E-2</v>
      </c>
      <c r="EI69" s="142">
        <f>MAX(U69-V69,ABS(U69-W67),ABS(W67-V69))</f>
        <v>19.799999999999955</v>
      </c>
      <c r="EJ69" s="9">
        <f>(EI69*X69)</f>
        <v>59399.999999999862</v>
      </c>
      <c r="EK69" s="9">
        <f>((EJ69-EK67)*(2/(1+8)))+EK67</f>
        <v>61206.805987410349</v>
      </c>
      <c r="EL69" s="9">
        <f>((X69-EL67)*(2/(1+8)))+EL67</f>
        <v>2652.3118829938794</v>
      </c>
      <c r="EM69" s="328">
        <f>EK69/EL69</f>
        <v>23.07677554056021</v>
      </c>
      <c r="EN69" s="9">
        <f t="shared" ref="EN69" si="179">EM69*$G$4</f>
        <v>13846.065324336125</v>
      </c>
      <c r="EO69" s="9">
        <f>EN69*'Base Data'!$D$13</f>
        <v>10384.548993252094</v>
      </c>
      <c r="EP69" s="379">
        <f>IF(INT(('Base Data'!$D$7)/EO69)=0,0,INT(('Base Data'!$D$7)/EO69))</f>
        <v>1</v>
      </c>
      <c r="EQ69" s="386">
        <f>(EM69/W69)</f>
        <v>1.9680845627529923E-2</v>
      </c>
      <c r="ER69" s="400">
        <f>(Q69-AVERAGE(BA47:BA67))/DL69</f>
        <v>1.8626455432173963</v>
      </c>
      <c r="ES69" s="312">
        <f>(Q69-AVERAGE(BA60:BA67))/ED69</f>
        <v>0.98020726433598304</v>
      </c>
      <c r="ET69" s="408">
        <f>(W69-AVERAGE(BI47:BI67))/DU69</f>
        <v>1.1105654092385773</v>
      </c>
      <c r="EU69" s="447">
        <f>(W69-AVERAGE(BI60:BI67))/EM69</f>
        <v>1.5090027029756075</v>
      </c>
      <c r="EV69" s="8">
        <f>(O69-P69)</f>
        <v>2.1499999999999915</v>
      </c>
      <c r="EW69" s="51">
        <f>EV69/N69</f>
        <v>2.3118279569892382E-2</v>
      </c>
      <c r="EX69" s="391">
        <f>AVERAGE(EW61:EW69)</f>
        <v>3.8418908694381262E-2</v>
      </c>
      <c r="EY69" s="391">
        <f>AVERAGE(EW56:EW69)</f>
        <v>3.5183382699955017E-2</v>
      </c>
      <c r="EZ69" s="392">
        <f>AVERAGE(EW48:EW69)</f>
        <v>2.9175952038499781E-2</v>
      </c>
      <c r="FA69" s="441">
        <f>(U69-V69)</f>
        <v>13.349999999999909</v>
      </c>
      <c r="FB69" s="52">
        <f>FA69/T69</f>
        <v>1.1418551939443107E-2</v>
      </c>
      <c r="FC69" s="391">
        <f>AVERAGE(FB61:FB69)</f>
        <v>1.8124864221486917E-2</v>
      </c>
      <c r="FD69" s="391">
        <f>AVERAGE(FB56:FB69)</f>
        <v>1.9959042205363733E-2</v>
      </c>
      <c r="FE69" s="392">
        <f>AVERAGE(FB48:FB69)</f>
        <v>2.1117018782275999E-2</v>
      </c>
      <c r="FF69" s="416">
        <f>IF(Q67&lt;((O66+P66+Q66)/3),1,IF(Q67&gt;((O66+P66+Q66)/3),2,0))</f>
        <v>2</v>
      </c>
      <c r="FG69" s="417">
        <f>IF(W67&lt;((U66+V66+W66)/3),1,IF(W67&gt;((U66+V66+W66)/3),2,0))</f>
        <v>2</v>
      </c>
      <c r="FH69" s="424">
        <f>ABS(Q69-Q48)/(MAX(O48:O69)-MIN(P48:P69))*100</f>
        <v>74.832214765100758</v>
      </c>
      <c r="FI69" s="413" t="str">
        <f>IF(AND(FH69&lt;30,FH69&gt;FH67),"C-R",IF(AND(FH69&lt;30,FH69=FH67),"C-F",IF(AND(FH69&lt;30,FH69&lt;FH67),"C-D",IF(AND(FH69&gt;=30,FH69&gt;FH67),"T-R",IF(AND(FH69&gt;=30,FH69=FH67),"T-F",IF(AND(FH69&gt;=30,FH69&lt;FH67),"T-D","Check"))))))</f>
        <v>T-R</v>
      </c>
      <c r="FJ69" s="424">
        <f>ABS(W69-W48)/(MAX(U48:U69)-MIN(V48:V69))*100</f>
        <v>24.765663542180494</v>
      </c>
      <c r="FK69" s="414" t="str">
        <f>IF(AND(FJ69&lt;30,FJ69&gt;FJ67),"C-R",IF(AND(FJ69&lt;30,FJ69=FJ67),"C-F",IF(AND(FJ69&lt;30,FJ69&lt;FJ67),"C-D",IF(AND(FJ69&gt;=30,FJ69&gt;FJ67),"T-R",IF(AND(FJ69&gt;=30,FJ69=FJ67),"T-F",IF(AND(FJ69&gt;=30,FJ69&lt;FJ67),"T-D","Check"))))))</f>
        <v>C-D</v>
      </c>
      <c r="FL69" s="424">
        <f>ABS(Q69-Q61)/(MAX(O61:O69)-MIN(P61:P69))*100</f>
        <v>64.705882352941288</v>
      </c>
      <c r="FM69" s="413" t="str">
        <f>IF(AND(FL69&lt;30,FL69&gt;FL67),"C-R",IF(AND(FL69&lt;30,FL69=FL67),"C-F",IF(AND(FL69&lt;30,FL69&lt;FL67),"C-D",IF(AND(FL69&gt;=30,FL69&gt;FL67),"T-R",IF(AND(FL69&gt;=30,FL69=FL67),"T-F",IF(AND(FL69&gt;=30,FL69&lt;FL67),"T-D","Check"))))))</f>
        <v>T-D</v>
      </c>
      <c r="FN69" s="424">
        <f>ABS(W69-W61)/(MAX(U61:U69)-MIN(V61:V69))*100</f>
        <v>68.329718004338531</v>
      </c>
      <c r="FO69" s="414" t="str">
        <f>IF(AND(FN69&lt;30,FN69&gt;FN67),"C-R",IF(AND(FN69&lt;30,FN69=FN67),"C-F",IF(AND(FN69&lt;30,FN69&lt;FN67),"C-D",IF(AND(FN69&gt;=30,FN69&gt;FN67),"T-R",IF(AND(FN69&gt;=30,FN69=FN67),"T-F",IF(AND(FN69&gt;=30,FN69&lt;FN67),"T-D","Check"))))))</f>
        <v>T-D</v>
      </c>
      <c r="FQ69" s="231">
        <f>(FQ67+FT67)/2</f>
        <v>92.899746067186612</v>
      </c>
      <c r="FR69" s="232">
        <f>MAX(O69,FQ69,FT69)</f>
        <v>94.8</v>
      </c>
      <c r="FS69" s="232">
        <f>MIN(P69,FQ69,FT69)</f>
        <v>92.65</v>
      </c>
      <c r="FT69" s="233">
        <f>(N69+O69+P69+Q69)/4</f>
        <v>93.712500000000006</v>
      </c>
      <c r="FU69" s="234">
        <f>(FU67+FX67)/2</f>
        <v>1155.7851334162056</v>
      </c>
      <c r="FV69" s="235">
        <f>MAX(U69,FU69,FX69)</f>
        <v>1182.3499999999999</v>
      </c>
      <c r="FW69" s="235">
        <f>MIN(V69,FU69,FX69)</f>
        <v>1155.7851334162056</v>
      </c>
      <c r="FX69" s="236">
        <f>(T69+U69+V69+W69)/4</f>
        <v>1173.2625</v>
      </c>
    </row>
    <row r="70" spans="5:180" ht="11.15" thickBot="1" x14ac:dyDescent="0.35">
      <c r="L70" s="279"/>
      <c r="M70" s="38"/>
      <c r="N70" s="41"/>
      <c r="O70" s="126"/>
      <c r="P70" s="126"/>
      <c r="Q70" s="41"/>
      <c r="R70" s="39"/>
      <c r="S70" s="49"/>
      <c r="T70" s="41"/>
      <c r="U70" s="126"/>
      <c r="V70" s="126"/>
      <c r="W70" s="41"/>
      <c r="X70" s="39"/>
      <c r="Z70" s="38"/>
      <c r="AA70" s="39"/>
      <c r="AB70" s="301"/>
      <c r="AC70" s="302"/>
      <c r="AD70" s="49"/>
      <c r="AE70" s="41"/>
      <c r="AF70" s="41"/>
      <c r="AG70" s="162"/>
      <c r="AH70" s="49"/>
      <c r="AI70" s="41"/>
      <c r="AJ70" s="41"/>
      <c r="AK70" s="162"/>
      <c r="AL70" s="49"/>
      <c r="AM70" s="41"/>
      <c r="AN70" s="41"/>
      <c r="AO70" s="162"/>
      <c r="AP70" s="38"/>
      <c r="AQ70" s="41"/>
      <c r="AR70" s="41"/>
      <c r="AS70" s="162"/>
      <c r="AT70" s="250"/>
      <c r="AU70" s="46"/>
      <c r="AV70" s="137"/>
      <c r="AW70" s="253"/>
      <c r="AX70" s="250"/>
      <c r="AY70" s="126"/>
      <c r="AZ70" s="46"/>
      <c r="BA70" s="46"/>
      <c r="BB70" s="46"/>
      <c r="BC70" s="46"/>
      <c r="BD70" s="46"/>
      <c r="BE70" s="170"/>
      <c r="BF70" s="137"/>
      <c r="BG70" s="46"/>
      <c r="BH70" s="46"/>
      <c r="BI70" s="46"/>
      <c r="BJ70" s="46"/>
      <c r="BK70" s="46"/>
      <c r="BL70" s="46"/>
      <c r="BM70" s="170"/>
      <c r="BN70" s="137"/>
      <c r="BO70" s="45"/>
      <c r="BP70" s="46"/>
      <c r="BQ70" s="45"/>
      <c r="BR70" s="170"/>
      <c r="BS70" s="137"/>
      <c r="BT70" s="45"/>
      <c r="BU70" s="46"/>
      <c r="BV70" s="45"/>
      <c r="BW70" s="170"/>
      <c r="BX70" s="46"/>
      <c r="BY70" s="46"/>
      <c r="BZ70" s="46"/>
      <c r="CA70" s="46"/>
      <c r="CB70" s="46"/>
      <c r="CC70" s="46"/>
      <c r="CD70" s="47"/>
      <c r="CE70" s="47"/>
      <c r="CF70" s="244"/>
      <c r="CG70" s="245"/>
      <c r="CH70" s="47"/>
      <c r="CI70" s="46"/>
      <c r="CJ70" s="46"/>
      <c r="CK70" s="46"/>
      <c r="CL70" s="46"/>
      <c r="CM70" s="47"/>
      <c r="CN70" s="47"/>
      <c r="CO70" s="48"/>
      <c r="CP70" s="49"/>
      <c r="CQ70" s="41"/>
      <c r="CR70" s="41"/>
      <c r="CS70" s="276" t="s">
        <v>181</v>
      </c>
      <c r="CT70" s="276" t="s">
        <v>252</v>
      </c>
      <c r="CU70" s="126" t="s">
        <v>250</v>
      </c>
      <c r="CV70" s="126" t="s">
        <v>251</v>
      </c>
      <c r="CW70" s="456" t="s">
        <v>253</v>
      </c>
      <c r="CX70" s="39"/>
      <c r="CY70" s="38"/>
      <c r="CZ70" s="41"/>
      <c r="DA70" s="41"/>
      <c r="DB70" s="276" t="s">
        <v>181</v>
      </c>
      <c r="DC70" s="276" t="s">
        <v>252</v>
      </c>
      <c r="DD70" s="126" t="s">
        <v>250</v>
      </c>
      <c r="DE70" s="126" t="s">
        <v>251</v>
      </c>
      <c r="DF70" s="456" t="s">
        <v>253</v>
      </c>
      <c r="DG70" s="39"/>
      <c r="DH70" s="137"/>
      <c r="DI70" s="45"/>
      <c r="DJ70" s="45"/>
      <c r="DK70" s="276" t="s">
        <v>181</v>
      </c>
      <c r="DL70" s="126" t="s">
        <v>56</v>
      </c>
      <c r="DM70" s="126" t="s">
        <v>107</v>
      </c>
      <c r="DN70" s="126" t="s">
        <v>229</v>
      </c>
      <c r="DO70" s="126" t="s">
        <v>219</v>
      </c>
      <c r="DP70" s="126" t="s">
        <v>220</v>
      </c>
      <c r="DQ70" s="137"/>
      <c r="DR70" s="45"/>
      <c r="DS70" s="45"/>
      <c r="DT70" s="276" t="s">
        <v>181</v>
      </c>
      <c r="DU70" s="126" t="s">
        <v>56</v>
      </c>
      <c r="DV70" s="126" t="s">
        <v>107</v>
      </c>
      <c r="DW70" s="126" t="s">
        <v>229</v>
      </c>
      <c r="DX70" s="126" t="s">
        <v>219</v>
      </c>
      <c r="DY70" s="248" t="s">
        <v>220</v>
      </c>
      <c r="DZ70" s="137"/>
      <c r="EA70" s="46"/>
      <c r="EB70" s="46"/>
      <c r="EC70" s="276" t="s">
        <v>181</v>
      </c>
      <c r="ED70" s="126" t="s">
        <v>56</v>
      </c>
      <c r="EE70" s="126" t="s">
        <v>107</v>
      </c>
      <c r="EF70" s="126" t="s">
        <v>230</v>
      </c>
      <c r="EG70" s="126" t="s">
        <v>219</v>
      </c>
      <c r="EH70" s="162" t="s">
        <v>220</v>
      </c>
      <c r="EI70" s="45"/>
      <c r="EJ70" s="46"/>
      <c r="EK70" s="46"/>
      <c r="EL70" s="426" t="s">
        <v>181</v>
      </c>
      <c r="EM70" s="126" t="s">
        <v>56</v>
      </c>
      <c r="EN70" s="126" t="s">
        <v>107</v>
      </c>
      <c r="EO70" s="126" t="s">
        <v>230</v>
      </c>
      <c r="EP70" s="126" t="s">
        <v>219</v>
      </c>
      <c r="EQ70" s="162" t="s">
        <v>220</v>
      </c>
      <c r="ER70" s="294"/>
      <c r="ES70" s="298"/>
      <c r="ET70" s="294"/>
      <c r="EU70" s="298"/>
      <c r="EV70" s="132"/>
      <c r="EW70" s="126" t="s">
        <v>280</v>
      </c>
      <c r="EX70" s="56"/>
      <c r="EY70" s="56"/>
      <c r="EZ70" s="123"/>
      <c r="FA70" s="445"/>
      <c r="FB70" s="126" t="s">
        <v>280</v>
      </c>
      <c r="FC70" s="56"/>
      <c r="FD70" s="56"/>
      <c r="FE70" s="123"/>
      <c r="FF70" s="224"/>
      <c r="FG70" s="173"/>
      <c r="FH70" s="137"/>
      <c r="FI70" s="170"/>
      <c r="FJ70" s="137"/>
      <c r="FK70" s="170"/>
      <c r="FL70" s="137"/>
      <c r="FM70" s="170"/>
      <c r="FN70" s="137"/>
      <c r="FO70" s="170"/>
      <c r="FQ70" s="226"/>
      <c r="FR70" s="227"/>
      <c r="FS70" s="227"/>
      <c r="FT70" s="227"/>
      <c r="FU70" s="237"/>
      <c r="FV70" s="238"/>
      <c r="FW70" s="238"/>
      <c r="FX70" s="239"/>
    </row>
    <row r="71" spans="5:180" x14ac:dyDescent="0.3">
      <c r="L71" s="280"/>
      <c r="M71" s="286"/>
      <c r="N71" s="287"/>
      <c r="O71" s="288"/>
      <c r="P71" s="452" t="s">
        <v>181</v>
      </c>
      <c r="Q71" s="125" t="s">
        <v>180</v>
      </c>
      <c r="R71" s="453">
        <f>AVERAGE(R47:R67)</f>
        <v>4397.9523809523807</v>
      </c>
      <c r="S71" s="292"/>
      <c r="T71" s="289"/>
      <c r="U71" s="282"/>
      <c r="V71" s="454" t="s">
        <v>181</v>
      </c>
      <c r="W71" s="147" t="s">
        <v>180</v>
      </c>
      <c r="X71" s="453">
        <f>AVERAGE(X47:X67)</f>
        <v>3238.5714285714284</v>
      </c>
      <c r="Y71" s="117"/>
      <c r="Z71" s="124"/>
      <c r="AA71" s="54"/>
      <c r="AB71" s="165"/>
      <c r="AC71" s="163"/>
      <c r="AD71" s="150"/>
      <c r="AE71" s="125" t="s">
        <v>181</v>
      </c>
      <c r="AF71" s="125" t="s">
        <v>180</v>
      </c>
      <c r="AG71" s="469">
        <f>AVERAGE(AG47:AG67)</f>
        <v>0.32565295125563953</v>
      </c>
      <c r="AH71" s="470"/>
      <c r="AI71" s="147" t="s">
        <v>181</v>
      </c>
      <c r="AJ71" s="147" t="s">
        <v>180</v>
      </c>
      <c r="AK71" s="469">
        <f>AVERAGE(AK47:AK67)</f>
        <v>0.24432612127999404</v>
      </c>
      <c r="AL71" s="150"/>
      <c r="AM71" s="125" t="s">
        <v>181</v>
      </c>
      <c r="AN71" s="125" t="s">
        <v>180</v>
      </c>
      <c r="AO71" s="392">
        <f>AVERAGE(AO47:AO67)</f>
        <v>0.50011145745269459</v>
      </c>
      <c r="AP71" s="449"/>
      <c r="AQ71" s="147" t="s">
        <v>181</v>
      </c>
      <c r="AR71" s="147" t="s">
        <v>180</v>
      </c>
      <c r="AS71" s="392">
        <f>AVERAGE(AS47:AS67)</f>
        <v>0.39806774728423777</v>
      </c>
      <c r="AT71" s="124"/>
      <c r="AU71" s="14"/>
      <c r="AV71" s="146"/>
      <c r="AW71" s="483"/>
      <c r="AX71" s="124"/>
      <c r="AY71" s="125"/>
      <c r="AZ71" s="14"/>
      <c r="BA71" s="14"/>
      <c r="BB71" s="14"/>
      <c r="BC71" s="14"/>
      <c r="BD71" s="14"/>
      <c r="BE71" s="172"/>
      <c r="BF71" s="146"/>
      <c r="BG71" s="149"/>
      <c r="BH71" s="149"/>
      <c r="BI71" s="149"/>
      <c r="BJ71" s="149"/>
      <c r="BK71" s="149"/>
      <c r="BL71" s="149"/>
      <c r="BM71" s="171"/>
      <c r="BN71" s="138"/>
      <c r="BO71" s="13"/>
      <c r="BP71" s="14"/>
      <c r="BQ71" s="13"/>
      <c r="BR71" s="172"/>
      <c r="BS71" s="146"/>
      <c r="BT71" s="148"/>
      <c r="BU71" s="149"/>
      <c r="BV71" s="148"/>
      <c r="BW71" s="171"/>
      <c r="BX71" s="14"/>
      <c r="BY71" s="14"/>
      <c r="BZ71" s="14"/>
      <c r="CA71" s="14"/>
      <c r="CB71" s="14"/>
      <c r="CC71" s="14"/>
      <c r="CD71" s="15"/>
      <c r="CE71" s="15"/>
      <c r="CF71" s="246"/>
      <c r="CG71" s="247"/>
      <c r="CH71" s="144"/>
      <c r="CI71" s="149"/>
      <c r="CJ71" s="149"/>
      <c r="CK71" s="149"/>
      <c r="CL71" s="149"/>
      <c r="CM71" s="144"/>
      <c r="CN71" s="144"/>
      <c r="CO71" s="145"/>
      <c r="CP71" s="8"/>
      <c r="CQ71" s="7"/>
      <c r="CR71" s="7"/>
      <c r="CS71" s="7"/>
      <c r="CT71" s="457">
        <f>ROUNDDOWN(CU71,0)-'Base Data'!$D$16</f>
        <v>75</v>
      </c>
      <c r="CU71" s="457">
        <f>MAX(CV18:CV67)</f>
        <v>77.480472429781102</v>
      </c>
      <c r="CV71" s="340">
        <f>MIN(CV18:CV67)</f>
        <v>24.580455298325631</v>
      </c>
      <c r="CW71" s="340">
        <f>ROUNDUP(CV71,0)+'Base Data'!$E$16</f>
        <v>27</v>
      </c>
      <c r="CX71" s="16"/>
      <c r="CY71" s="140"/>
      <c r="CZ71" s="9"/>
      <c r="DA71" s="9"/>
      <c r="DB71" s="9"/>
      <c r="DC71" s="455">
        <f>ROUNDDOWN(DD71,0)-'Base Data'!$D$16</f>
        <v>83</v>
      </c>
      <c r="DD71" s="455">
        <f>MAX(DE18:DE67)</f>
        <v>85.59536944525513</v>
      </c>
      <c r="DE71" s="348">
        <f>MIN(DE18:DE67)</f>
        <v>30.26471806833203</v>
      </c>
      <c r="DF71" s="348">
        <f>ROUNDUP(DE71,0)+'Base Data'!$E$16</f>
        <v>33</v>
      </c>
      <c r="DG71" s="145"/>
      <c r="DH71" s="138"/>
      <c r="DI71" s="13"/>
      <c r="DJ71" s="13"/>
      <c r="DK71" s="13"/>
      <c r="DL71" s="436">
        <f>MAX(DL25:DL67)</f>
        <v>4.2201452115598475</v>
      </c>
      <c r="DM71" s="436">
        <f>MIN(DL25:DL67)</f>
        <v>1.8904470315089961</v>
      </c>
      <c r="DN71" s="425">
        <f>AVERAGE(DP47:DP67)</f>
        <v>2.9644411453070882E-2</v>
      </c>
      <c r="DO71" s="437">
        <f>MAX(DP25:DP67)</f>
        <v>4.5796475437437298E-2</v>
      </c>
      <c r="DP71" s="438">
        <f>MIN(DP25:DP67)</f>
        <v>2.1609535787394649E-2</v>
      </c>
      <c r="DQ71" s="146"/>
      <c r="DR71" s="148"/>
      <c r="DS71" s="148"/>
      <c r="DT71" s="148"/>
      <c r="DU71" s="434">
        <f>MAX(DU25:DU67)</f>
        <v>30.349587865612154</v>
      </c>
      <c r="DV71" s="434">
        <f>MIN(DU25:DU67)</f>
        <v>18.952401085329093</v>
      </c>
      <c r="DW71" s="425">
        <f>AVERAGE(DY47:DY67)</f>
        <v>2.3904590895946192E-2</v>
      </c>
      <c r="DX71" s="433">
        <f>MAX(DY25:DY67)</f>
        <v>2.6757406097079262E-2</v>
      </c>
      <c r="DY71" s="435">
        <f>MIN(DY25:DY67)</f>
        <v>1.7585971128634213E-2</v>
      </c>
      <c r="DZ71" s="138"/>
      <c r="EA71" s="14"/>
      <c r="EB71" s="14"/>
      <c r="EC71" s="13"/>
      <c r="ED71" s="436">
        <f>MAX(ED12:ED67)</f>
        <v>5.6495133460213207</v>
      </c>
      <c r="EE71" s="436">
        <f>MIN(ED12:ED67)</f>
        <v>1.5249922431449192</v>
      </c>
      <c r="EF71" s="425">
        <f>AVERAGE(EH60:EH67)</f>
        <v>4.7360914035486985E-2</v>
      </c>
      <c r="EG71" s="437">
        <f>MAX(EH12:EH67)</f>
        <v>6.1307795399037662E-2</v>
      </c>
      <c r="EH71" s="439">
        <f>MIN(EH12:EH67)</f>
        <v>1.7640164755869509E-2</v>
      </c>
      <c r="EI71" s="148"/>
      <c r="EJ71" s="149"/>
      <c r="EK71" s="149"/>
      <c r="EL71" s="149"/>
      <c r="EM71" s="434">
        <f>MAX(EM12:EM67)</f>
        <v>36.346947521201912</v>
      </c>
      <c r="EN71" s="434">
        <f>MIN(EM12:EM67)</f>
        <v>16.294406963433406</v>
      </c>
      <c r="EO71" s="425">
        <f>AVERAGE(EQ60:EQ67)</f>
        <v>2.4951992663904403E-2</v>
      </c>
      <c r="EP71" s="433">
        <f>MAX(EQ12:EQ67)</f>
        <v>3.2044917364956502E-2</v>
      </c>
      <c r="EQ71" s="440">
        <f>MIN(EQ12:EQ67)</f>
        <v>1.5119613030930134E-2</v>
      </c>
      <c r="ER71" s="296"/>
      <c r="ES71" s="299"/>
      <c r="ET71" s="295"/>
      <c r="EU71" s="300"/>
      <c r="EV71" s="133"/>
      <c r="EW71" s="391">
        <f>AVERAGE(EW13:EW67)</f>
        <v>2.4331174848328602E-2</v>
      </c>
      <c r="EX71" s="55"/>
      <c r="EY71" s="55"/>
      <c r="EZ71" s="130"/>
      <c r="FA71" s="441"/>
      <c r="FB71" s="391">
        <f>AVERAGE(FB13:FB67)</f>
        <v>1.9004009704715774E-2</v>
      </c>
      <c r="FC71" s="52"/>
      <c r="FD71" s="52"/>
      <c r="FE71" s="53"/>
      <c r="FF71" s="277"/>
      <c r="FG71" s="184"/>
      <c r="FH71" s="138"/>
      <c r="FI71" s="172"/>
      <c r="FJ71" s="146"/>
      <c r="FK71" s="171"/>
      <c r="FL71" s="138"/>
      <c r="FM71" s="172"/>
      <c r="FN71" s="146"/>
      <c r="FO71" s="171"/>
      <c r="FQ71" s="124"/>
      <c r="FR71" s="150"/>
      <c r="FS71" s="150"/>
      <c r="FT71" s="150"/>
      <c r="FU71" s="146"/>
      <c r="FV71" s="148"/>
      <c r="FW71" s="148"/>
      <c r="FX71" s="225"/>
    </row>
    <row r="72" spans="5:180" ht="11.15" thickBot="1" x14ac:dyDescent="0.35">
      <c r="L72" s="281"/>
      <c r="M72" s="285"/>
      <c r="N72" s="128"/>
      <c r="O72" s="128"/>
      <c r="P72" s="128"/>
      <c r="Q72" s="44"/>
      <c r="R72" s="162"/>
      <c r="S72" s="157"/>
      <c r="T72" s="128"/>
      <c r="U72" s="128"/>
      <c r="V72" s="128"/>
      <c r="W72" s="44"/>
      <c r="X72" s="162"/>
      <c r="Y72" s="117"/>
      <c r="Z72" s="38"/>
      <c r="AA72" s="39"/>
      <c r="AB72" s="166"/>
      <c r="AC72" s="164"/>
      <c r="AD72" s="43"/>
      <c r="AE72" s="44"/>
      <c r="AF72" s="44"/>
      <c r="AG72" s="162"/>
      <c r="AH72" s="43"/>
      <c r="AI72" s="44"/>
      <c r="AJ72" s="44"/>
      <c r="AK72" s="162"/>
      <c r="AL72" s="43"/>
      <c r="AM72" s="44"/>
      <c r="AN72" s="44"/>
      <c r="AO72" s="162"/>
      <c r="AP72" s="251"/>
      <c r="AQ72" s="44"/>
      <c r="AR72" s="44"/>
      <c r="AS72" s="162"/>
      <c r="AT72" s="250"/>
      <c r="AU72" s="46"/>
      <c r="AV72" s="137"/>
      <c r="AW72" s="253"/>
      <c r="AX72" s="250"/>
      <c r="AY72" s="126"/>
      <c r="AZ72" s="46"/>
      <c r="BA72" s="46"/>
      <c r="BB72" s="46"/>
      <c r="BC72" s="46"/>
      <c r="BD72" s="46"/>
      <c r="BE72" s="170"/>
      <c r="BF72" s="137"/>
      <c r="BG72" s="46"/>
      <c r="BH72" s="46"/>
      <c r="BI72" s="46"/>
      <c r="BJ72" s="46"/>
      <c r="BK72" s="46"/>
      <c r="BL72" s="46"/>
      <c r="BM72" s="170"/>
      <c r="BN72" s="137"/>
      <c r="BO72" s="45"/>
      <c r="BP72" s="46"/>
      <c r="BQ72" s="45"/>
      <c r="BR72" s="170"/>
      <c r="BS72" s="137"/>
      <c r="BT72" s="45"/>
      <c r="BU72" s="46"/>
      <c r="BV72" s="45"/>
      <c r="BW72" s="170"/>
      <c r="BX72" s="46"/>
      <c r="BY72" s="46"/>
      <c r="BZ72" s="46"/>
      <c r="CA72" s="46"/>
      <c r="CB72" s="46"/>
      <c r="CC72" s="46"/>
      <c r="CD72" s="47"/>
      <c r="CE72" s="47"/>
      <c r="CF72" s="244"/>
      <c r="CG72" s="245"/>
      <c r="CH72" s="47"/>
      <c r="CI72" s="46"/>
      <c r="CJ72" s="46"/>
      <c r="CK72" s="46"/>
      <c r="CL72" s="46"/>
      <c r="CM72" s="47"/>
      <c r="CN72" s="47"/>
      <c r="CO72" s="48"/>
      <c r="CP72" s="49"/>
      <c r="CQ72" s="41"/>
      <c r="CR72" s="41"/>
      <c r="CS72" s="276" t="s">
        <v>182</v>
      </c>
      <c r="CT72" s="276" t="s">
        <v>252</v>
      </c>
      <c r="CU72" s="126" t="s">
        <v>250</v>
      </c>
      <c r="CV72" s="126" t="s">
        <v>251</v>
      </c>
      <c r="CW72" s="456" t="s">
        <v>253</v>
      </c>
      <c r="CX72" s="39"/>
      <c r="CY72" s="38"/>
      <c r="CZ72" s="41"/>
      <c r="DA72" s="41"/>
      <c r="DB72" s="276" t="s">
        <v>182</v>
      </c>
      <c r="DC72" s="276" t="s">
        <v>252</v>
      </c>
      <c r="DD72" s="126" t="s">
        <v>250</v>
      </c>
      <c r="DE72" s="126" t="s">
        <v>251</v>
      </c>
      <c r="DF72" s="456" t="s">
        <v>253</v>
      </c>
      <c r="DG72" s="39"/>
      <c r="DH72" s="137"/>
      <c r="DI72" s="45"/>
      <c r="DJ72" s="45"/>
      <c r="DK72" s="276" t="s">
        <v>182</v>
      </c>
      <c r="DL72" s="126" t="s">
        <v>56</v>
      </c>
      <c r="DM72" s="126" t="s">
        <v>107</v>
      </c>
      <c r="DN72" s="126" t="s">
        <v>229</v>
      </c>
      <c r="DO72" s="126" t="s">
        <v>219</v>
      </c>
      <c r="DP72" s="126" t="s">
        <v>220</v>
      </c>
      <c r="DQ72" s="137"/>
      <c r="DR72" s="45"/>
      <c r="DS72" s="45"/>
      <c r="DT72" s="276" t="s">
        <v>182</v>
      </c>
      <c r="DU72" s="126" t="s">
        <v>56</v>
      </c>
      <c r="DV72" s="126" t="s">
        <v>107</v>
      </c>
      <c r="DW72" s="126" t="s">
        <v>229</v>
      </c>
      <c r="DX72" s="126" t="s">
        <v>219</v>
      </c>
      <c r="DY72" s="248" t="s">
        <v>220</v>
      </c>
      <c r="DZ72" s="137"/>
      <c r="EA72" s="46"/>
      <c r="EB72" s="46"/>
      <c r="EC72" s="276" t="s">
        <v>182</v>
      </c>
      <c r="ED72" s="126" t="s">
        <v>56</v>
      </c>
      <c r="EE72" s="126" t="s">
        <v>107</v>
      </c>
      <c r="EF72" s="126" t="s">
        <v>230</v>
      </c>
      <c r="EG72" s="126" t="s">
        <v>219</v>
      </c>
      <c r="EH72" s="162" t="s">
        <v>220</v>
      </c>
      <c r="EI72" s="45"/>
      <c r="EJ72" s="46"/>
      <c r="EK72" s="46"/>
      <c r="EL72" s="426" t="s">
        <v>182</v>
      </c>
      <c r="EM72" s="126" t="s">
        <v>56</v>
      </c>
      <c r="EN72" s="126" t="s">
        <v>107</v>
      </c>
      <c r="EO72" s="126" t="s">
        <v>230</v>
      </c>
      <c r="EP72" s="126" t="s">
        <v>219</v>
      </c>
      <c r="EQ72" s="162" t="s">
        <v>220</v>
      </c>
      <c r="ER72" s="294"/>
      <c r="ES72" s="298"/>
      <c r="ET72" s="294"/>
      <c r="EU72" s="298"/>
      <c r="EV72" s="132"/>
      <c r="EW72" s="126" t="s">
        <v>281</v>
      </c>
      <c r="EX72" s="56"/>
      <c r="EY72" s="56"/>
      <c r="EZ72" s="123"/>
      <c r="FA72" s="445"/>
      <c r="FB72" s="126" t="s">
        <v>281</v>
      </c>
      <c r="FC72" s="56"/>
      <c r="FD72" s="56"/>
      <c r="FE72" s="123"/>
      <c r="FF72" s="224"/>
      <c r="FG72" s="173"/>
      <c r="FH72" s="137"/>
      <c r="FI72" s="170"/>
      <c r="FJ72" s="137"/>
      <c r="FK72" s="170"/>
      <c r="FL72" s="137"/>
      <c r="FM72" s="170"/>
      <c r="FN72" s="137"/>
      <c r="FO72" s="170"/>
      <c r="FQ72" s="38"/>
      <c r="FR72" s="49"/>
      <c r="FS72" s="49"/>
      <c r="FT72" s="49"/>
      <c r="FU72" s="137"/>
      <c r="FV72" s="45"/>
      <c r="FW72" s="45"/>
      <c r="FX72" s="224"/>
    </row>
    <row r="73" spans="5:180" x14ac:dyDescent="0.3">
      <c r="L73" s="280"/>
      <c r="M73" s="286"/>
      <c r="N73" s="287"/>
      <c r="O73" s="288"/>
      <c r="P73" s="452" t="s">
        <v>182</v>
      </c>
      <c r="Q73" s="125" t="s">
        <v>180</v>
      </c>
      <c r="R73" s="453">
        <f>AVERAGE(R48:R69)</f>
        <v>4493.1904761904761</v>
      </c>
      <c r="S73" s="292"/>
      <c r="T73" s="289"/>
      <c r="U73" s="282"/>
      <c r="V73" s="454" t="s">
        <v>182</v>
      </c>
      <c r="W73" s="147" t="s">
        <v>180</v>
      </c>
      <c r="X73" s="453">
        <f>AVERAGE(X48:X69)</f>
        <v>3270.0952380952381</v>
      </c>
      <c r="Y73" s="117"/>
      <c r="Z73" s="124"/>
      <c r="AA73" s="54"/>
      <c r="AB73" s="167"/>
      <c r="AC73" s="163"/>
      <c r="AD73" s="150"/>
      <c r="AE73" s="125" t="s">
        <v>182</v>
      </c>
      <c r="AF73" s="125" t="s">
        <v>180</v>
      </c>
      <c r="AG73" s="469">
        <f>AVERAGE(AG48:AG69)</f>
        <v>0.3345174267921438</v>
      </c>
      <c r="AH73" s="470"/>
      <c r="AI73" s="147" t="s">
        <v>182</v>
      </c>
      <c r="AJ73" s="147" t="s">
        <v>180</v>
      </c>
      <c r="AK73" s="469">
        <f>AVERAGE(AK48:AK69)</f>
        <v>0.2458587772741973</v>
      </c>
      <c r="AL73" s="150"/>
      <c r="AM73" s="125" t="s">
        <v>182</v>
      </c>
      <c r="AN73" s="125" t="s">
        <v>180</v>
      </c>
      <c r="AO73" s="392">
        <f>AVERAGE(AO48:AO69)</f>
        <v>0.50677009035424891</v>
      </c>
      <c r="AP73" s="449"/>
      <c r="AQ73" s="147" t="s">
        <v>182</v>
      </c>
      <c r="AR73" s="147" t="s">
        <v>180</v>
      </c>
      <c r="AS73" s="392">
        <f>AVERAGE(AS48:AS69)</f>
        <v>0.40011770359348509</v>
      </c>
      <c r="AT73" s="124"/>
      <c r="AU73" s="14"/>
      <c r="AV73" s="146"/>
      <c r="AW73" s="483"/>
      <c r="AX73" s="124"/>
      <c r="AY73" s="125"/>
      <c r="AZ73" s="14"/>
      <c r="BA73" s="14"/>
      <c r="BB73" s="14"/>
      <c r="BC73" s="14"/>
      <c r="BD73" s="14"/>
      <c r="BE73" s="172"/>
      <c r="BF73" s="146"/>
      <c r="BG73" s="149"/>
      <c r="BH73" s="149"/>
      <c r="BI73" s="149"/>
      <c r="BJ73" s="149"/>
      <c r="BK73" s="149"/>
      <c r="BL73" s="149"/>
      <c r="BM73" s="171"/>
      <c r="BN73" s="138"/>
      <c r="BO73" s="13"/>
      <c r="BP73" s="14"/>
      <c r="BQ73" s="13"/>
      <c r="BR73" s="172"/>
      <c r="BS73" s="146"/>
      <c r="BT73" s="148"/>
      <c r="BU73" s="149"/>
      <c r="BV73" s="148"/>
      <c r="BW73" s="171"/>
      <c r="BX73" s="14"/>
      <c r="BY73" s="14"/>
      <c r="BZ73" s="14"/>
      <c r="CA73" s="14"/>
      <c r="CB73" s="14"/>
      <c r="CC73" s="14"/>
      <c r="CD73" s="15"/>
      <c r="CE73" s="15"/>
      <c r="CF73" s="246"/>
      <c r="CG73" s="247"/>
      <c r="CH73" s="144"/>
      <c r="CI73" s="149"/>
      <c r="CJ73" s="149"/>
      <c r="CK73" s="149"/>
      <c r="CL73" s="149"/>
      <c r="CM73" s="144"/>
      <c r="CN73" s="144"/>
      <c r="CO73" s="145"/>
      <c r="CP73" s="8"/>
      <c r="CQ73" s="7"/>
      <c r="CR73" s="7"/>
      <c r="CS73" s="7"/>
      <c r="CT73" s="457">
        <f>ROUNDDOWN(CU73,0)-'Base Data'!$D$16</f>
        <v>75</v>
      </c>
      <c r="CU73" s="457">
        <f>MAX(CV18:CV69)</f>
        <v>77.480472429781102</v>
      </c>
      <c r="CV73" s="340">
        <f>MIN(CV18:CV69)</f>
        <v>24.580455298325631</v>
      </c>
      <c r="CW73" s="340">
        <f>ROUNDUP(CV73,0)+'Base Data'!$E$16</f>
        <v>27</v>
      </c>
      <c r="CX73" s="16"/>
      <c r="CY73" s="140"/>
      <c r="CZ73" s="9"/>
      <c r="DA73" s="9"/>
      <c r="DB73" s="9"/>
      <c r="DC73" s="455">
        <f>ROUNDDOWN(DD73,0)-'Base Data'!$D$16</f>
        <v>83</v>
      </c>
      <c r="DD73" s="455">
        <f>MAX(DE18:DE69)</f>
        <v>85.59536944525513</v>
      </c>
      <c r="DE73" s="348">
        <f>MIN(DE18:DE69)</f>
        <v>30.26471806833203</v>
      </c>
      <c r="DF73" s="348">
        <f>ROUNDUP(DE73,0)+'Base Data'!$E$16</f>
        <v>33</v>
      </c>
      <c r="DG73" s="145"/>
      <c r="DH73" s="138"/>
      <c r="DI73" s="13"/>
      <c r="DJ73" s="13"/>
      <c r="DK73" s="13"/>
      <c r="DL73" s="436">
        <f>MAX(DL25:DL69)</f>
        <v>4.2201452115598475</v>
      </c>
      <c r="DM73" s="436">
        <f>MIN(DL25:DL69)</f>
        <v>1.8904470315089961</v>
      </c>
      <c r="DN73" s="425">
        <f>AVERAGE(DP48:DP69)</f>
        <v>3.0402926267577551E-2</v>
      </c>
      <c r="DO73" s="437">
        <f>MAX(DP25:DP69)</f>
        <v>4.5796475437437298E-2</v>
      </c>
      <c r="DP73" s="438">
        <f>MIN(DP25:DP69)</f>
        <v>2.1609535787394649E-2</v>
      </c>
      <c r="DQ73" s="146"/>
      <c r="DR73" s="148"/>
      <c r="DS73" s="148"/>
      <c r="DT73" s="148"/>
      <c r="DU73" s="434">
        <f>MAX(DU25:DU69)</f>
        <v>30.349587865612154</v>
      </c>
      <c r="DV73" s="434">
        <f>MIN(DU25:DU69)</f>
        <v>18.952401085329093</v>
      </c>
      <c r="DW73" s="425">
        <f>AVERAGE(DY48:DY69)</f>
        <v>2.400976682469785E-2</v>
      </c>
      <c r="DX73" s="433">
        <f>MAX(DY25:DY69)</f>
        <v>2.6757406097079262E-2</v>
      </c>
      <c r="DY73" s="435">
        <f>MIN(DY25:DY69)</f>
        <v>1.7585971128634213E-2</v>
      </c>
      <c r="DZ73" s="138"/>
      <c r="EA73" s="14"/>
      <c r="EB73" s="14"/>
      <c r="EC73" s="14"/>
      <c r="ED73" s="436">
        <f>MAX(ED12:ED69)</f>
        <v>5.6495133460213207</v>
      </c>
      <c r="EE73" s="436">
        <f>MIN(ED12:ED69)</f>
        <v>1.5249922431449192</v>
      </c>
      <c r="EF73" s="425">
        <f>AVERAGE(EH61:EH69)</f>
        <v>4.8597104926105791E-2</v>
      </c>
      <c r="EG73" s="437">
        <f>MAX(EH12:EH69)</f>
        <v>6.1307795399037662E-2</v>
      </c>
      <c r="EH73" s="439">
        <f>MIN(EH12:EH69)</f>
        <v>1.7640164755869509E-2</v>
      </c>
      <c r="EI73" s="148"/>
      <c r="EJ73" s="149"/>
      <c r="EK73" s="149"/>
      <c r="EL73" s="149"/>
      <c r="EM73" s="434">
        <f>MAX(EM12:EM69)</f>
        <v>36.346947521201912</v>
      </c>
      <c r="EN73" s="434">
        <f>MIN(EM12:EM69)</f>
        <v>16.294406963433406</v>
      </c>
      <c r="EO73" s="425">
        <f>AVERAGE(EQ61:EQ69)</f>
        <v>2.3906213043434165E-2</v>
      </c>
      <c r="EP73" s="433">
        <f>MAX(EQ12:EQ69)</f>
        <v>3.2044917364956502E-2</v>
      </c>
      <c r="EQ73" s="440">
        <f>MIN(EQ12:EQ69)</f>
        <v>1.5119613030930134E-2</v>
      </c>
      <c r="ER73" s="296"/>
      <c r="ES73" s="299"/>
      <c r="ET73" s="295"/>
      <c r="EU73" s="300"/>
      <c r="EV73" s="133"/>
      <c r="EW73" s="391">
        <f>AVERAGE(EW14:EW69)</f>
        <v>2.4366131710073676E-2</v>
      </c>
      <c r="EX73" s="55"/>
      <c r="EY73" s="55"/>
      <c r="EZ73" s="130"/>
      <c r="FA73" s="441"/>
      <c r="FB73" s="391">
        <f>AVERAGE(FB14:FB69)</f>
        <v>1.8602490545224802E-2</v>
      </c>
      <c r="FC73" s="52"/>
      <c r="FD73" s="52"/>
      <c r="FE73" s="53"/>
      <c r="FF73" s="277"/>
      <c r="FG73" s="184"/>
      <c r="FH73" s="138"/>
      <c r="FI73" s="172"/>
      <c r="FJ73" s="146"/>
      <c r="FK73" s="171"/>
      <c r="FL73" s="138"/>
      <c r="FM73" s="172"/>
      <c r="FN73" s="146"/>
      <c r="FO73" s="171"/>
      <c r="FQ73" s="124"/>
      <c r="FR73" s="150"/>
      <c r="FS73" s="150"/>
      <c r="FT73" s="150"/>
      <c r="FU73" s="146"/>
      <c r="FV73" s="148"/>
      <c r="FW73" s="148"/>
      <c r="FX73" s="225"/>
    </row>
    <row r="74" spans="5:180" ht="11.15" thickBot="1" x14ac:dyDescent="0.35">
      <c r="L74" s="281"/>
      <c r="M74" s="285"/>
      <c r="N74" s="128"/>
      <c r="O74" s="128"/>
      <c r="P74" s="128"/>
      <c r="Q74" s="128"/>
      <c r="R74" s="129"/>
      <c r="S74" s="293"/>
      <c r="T74" s="128"/>
      <c r="U74" s="128"/>
      <c r="V74" s="128"/>
      <c r="W74" s="128"/>
      <c r="X74" s="129"/>
      <c r="Y74" s="117"/>
      <c r="Z74" s="38"/>
      <c r="AA74" s="39"/>
      <c r="AB74" s="49"/>
      <c r="AC74" s="39"/>
      <c r="AD74" s="49"/>
      <c r="AE74" s="41"/>
      <c r="AF74" s="41"/>
      <c r="AG74" s="39"/>
      <c r="AH74" s="49"/>
      <c r="AI74" s="41"/>
      <c r="AJ74" s="41"/>
      <c r="AK74" s="39"/>
      <c r="AL74" s="49"/>
      <c r="AM74" s="41"/>
      <c r="AN74" s="41"/>
      <c r="AO74" s="39"/>
      <c r="AP74" s="38"/>
      <c r="AQ74" s="41"/>
      <c r="AR74" s="41"/>
      <c r="AS74" s="39"/>
      <c r="AT74" s="38"/>
      <c r="AU74" s="46"/>
      <c r="AV74" s="137"/>
      <c r="AW74" s="253"/>
      <c r="AX74" s="38"/>
      <c r="AY74" s="41"/>
      <c r="AZ74" s="46"/>
      <c r="BA74" s="46"/>
      <c r="BB74" s="46"/>
      <c r="BC74" s="46"/>
      <c r="BD74" s="46"/>
      <c r="BE74" s="170"/>
      <c r="BF74" s="137"/>
      <c r="BG74" s="46"/>
      <c r="BH74" s="46"/>
      <c r="BI74" s="46"/>
      <c r="BJ74" s="46"/>
      <c r="BK74" s="46"/>
      <c r="BL74" s="46"/>
      <c r="BM74" s="170"/>
      <c r="BN74" s="137"/>
      <c r="BO74" s="45"/>
      <c r="BP74" s="46"/>
      <c r="BQ74" s="45"/>
      <c r="BR74" s="170"/>
      <c r="BS74" s="137"/>
      <c r="BT74" s="45"/>
      <c r="BU74" s="46"/>
      <c r="BV74" s="45"/>
      <c r="BW74" s="170"/>
      <c r="BX74" s="46"/>
      <c r="BY74" s="46"/>
      <c r="BZ74" s="46"/>
      <c r="CA74" s="46"/>
      <c r="CB74" s="46"/>
      <c r="CC74" s="46"/>
      <c r="CD74" s="47"/>
      <c r="CE74" s="47"/>
      <c r="CF74" s="244"/>
      <c r="CG74" s="245"/>
      <c r="CH74" s="47"/>
      <c r="CI74" s="46"/>
      <c r="CJ74" s="46"/>
      <c r="CK74" s="46"/>
      <c r="CL74" s="46"/>
      <c r="CM74" s="47"/>
      <c r="CN74" s="47"/>
      <c r="CO74" s="48"/>
      <c r="CP74" s="49"/>
      <c r="CQ74" s="41"/>
      <c r="CR74" s="41"/>
      <c r="CS74" s="41"/>
      <c r="CT74" s="41"/>
      <c r="CU74" s="41"/>
      <c r="CV74" s="41"/>
      <c r="CW74" s="41"/>
      <c r="CX74" s="39"/>
      <c r="CY74" s="38"/>
      <c r="CZ74" s="41"/>
      <c r="DA74" s="41"/>
      <c r="DB74" s="41"/>
      <c r="DC74" s="41"/>
      <c r="DD74" s="41"/>
      <c r="DE74" s="41"/>
      <c r="DF74" s="41"/>
      <c r="DG74" s="39"/>
      <c r="DH74" s="137"/>
      <c r="DI74" s="45"/>
      <c r="DJ74" s="45"/>
      <c r="DK74" s="45"/>
      <c r="DL74" s="41"/>
      <c r="DM74" s="41"/>
      <c r="DN74" s="41"/>
      <c r="DO74" s="56"/>
      <c r="DP74" s="275"/>
      <c r="DQ74" s="137"/>
      <c r="DR74" s="45"/>
      <c r="DS74" s="45"/>
      <c r="DT74" s="45"/>
      <c r="DU74" s="41"/>
      <c r="DV74" s="41"/>
      <c r="DW74" s="41"/>
      <c r="DX74" s="41"/>
      <c r="DY74" s="274"/>
      <c r="DZ74" s="137"/>
      <c r="EA74" s="46"/>
      <c r="EB74" s="46"/>
      <c r="EC74" s="46"/>
      <c r="ED74" s="41"/>
      <c r="EE74" s="41"/>
      <c r="EF74" s="41"/>
      <c r="EG74" s="56"/>
      <c r="EH74" s="123"/>
      <c r="EI74" s="45"/>
      <c r="EJ74" s="46"/>
      <c r="EK74" s="46"/>
      <c r="EL74" s="46"/>
      <c r="EM74" s="41"/>
      <c r="EN74" s="41"/>
      <c r="EO74" s="41"/>
      <c r="EP74" s="41"/>
      <c r="EQ74" s="39"/>
      <c r="ER74" s="137"/>
      <c r="ES74" s="170"/>
      <c r="ET74" s="137"/>
      <c r="EU74" s="170"/>
      <c r="EV74" s="132"/>
      <c r="EW74" s="56"/>
      <c r="EX74" s="56"/>
      <c r="EY74" s="56"/>
      <c r="EZ74" s="123"/>
      <c r="FA74" s="445"/>
      <c r="FB74" s="56"/>
      <c r="FC74" s="56"/>
      <c r="FD74" s="56"/>
      <c r="FE74" s="123"/>
      <c r="FF74" s="224"/>
      <c r="FG74" s="173"/>
      <c r="FH74" s="137"/>
      <c r="FI74" s="170"/>
      <c r="FJ74" s="137"/>
      <c r="FK74" s="170"/>
      <c r="FL74" s="137"/>
      <c r="FM74" s="170"/>
      <c r="FN74" s="137"/>
      <c r="FO74" s="170"/>
      <c r="FQ74" s="38"/>
      <c r="FR74" s="49"/>
      <c r="FS74" s="49"/>
      <c r="FT74" s="49"/>
      <c r="FU74" s="137"/>
      <c r="FV74" s="45"/>
      <c r="FW74" s="45"/>
      <c r="FX74" s="224"/>
    </row>
    <row r="75" spans="5:180" x14ac:dyDescent="0.3">
      <c r="DO75" s="57"/>
      <c r="DP75" s="57"/>
      <c r="EG75" s="57"/>
      <c r="EH75" s="57"/>
    </row>
    <row r="76" spans="5:180" x14ac:dyDescent="0.3">
      <c r="J76" s="223"/>
      <c r="K76" s="223"/>
      <c r="M76" s="57"/>
      <c r="N76" s="223"/>
      <c r="O76" s="223"/>
      <c r="P76" s="223"/>
      <c r="Q76" s="223"/>
      <c r="S76" s="223"/>
      <c r="T76" s="223"/>
      <c r="U76" s="223"/>
      <c r="V76" s="223"/>
      <c r="W76" s="223"/>
      <c r="DO76" s="57"/>
      <c r="DP76" s="57"/>
      <c r="EG76" s="57"/>
      <c r="EH76" s="57"/>
    </row>
    <row r="77" spans="5:180" x14ac:dyDescent="0.3">
      <c r="J77" s="223"/>
      <c r="K77" s="223"/>
      <c r="M77" s="57"/>
      <c r="N77" s="223"/>
      <c r="O77" s="223"/>
      <c r="P77" s="223"/>
      <c r="Q77" s="223"/>
      <c r="S77" s="223"/>
      <c r="T77" s="223"/>
      <c r="U77" s="223"/>
      <c r="V77" s="223"/>
      <c r="W77" s="223"/>
      <c r="DO77" s="57"/>
      <c r="DP77" s="57"/>
      <c r="EG77" s="57"/>
      <c r="EH77" s="57"/>
    </row>
    <row r="78" spans="5:180" x14ac:dyDescent="0.3">
      <c r="J78" s="223"/>
      <c r="K78" s="223"/>
      <c r="M78" s="57"/>
      <c r="N78" s="223"/>
      <c r="O78" s="223"/>
      <c r="P78" s="223"/>
      <c r="Q78" s="223"/>
      <c r="S78" s="223"/>
      <c r="T78" s="223"/>
      <c r="U78" s="223"/>
      <c r="V78" s="223"/>
      <c r="W78" s="223"/>
      <c r="DO78" s="57"/>
      <c r="DP78" s="57"/>
      <c r="EG78" s="57"/>
      <c r="EH78" s="57"/>
    </row>
    <row r="79" spans="5:180" x14ac:dyDescent="0.3">
      <c r="J79" s="223"/>
      <c r="K79" s="223"/>
      <c r="M79" s="57"/>
      <c r="N79" s="223"/>
      <c r="O79" s="223"/>
      <c r="P79" s="223"/>
      <c r="Q79" s="223"/>
      <c r="S79" s="223"/>
      <c r="T79" s="223"/>
      <c r="U79" s="223"/>
      <c r="V79" s="223"/>
      <c r="W79" s="223"/>
      <c r="DO79" s="57"/>
      <c r="DP79" s="57"/>
      <c r="EG79" s="57"/>
      <c r="EH79" s="57"/>
    </row>
    <row r="80" spans="5:180" x14ac:dyDescent="0.3">
      <c r="S80" s="223"/>
      <c r="DO80" s="57"/>
      <c r="DP80" s="57"/>
      <c r="EG80" s="57"/>
      <c r="EH80" s="57"/>
    </row>
    <row r="81" spans="10:138" x14ac:dyDescent="0.3">
      <c r="J81" s="223"/>
      <c r="K81" s="223"/>
      <c r="M81" s="57"/>
      <c r="N81" s="223"/>
      <c r="O81" s="223"/>
      <c r="P81" s="223"/>
      <c r="Q81" s="223"/>
      <c r="R81" s="223"/>
      <c r="S81" s="223"/>
      <c r="T81" s="223"/>
      <c r="U81" s="223"/>
      <c r="V81" s="223"/>
      <c r="W81" s="223"/>
      <c r="DO81" s="57"/>
      <c r="DP81" s="57"/>
      <c r="EG81" s="57"/>
      <c r="EH81" s="57"/>
    </row>
    <row r="82" spans="10:138" x14ac:dyDescent="0.3">
      <c r="J82" s="223"/>
      <c r="K82" s="223"/>
      <c r="M82" s="57"/>
      <c r="N82" s="223"/>
      <c r="O82" s="223"/>
      <c r="P82" s="223"/>
      <c r="Q82" s="223"/>
      <c r="R82" s="223"/>
      <c r="S82" s="223"/>
      <c r="T82" s="223"/>
      <c r="U82" s="223"/>
      <c r="V82" s="223"/>
      <c r="W82" s="223"/>
      <c r="DO82" s="57"/>
      <c r="DP82" s="57"/>
      <c r="EG82" s="57"/>
      <c r="EH82" s="57"/>
    </row>
    <row r="83" spans="10:138" x14ac:dyDescent="0.3">
      <c r="J83" s="223"/>
      <c r="K83" s="223"/>
      <c r="M83" s="57"/>
      <c r="N83" s="223"/>
      <c r="O83" s="223"/>
      <c r="P83" s="223"/>
      <c r="Q83" s="223"/>
      <c r="R83" s="223"/>
      <c r="S83" s="223"/>
      <c r="T83" s="223"/>
      <c r="U83" s="223"/>
      <c r="V83" s="223"/>
      <c r="W83" s="223"/>
      <c r="DO83" s="57"/>
      <c r="DP83" s="57"/>
      <c r="EG83" s="57"/>
      <c r="EH83" s="57"/>
    </row>
    <row r="84" spans="10:138" x14ac:dyDescent="0.3">
      <c r="J84" s="223"/>
      <c r="K84" s="223"/>
      <c r="M84" s="57"/>
      <c r="N84" s="223"/>
      <c r="O84" s="223"/>
      <c r="P84" s="223"/>
      <c r="Q84" s="223"/>
      <c r="R84" s="223"/>
      <c r="S84" s="223"/>
      <c r="T84" s="223"/>
      <c r="U84" s="223"/>
      <c r="V84" s="223"/>
      <c r="W84" s="223"/>
      <c r="DO84" s="57"/>
      <c r="DP84" s="57"/>
      <c r="EG84" s="57"/>
      <c r="EH84" s="57"/>
    </row>
    <row r="85" spans="10:138" x14ac:dyDescent="0.3">
      <c r="S85" s="223"/>
      <c r="DO85" s="57"/>
      <c r="DP85" s="57"/>
      <c r="EG85" s="57"/>
      <c r="EH85" s="57"/>
    </row>
    <row r="86" spans="10:138" x14ac:dyDescent="0.3">
      <c r="J86" s="223"/>
      <c r="K86" s="223"/>
      <c r="M86" s="57"/>
      <c r="N86" s="223"/>
      <c r="O86" s="223"/>
      <c r="P86" s="223"/>
      <c r="Q86" s="223"/>
      <c r="T86" s="223"/>
      <c r="U86" s="223"/>
      <c r="V86" s="223"/>
      <c r="W86" s="223"/>
      <c r="DO86" s="57"/>
      <c r="DP86" s="57"/>
      <c r="EG86" s="57"/>
      <c r="EH86" s="57"/>
    </row>
    <row r="87" spans="10:138" x14ac:dyDescent="0.3">
      <c r="J87" s="223"/>
      <c r="K87" s="223"/>
      <c r="M87" s="57"/>
      <c r="N87" s="223"/>
      <c r="O87" s="223"/>
      <c r="P87" s="223"/>
      <c r="Q87" s="223"/>
      <c r="T87" s="223"/>
      <c r="U87" s="223"/>
      <c r="V87" s="223"/>
      <c r="W87" s="223"/>
      <c r="DO87" s="57"/>
      <c r="DP87" s="57"/>
      <c r="EG87" s="57"/>
      <c r="EH87" s="57"/>
    </row>
    <row r="88" spans="10:138" x14ac:dyDescent="0.3">
      <c r="J88" s="223"/>
      <c r="K88" s="223"/>
      <c r="M88" s="57"/>
      <c r="N88" s="223"/>
      <c r="O88" s="223"/>
      <c r="P88" s="223"/>
      <c r="Q88" s="223"/>
      <c r="T88" s="223"/>
      <c r="U88" s="223"/>
      <c r="V88" s="223"/>
      <c r="W88" s="223"/>
      <c r="DO88" s="57"/>
      <c r="DP88" s="57"/>
      <c r="EG88" s="57"/>
      <c r="EH88" s="57"/>
    </row>
    <row r="89" spans="10:138" x14ac:dyDescent="0.3">
      <c r="J89" s="223"/>
      <c r="K89" s="223"/>
      <c r="M89" s="57"/>
      <c r="N89" s="223"/>
      <c r="O89" s="223"/>
      <c r="P89" s="223"/>
      <c r="Q89" s="223"/>
      <c r="T89" s="223"/>
      <c r="U89" s="223"/>
      <c r="V89" s="223"/>
      <c r="W89" s="223"/>
      <c r="DO89" s="57"/>
      <c r="DP89" s="57"/>
      <c r="EG89" s="57"/>
      <c r="EH89" s="57"/>
    </row>
    <row r="90" spans="10:138" x14ac:dyDescent="0.3">
      <c r="DO90" s="57"/>
      <c r="DP90" s="57"/>
      <c r="EG90" s="57"/>
      <c r="EH90" s="57"/>
    </row>
    <row r="91" spans="10:138" x14ac:dyDescent="0.3">
      <c r="J91" s="223"/>
      <c r="K91" s="223"/>
      <c r="O91" s="223"/>
      <c r="P91" s="223"/>
      <c r="U91" s="223"/>
      <c r="V91" s="223"/>
      <c r="DO91" s="57"/>
      <c r="DP91" s="57"/>
      <c r="EG91" s="57"/>
      <c r="EH91" s="57"/>
    </row>
    <row r="92" spans="10:138" x14ac:dyDescent="0.3">
      <c r="J92" s="223"/>
      <c r="K92" s="223"/>
      <c r="O92" s="223"/>
      <c r="P92" s="223"/>
      <c r="U92" s="223"/>
      <c r="V92" s="223"/>
      <c r="DO92" s="57"/>
      <c r="DP92" s="57"/>
      <c r="EG92" s="57"/>
      <c r="EH92" s="57"/>
    </row>
    <row r="93" spans="10:138" x14ac:dyDescent="0.3">
      <c r="J93" s="223"/>
      <c r="K93" s="223"/>
      <c r="O93" s="223"/>
      <c r="P93" s="223"/>
      <c r="U93" s="223"/>
      <c r="V93" s="223"/>
      <c r="DO93" s="57"/>
      <c r="DP93" s="57"/>
      <c r="EG93" s="57"/>
      <c r="EH93" s="57"/>
    </row>
    <row r="94" spans="10:138" x14ac:dyDescent="0.3">
      <c r="J94" s="223"/>
      <c r="K94" s="223"/>
      <c r="O94" s="223"/>
      <c r="P94" s="223"/>
      <c r="U94" s="223"/>
      <c r="V94" s="223"/>
      <c r="DO94" s="57"/>
      <c r="DP94" s="57"/>
      <c r="EG94" s="57"/>
      <c r="EH94" s="57"/>
    </row>
    <row r="95" spans="10:138" x14ac:dyDescent="0.3">
      <c r="DO95" s="57"/>
      <c r="DP95" s="57"/>
      <c r="EG95" s="57"/>
      <c r="EH95" s="57"/>
    </row>
    <row r="96" spans="10:138" x14ac:dyDescent="0.3">
      <c r="J96" s="223"/>
      <c r="K96" s="223"/>
      <c r="N96" s="223"/>
      <c r="O96" s="223"/>
      <c r="P96" s="223"/>
      <c r="U96" s="223"/>
      <c r="V96" s="223"/>
      <c r="DO96" s="57"/>
      <c r="DP96" s="57"/>
      <c r="EG96" s="57"/>
      <c r="EH96" s="57"/>
    </row>
    <row r="97" spans="10:138" x14ac:dyDescent="0.3">
      <c r="J97" s="223"/>
      <c r="K97" s="223"/>
      <c r="N97" s="223"/>
      <c r="O97" s="223"/>
      <c r="P97" s="223"/>
      <c r="U97" s="223"/>
      <c r="V97" s="223"/>
      <c r="DO97" s="57"/>
      <c r="DP97" s="57"/>
      <c r="EG97" s="57"/>
      <c r="EH97" s="57"/>
    </row>
    <row r="98" spans="10:138" x14ac:dyDescent="0.3">
      <c r="J98" s="223"/>
      <c r="K98" s="223"/>
      <c r="N98" s="223"/>
      <c r="O98" s="223"/>
      <c r="P98" s="223"/>
      <c r="U98" s="223"/>
      <c r="V98" s="223"/>
      <c r="DO98" s="57"/>
      <c r="DP98" s="57"/>
      <c r="EG98" s="57"/>
      <c r="EH98" s="57"/>
    </row>
    <row r="99" spans="10:138" x14ac:dyDescent="0.3">
      <c r="J99" s="223"/>
      <c r="K99" s="223"/>
      <c r="N99" s="223"/>
      <c r="O99" s="223"/>
      <c r="P99" s="223"/>
      <c r="U99" s="223"/>
      <c r="V99" s="223"/>
      <c r="DO99" s="57"/>
      <c r="DP99" s="57"/>
      <c r="EG99" s="57"/>
      <c r="EH99" s="57"/>
    </row>
    <row r="100" spans="10:138" x14ac:dyDescent="0.3">
      <c r="DO100" s="57"/>
      <c r="DP100" s="57"/>
      <c r="EG100" s="57"/>
      <c r="EH100" s="57"/>
    </row>
    <row r="101" spans="10:138" x14ac:dyDescent="0.3">
      <c r="DO101" s="57"/>
      <c r="DP101" s="57"/>
      <c r="EG101" s="57"/>
      <c r="EH101" s="57"/>
    </row>
    <row r="102" spans="10:138" x14ac:dyDescent="0.3">
      <c r="DO102" s="57"/>
      <c r="DP102" s="57"/>
      <c r="EG102" s="57"/>
      <c r="EH102" s="57"/>
    </row>
    <row r="103" spans="10:138" x14ac:dyDescent="0.3">
      <c r="DO103" s="57"/>
      <c r="DP103" s="57"/>
      <c r="EG103" s="57"/>
      <c r="EH103" s="57"/>
    </row>
    <row r="104" spans="10:138" x14ac:dyDescent="0.3">
      <c r="DO104" s="57"/>
      <c r="DP104" s="57"/>
      <c r="EG104" s="57"/>
      <c r="EH104" s="57"/>
    </row>
    <row r="105" spans="10:138" x14ac:dyDescent="0.3">
      <c r="DO105" s="57"/>
      <c r="DP105" s="57"/>
      <c r="EG105" s="57"/>
      <c r="EH105" s="57"/>
    </row>
    <row r="106" spans="10:138" x14ac:dyDescent="0.3">
      <c r="DO106" s="57"/>
      <c r="DP106" s="57"/>
      <c r="EG106" s="57"/>
      <c r="EH106" s="57"/>
    </row>
    <row r="107" spans="10:138" x14ac:dyDescent="0.3">
      <c r="DO107" s="57"/>
      <c r="DP107" s="57"/>
      <c r="EG107" s="57"/>
      <c r="EH107" s="57"/>
    </row>
    <row r="108" spans="10:138" x14ac:dyDescent="0.3">
      <c r="DO108" s="57"/>
      <c r="DP108" s="57"/>
      <c r="EG108" s="57"/>
      <c r="EH108" s="57"/>
    </row>
    <row r="109" spans="10:138" x14ac:dyDescent="0.3">
      <c r="DO109" s="57"/>
      <c r="DP109" s="57"/>
      <c r="EG109" s="57"/>
      <c r="EH109" s="57"/>
    </row>
    <row r="110" spans="10:138" x14ac:dyDescent="0.3">
      <c r="DO110" s="57"/>
      <c r="DP110" s="57"/>
      <c r="EG110" s="57"/>
      <c r="EH110" s="57"/>
    </row>
    <row r="111" spans="10:138" x14ac:dyDescent="0.3">
      <c r="DO111" s="57"/>
      <c r="DP111" s="57"/>
      <c r="EG111" s="57"/>
      <c r="EH111" s="57"/>
    </row>
    <row r="112" spans="10:138" x14ac:dyDescent="0.3">
      <c r="DO112" s="57"/>
      <c r="DP112" s="57"/>
      <c r="EG112" s="57"/>
      <c r="EH112" s="57"/>
    </row>
    <row r="113" spans="119:138" x14ac:dyDescent="0.3">
      <c r="DO113" s="57"/>
      <c r="DP113" s="57"/>
      <c r="EG113" s="57"/>
      <c r="EH113" s="57"/>
    </row>
    <row r="114" spans="119:138" x14ac:dyDescent="0.3">
      <c r="DO114" s="57"/>
      <c r="DP114" s="57"/>
      <c r="EG114" s="57"/>
      <c r="EH114" s="57"/>
    </row>
    <row r="115" spans="119:138" x14ac:dyDescent="0.3">
      <c r="DO115" s="57"/>
      <c r="DP115" s="57"/>
      <c r="EG115" s="57"/>
      <c r="EH115" s="57"/>
    </row>
    <row r="116" spans="119:138" x14ac:dyDescent="0.3">
      <c r="DO116" s="57"/>
      <c r="DP116" s="57"/>
      <c r="EG116" s="57"/>
      <c r="EH116" s="57"/>
    </row>
    <row r="117" spans="119:138" x14ac:dyDescent="0.3">
      <c r="DO117" s="57"/>
      <c r="DP117" s="57"/>
      <c r="EG117" s="57"/>
      <c r="EH117" s="57"/>
    </row>
    <row r="118" spans="119:138" x14ac:dyDescent="0.3">
      <c r="DO118" s="57"/>
      <c r="DP118" s="57"/>
      <c r="EG118" s="57"/>
      <c r="EH118" s="57"/>
    </row>
    <row r="119" spans="119:138" x14ac:dyDescent="0.3">
      <c r="DO119" s="57"/>
      <c r="DP119" s="57"/>
      <c r="EG119" s="57"/>
      <c r="EH119" s="57"/>
    </row>
    <row r="120" spans="119:138" x14ac:dyDescent="0.3">
      <c r="DO120" s="57"/>
      <c r="DP120" s="57"/>
      <c r="EG120" s="57"/>
      <c r="EH120" s="57"/>
    </row>
    <row r="121" spans="119:138" x14ac:dyDescent="0.3">
      <c r="DO121" s="57"/>
      <c r="DP121" s="57"/>
      <c r="EG121" s="57"/>
      <c r="EH121" s="57"/>
    </row>
    <row r="122" spans="119:138" x14ac:dyDescent="0.3">
      <c r="DO122" s="57"/>
      <c r="DP122" s="57"/>
      <c r="EG122" s="57"/>
      <c r="EH122" s="57"/>
    </row>
    <row r="123" spans="119:138" x14ac:dyDescent="0.3">
      <c r="DO123" s="57"/>
      <c r="DP123" s="57"/>
      <c r="EG123" s="57"/>
      <c r="EH123" s="57"/>
    </row>
    <row r="124" spans="119:138" x14ac:dyDescent="0.3">
      <c r="DO124" s="57"/>
      <c r="DP124" s="57"/>
      <c r="EG124" s="57"/>
      <c r="EH124" s="57"/>
    </row>
    <row r="125" spans="119:138" x14ac:dyDescent="0.3">
      <c r="DO125" s="57"/>
      <c r="DP125" s="57"/>
      <c r="EG125" s="57"/>
      <c r="EH125" s="57"/>
    </row>
    <row r="126" spans="119:138" x14ac:dyDescent="0.3">
      <c r="DO126" s="57"/>
      <c r="DP126" s="57"/>
      <c r="EG126" s="57"/>
      <c r="EH126" s="57"/>
    </row>
    <row r="127" spans="119:138" x14ac:dyDescent="0.3">
      <c r="DO127" s="57"/>
      <c r="DP127" s="57"/>
      <c r="EG127" s="57"/>
      <c r="EH127" s="57"/>
    </row>
    <row r="128" spans="119:138" x14ac:dyDescent="0.3">
      <c r="DO128" s="57"/>
      <c r="DP128" s="57"/>
      <c r="EG128" s="57"/>
      <c r="EH128" s="57"/>
    </row>
    <row r="129" spans="119:138" x14ac:dyDescent="0.3">
      <c r="DO129" s="57"/>
      <c r="DP129" s="57"/>
      <c r="EG129" s="57"/>
      <c r="EH129" s="57"/>
    </row>
    <row r="130" spans="119:138" x14ac:dyDescent="0.3">
      <c r="DO130" s="57"/>
      <c r="DP130" s="57"/>
      <c r="EG130" s="57"/>
      <c r="EH130" s="57"/>
    </row>
    <row r="131" spans="119:138" x14ac:dyDescent="0.3">
      <c r="DO131" s="57"/>
      <c r="DP131" s="57"/>
      <c r="EG131" s="57"/>
      <c r="EH131" s="57"/>
    </row>
    <row r="132" spans="119:138" x14ac:dyDescent="0.3">
      <c r="DO132" s="57"/>
      <c r="DP132" s="57"/>
      <c r="EG132" s="57"/>
      <c r="EH132" s="57"/>
    </row>
    <row r="133" spans="119:138" x14ac:dyDescent="0.3">
      <c r="DO133" s="57"/>
      <c r="DP133" s="57"/>
      <c r="EG133" s="57"/>
      <c r="EH133" s="57"/>
    </row>
    <row r="134" spans="119:138" x14ac:dyDescent="0.3">
      <c r="DO134" s="57"/>
      <c r="DP134" s="57"/>
      <c r="EG134" s="57"/>
      <c r="EH134" s="57"/>
    </row>
    <row r="135" spans="119:138" x14ac:dyDescent="0.3">
      <c r="DO135" s="57"/>
      <c r="DP135" s="57"/>
      <c r="EG135" s="57"/>
      <c r="EH135" s="57"/>
    </row>
    <row r="136" spans="119:138" x14ac:dyDescent="0.3">
      <c r="DO136" s="57"/>
      <c r="DP136" s="57"/>
      <c r="EG136" s="57"/>
      <c r="EH136" s="57"/>
    </row>
    <row r="137" spans="119:138" x14ac:dyDescent="0.3">
      <c r="DO137" s="57"/>
      <c r="DP137" s="57"/>
      <c r="EG137" s="57"/>
      <c r="EH137" s="57"/>
    </row>
    <row r="138" spans="119:138" x14ac:dyDescent="0.3">
      <c r="DO138" s="57"/>
      <c r="DP138" s="57"/>
      <c r="EG138" s="57"/>
      <c r="EH138" s="57"/>
    </row>
    <row r="139" spans="119:138" x14ac:dyDescent="0.3">
      <c r="DO139" s="57"/>
      <c r="DP139" s="57"/>
      <c r="EG139" s="57"/>
      <c r="EH139" s="57"/>
    </row>
    <row r="140" spans="119:138" x14ac:dyDescent="0.3">
      <c r="DO140" s="57"/>
      <c r="DP140" s="57"/>
      <c r="EG140" s="57"/>
      <c r="EH140" s="57"/>
    </row>
    <row r="141" spans="119:138" x14ac:dyDescent="0.3">
      <c r="DO141" s="57"/>
      <c r="DP141" s="57"/>
      <c r="EG141" s="57"/>
      <c r="EH141" s="57"/>
    </row>
    <row r="142" spans="119:138" x14ac:dyDescent="0.3">
      <c r="DO142" s="57"/>
      <c r="DP142" s="57"/>
      <c r="EG142" s="57"/>
      <c r="EH142" s="57"/>
    </row>
    <row r="143" spans="119:138" x14ac:dyDescent="0.3">
      <c r="DO143" s="57"/>
      <c r="DP143" s="57"/>
      <c r="EG143" s="57"/>
      <c r="EH143" s="57"/>
    </row>
    <row r="144" spans="119:138" x14ac:dyDescent="0.3">
      <c r="DO144" s="57"/>
      <c r="DP144" s="57"/>
      <c r="EG144" s="57"/>
      <c r="EH144" s="57"/>
    </row>
    <row r="145" spans="119:138" x14ac:dyDescent="0.3">
      <c r="DO145" s="57"/>
      <c r="DP145" s="57"/>
      <c r="EG145" s="57"/>
      <c r="EH145" s="57"/>
    </row>
    <row r="146" spans="119:138" x14ac:dyDescent="0.3">
      <c r="DO146" s="57"/>
      <c r="DP146" s="57"/>
      <c r="EG146" s="57"/>
      <c r="EH146" s="57"/>
    </row>
    <row r="147" spans="119:138" x14ac:dyDescent="0.3">
      <c r="DO147" s="57"/>
      <c r="DP147" s="57"/>
      <c r="EG147" s="57"/>
      <c r="EH147" s="57"/>
    </row>
    <row r="148" spans="119:138" x14ac:dyDescent="0.3">
      <c r="DO148" s="57"/>
      <c r="DP148" s="57"/>
      <c r="EG148" s="57"/>
      <c r="EH148" s="57"/>
    </row>
    <row r="149" spans="119:138" x14ac:dyDescent="0.3">
      <c r="DO149" s="57"/>
      <c r="DP149" s="57"/>
      <c r="EG149" s="57"/>
      <c r="EH149" s="57"/>
    </row>
    <row r="150" spans="119:138" x14ac:dyDescent="0.3">
      <c r="DO150" s="57"/>
      <c r="DP150" s="57"/>
      <c r="EG150" s="57"/>
      <c r="EH150" s="57"/>
    </row>
    <row r="151" spans="119:138" x14ac:dyDescent="0.3">
      <c r="DO151" s="57"/>
      <c r="DP151" s="57"/>
      <c r="EG151" s="57"/>
      <c r="EH151" s="57"/>
    </row>
    <row r="152" spans="119:138" x14ac:dyDescent="0.3">
      <c r="DO152" s="57"/>
      <c r="DP152" s="57"/>
      <c r="EG152" s="57"/>
      <c r="EH152" s="57"/>
    </row>
    <row r="153" spans="119:138" x14ac:dyDescent="0.3">
      <c r="DO153" s="57"/>
      <c r="DP153" s="57"/>
      <c r="EG153" s="57"/>
      <c r="EH153" s="57"/>
    </row>
    <row r="154" spans="119:138" x14ac:dyDescent="0.3">
      <c r="DO154" s="57"/>
      <c r="DP154" s="57"/>
      <c r="EG154" s="57"/>
      <c r="EH154" s="57"/>
    </row>
    <row r="155" spans="119:138" x14ac:dyDescent="0.3">
      <c r="DO155" s="57"/>
      <c r="DP155" s="57"/>
      <c r="EG155" s="57"/>
      <c r="EH155" s="57"/>
    </row>
    <row r="156" spans="119:138" x14ac:dyDescent="0.3">
      <c r="DO156" s="57"/>
      <c r="DP156" s="57"/>
      <c r="EG156" s="57"/>
      <c r="EH156" s="57"/>
    </row>
    <row r="157" spans="119:138" x14ac:dyDescent="0.3">
      <c r="DO157" s="57"/>
      <c r="DP157" s="57"/>
      <c r="EG157" s="57"/>
      <c r="EH157" s="57"/>
    </row>
    <row r="158" spans="119:138" x14ac:dyDescent="0.3">
      <c r="DO158" s="57"/>
      <c r="DP158" s="57"/>
      <c r="EG158" s="57"/>
      <c r="EH158" s="57"/>
    </row>
    <row r="159" spans="119:138" x14ac:dyDescent="0.3">
      <c r="DO159" s="57"/>
      <c r="DP159" s="57"/>
      <c r="EG159" s="57"/>
      <c r="EH159" s="57"/>
    </row>
    <row r="160" spans="119:138" x14ac:dyDescent="0.3">
      <c r="DO160" s="57"/>
      <c r="DP160" s="57"/>
      <c r="EG160" s="57"/>
      <c r="EH160" s="57"/>
    </row>
    <row r="161" spans="119:138" x14ac:dyDescent="0.3">
      <c r="DO161" s="57"/>
      <c r="DP161" s="57"/>
      <c r="EG161" s="57"/>
      <c r="EH161" s="57"/>
    </row>
    <row r="162" spans="119:138" x14ac:dyDescent="0.3">
      <c r="DO162" s="57"/>
      <c r="DP162" s="57"/>
      <c r="EG162" s="57"/>
      <c r="EH162" s="57"/>
    </row>
    <row r="163" spans="119:138" x14ac:dyDescent="0.3">
      <c r="DO163" s="57"/>
      <c r="DP163" s="57"/>
      <c r="EG163" s="57"/>
      <c r="EH163" s="57"/>
    </row>
    <row r="164" spans="119:138" x14ac:dyDescent="0.3">
      <c r="DO164" s="57"/>
      <c r="DP164" s="57"/>
      <c r="EG164" s="57"/>
      <c r="EH164" s="57"/>
    </row>
    <row r="165" spans="119:138" x14ac:dyDescent="0.3">
      <c r="DO165" s="57"/>
      <c r="DP165" s="57"/>
      <c r="EG165" s="57"/>
      <c r="EH165" s="57"/>
    </row>
    <row r="166" spans="119:138" x14ac:dyDescent="0.3">
      <c r="DO166" s="57"/>
      <c r="DP166" s="57"/>
      <c r="EG166" s="57"/>
      <c r="EH166" s="57"/>
    </row>
    <row r="167" spans="119:138" x14ac:dyDescent="0.3">
      <c r="DO167" s="57"/>
      <c r="DP167" s="57"/>
      <c r="EG167" s="57"/>
      <c r="EH167" s="57"/>
    </row>
    <row r="168" spans="119:138" x14ac:dyDescent="0.3">
      <c r="DO168" s="57"/>
      <c r="DP168" s="57"/>
      <c r="EG168" s="57"/>
      <c r="EH168" s="57"/>
    </row>
    <row r="169" spans="119:138" x14ac:dyDescent="0.3">
      <c r="DO169" s="57"/>
      <c r="DP169" s="57"/>
      <c r="EG169" s="57"/>
      <c r="EH169" s="57"/>
    </row>
    <row r="170" spans="119:138" x14ac:dyDescent="0.3">
      <c r="DO170" s="57"/>
      <c r="DP170" s="57"/>
      <c r="EG170" s="57"/>
      <c r="EH170" s="57"/>
    </row>
    <row r="171" spans="119:138" x14ac:dyDescent="0.3">
      <c r="DO171" s="57"/>
      <c r="DP171" s="57"/>
      <c r="EG171" s="57"/>
      <c r="EH171" s="57"/>
    </row>
    <row r="172" spans="119:138" x14ac:dyDescent="0.3">
      <c r="DO172" s="57"/>
      <c r="DP172" s="57"/>
      <c r="EG172" s="57"/>
      <c r="EH172" s="57"/>
    </row>
    <row r="173" spans="119:138" x14ac:dyDescent="0.3">
      <c r="DO173" s="57"/>
      <c r="DP173" s="57"/>
      <c r="EG173" s="57"/>
      <c r="EH173" s="57"/>
    </row>
    <row r="174" spans="119:138" x14ac:dyDescent="0.3">
      <c r="DO174" s="57"/>
      <c r="DP174" s="57"/>
      <c r="EG174" s="57"/>
      <c r="EH174" s="57"/>
    </row>
    <row r="175" spans="119:138" x14ac:dyDescent="0.3">
      <c r="DO175" s="57"/>
      <c r="DP175" s="57"/>
      <c r="EG175" s="57"/>
      <c r="EH175" s="57"/>
    </row>
    <row r="176" spans="119:138" x14ac:dyDescent="0.3">
      <c r="DO176" s="57"/>
      <c r="DP176" s="57"/>
      <c r="EG176" s="57"/>
      <c r="EH176" s="57"/>
    </row>
    <row r="177" spans="119:138" x14ac:dyDescent="0.3">
      <c r="DO177" s="57"/>
      <c r="DP177" s="57"/>
      <c r="EG177" s="57"/>
      <c r="EH177" s="57"/>
    </row>
    <row r="178" spans="119:138" x14ac:dyDescent="0.3">
      <c r="DO178" s="57"/>
      <c r="DP178" s="57"/>
      <c r="EG178" s="57"/>
      <c r="EH178" s="57"/>
    </row>
    <row r="179" spans="119:138" x14ac:dyDescent="0.3">
      <c r="DO179" s="57"/>
      <c r="DP179" s="57"/>
      <c r="EG179" s="57"/>
      <c r="EH179" s="57"/>
    </row>
    <row r="180" spans="119:138" x14ac:dyDescent="0.3">
      <c r="DO180" s="57"/>
      <c r="DP180" s="57"/>
      <c r="EG180" s="57"/>
      <c r="EH180" s="57"/>
    </row>
    <row r="181" spans="119:138" x14ac:dyDescent="0.3">
      <c r="DO181" s="57"/>
      <c r="DP181" s="57"/>
      <c r="EG181" s="57"/>
      <c r="EH181" s="57"/>
    </row>
    <row r="182" spans="119:138" x14ac:dyDescent="0.3">
      <c r="DO182" s="57"/>
      <c r="DP182" s="57"/>
      <c r="EG182" s="57"/>
      <c r="EH182" s="57"/>
    </row>
    <row r="183" spans="119:138" x14ac:dyDescent="0.3">
      <c r="DO183" s="57"/>
      <c r="DP183" s="57"/>
      <c r="EG183" s="57"/>
      <c r="EH183" s="57"/>
    </row>
    <row r="184" spans="119:138" x14ac:dyDescent="0.3">
      <c r="DO184" s="57"/>
      <c r="DP184" s="57"/>
      <c r="EG184" s="57"/>
      <c r="EH184" s="57"/>
    </row>
    <row r="185" spans="119:138" x14ac:dyDescent="0.3">
      <c r="DO185" s="57"/>
      <c r="DP185" s="57"/>
      <c r="EG185" s="57"/>
      <c r="EH185" s="57"/>
    </row>
    <row r="186" spans="119:138" x14ac:dyDescent="0.3">
      <c r="DO186" s="57"/>
      <c r="DP186" s="57"/>
      <c r="EG186" s="57"/>
      <c r="EH186" s="57"/>
    </row>
    <row r="187" spans="119:138" x14ac:dyDescent="0.3">
      <c r="DO187" s="57"/>
      <c r="DP187" s="57"/>
      <c r="EG187" s="57"/>
      <c r="EH187" s="57"/>
    </row>
  </sheetData>
  <mergeCells count="232">
    <mergeCell ref="F37:F38"/>
    <mergeCell ref="G37:G38"/>
    <mergeCell ref="H37:H38"/>
    <mergeCell ref="I37:I38"/>
    <mergeCell ref="J37:J38"/>
    <mergeCell ref="A35:C35"/>
    <mergeCell ref="A37:A38"/>
    <mergeCell ref="B37:B38"/>
    <mergeCell ref="C37:C38"/>
    <mergeCell ref="D37:D38"/>
    <mergeCell ref="E37:E38"/>
    <mergeCell ref="F13:F14"/>
    <mergeCell ref="G13:G14"/>
    <mergeCell ref="H13:H14"/>
    <mergeCell ref="I13:I14"/>
    <mergeCell ref="J13:J14"/>
    <mergeCell ref="A32:A33"/>
    <mergeCell ref="B32:C32"/>
    <mergeCell ref="B33:C33"/>
    <mergeCell ref="A11:C11"/>
    <mergeCell ref="A13:A14"/>
    <mergeCell ref="B13:B14"/>
    <mergeCell ref="C13:C14"/>
    <mergeCell ref="D13:D14"/>
    <mergeCell ref="E13:E14"/>
    <mergeCell ref="FW2:FW3"/>
    <mergeCell ref="FX2:FX3"/>
    <mergeCell ref="A4:C4"/>
    <mergeCell ref="A5:C5"/>
    <mergeCell ref="A8:A9"/>
    <mergeCell ref="B8:C8"/>
    <mergeCell ref="B9:C9"/>
    <mergeCell ref="FQ2:FQ3"/>
    <mergeCell ref="FR2:FR3"/>
    <mergeCell ref="FS2:FS3"/>
    <mergeCell ref="FT2:FT3"/>
    <mergeCell ref="FU2:FU3"/>
    <mergeCell ref="FV2:FV3"/>
    <mergeCell ref="FJ2:FJ3"/>
    <mergeCell ref="FK2:FK3"/>
    <mergeCell ref="FL2:FL3"/>
    <mergeCell ref="FM2:FM3"/>
    <mergeCell ref="FN2:FN3"/>
    <mergeCell ref="FO2:FO3"/>
    <mergeCell ref="FD2:FD3"/>
    <mergeCell ref="FE2:FE3"/>
    <mergeCell ref="FF2:FF3"/>
    <mergeCell ref="FG2:FG3"/>
    <mergeCell ref="FH2:FH3"/>
    <mergeCell ref="FI2:FI3"/>
    <mergeCell ref="EX2:EX3"/>
    <mergeCell ref="EY2:EY3"/>
    <mergeCell ref="EZ2:EZ3"/>
    <mergeCell ref="FA2:FA3"/>
    <mergeCell ref="FB2:FB3"/>
    <mergeCell ref="FC2:FC3"/>
    <mergeCell ref="ER2:ER3"/>
    <mergeCell ref="ES2:ES3"/>
    <mergeCell ref="ET2:ET3"/>
    <mergeCell ref="EU2:EU3"/>
    <mergeCell ref="EV2:EV3"/>
    <mergeCell ref="EW2:EW3"/>
    <mergeCell ref="EL2:EL3"/>
    <mergeCell ref="EM2:EM3"/>
    <mergeCell ref="EN2:EN3"/>
    <mergeCell ref="EO2:EO3"/>
    <mergeCell ref="EP2:EP3"/>
    <mergeCell ref="EQ2:EQ3"/>
    <mergeCell ref="EF2:EF3"/>
    <mergeCell ref="EG2:EG3"/>
    <mergeCell ref="EH2:EH3"/>
    <mergeCell ref="EI2:EI3"/>
    <mergeCell ref="EJ2:EJ3"/>
    <mergeCell ref="EK2:EK3"/>
    <mergeCell ref="DZ2:DZ3"/>
    <mergeCell ref="EA2:EA3"/>
    <mergeCell ref="EB2:EB3"/>
    <mergeCell ref="EC2:EC3"/>
    <mergeCell ref="ED2:ED3"/>
    <mergeCell ref="EE2:EE3"/>
    <mergeCell ref="DT2:DT3"/>
    <mergeCell ref="DU2:DU3"/>
    <mergeCell ref="DV2:DV3"/>
    <mergeCell ref="DW2:DW3"/>
    <mergeCell ref="DX2:DX3"/>
    <mergeCell ref="DY2:DY3"/>
    <mergeCell ref="DN2:DN3"/>
    <mergeCell ref="DO2:DO3"/>
    <mergeCell ref="DP2:DP3"/>
    <mergeCell ref="DQ2:DQ3"/>
    <mergeCell ref="DR2:DR3"/>
    <mergeCell ref="DS2:DS3"/>
    <mergeCell ref="DH2:DH3"/>
    <mergeCell ref="DI2:DI3"/>
    <mergeCell ref="DJ2:DJ3"/>
    <mergeCell ref="DK2:DK3"/>
    <mergeCell ref="DL2:DL3"/>
    <mergeCell ref="DM2:DM3"/>
    <mergeCell ref="DB2:DB3"/>
    <mergeCell ref="DC2:DC3"/>
    <mergeCell ref="DD2:DD3"/>
    <mergeCell ref="DE2:DE3"/>
    <mergeCell ref="DF2:DF3"/>
    <mergeCell ref="DG2:DG3"/>
    <mergeCell ref="CV2:CV3"/>
    <mergeCell ref="CW2:CW3"/>
    <mergeCell ref="CX2:CX3"/>
    <mergeCell ref="CY2:CY3"/>
    <mergeCell ref="CZ2:CZ3"/>
    <mergeCell ref="DA2:DA3"/>
    <mergeCell ref="CP2:CP3"/>
    <mergeCell ref="CQ2:CQ3"/>
    <mergeCell ref="CR2:CR3"/>
    <mergeCell ref="CS2:CS3"/>
    <mergeCell ref="CT2:CT3"/>
    <mergeCell ref="CU2:CU3"/>
    <mergeCell ref="CJ2:CJ3"/>
    <mergeCell ref="CK2:CK3"/>
    <mergeCell ref="CL2:CL3"/>
    <mergeCell ref="CM2:CM3"/>
    <mergeCell ref="CN2:CN3"/>
    <mergeCell ref="CO2:CO3"/>
    <mergeCell ref="CD2:CD3"/>
    <mergeCell ref="CE2:CE3"/>
    <mergeCell ref="CF2:CF3"/>
    <mergeCell ref="CG2:CG3"/>
    <mergeCell ref="CH2:CH3"/>
    <mergeCell ref="CI2:CI3"/>
    <mergeCell ref="BX2:BX3"/>
    <mergeCell ref="BY2:BY3"/>
    <mergeCell ref="BZ2:BZ3"/>
    <mergeCell ref="CA2:CA3"/>
    <mergeCell ref="CB2:CB3"/>
    <mergeCell ref="CC2:CC3"/>
    <mergeCell ref="BR2:BR3"/>
    <mergeCell ref="BS2:BS3"/>
    <mergeCell ref="BT2:BT3"/>
    <mergeCell ref="BU2:BU3"/>
    <mergeCell ref="BV2:BV3"/>
    <mergeCell ref="BW2:BW3"/>
    <mergeCell ref="BL2:BL3"/>
    <mergeCell ref="BM2:BM3"/>
    <mergeCell ref="BN2:BN3"/>
    <mergeCell ref="BO2:BO3"/>
    <mergeCell ref="BP2:BP3"/>
    <mergeCell ref="BQ2:BQ3"/>
    <mergeCell ref="BF2:BF3"/>
    <mergeCell ref="BG2:BG3"/>
    <mergeCell ref="BH2:BH3"/>
    <mergeCell ref="BI2:BI3"/>
    <mergeCell ref="BJ2:BJ3"/>
    <mergeCell ref="BK2:BK3"/>
    <mergeCell ref="AZ2:AZ3"/>
    <mergeCell ref="BA2:BA3"/>
    <mergeCell ref="BB2:BB3"/>
    <mergeCell ref="BC2:BC3"/>
    <mergeCell ref="BD2:BD3"/>
    <mergeCell ref="BE2:BE3"/>
    <mergeCell ref="AT2:AT3"/>
    <mergeCell ref="AU2:AU3"/>
    <mergeCell ref="AV2:AV3"/>
    <mergeCell ref="AW2:AW3"/>
    <mergeCell ref="AX2:AX3"/>
    <mergeCell ref="AY2:AY3"/>
    <mergeCell ref="AN2:AN3"/>
    <mergeCell ref="AO2:AO3"/>
    <mergeCell ref="AP2:AP3"/>
    <mergeCell ref="AQ2:AQ3"/>
    <mergeCell ref="AR2:AR3"/>
    <mergeCell ref="AS2:AS3"/>
    <mergeCell ref="FN1:FO1"/>
    <mergeCell ref="FQ1:FT1"/>
    <mergeCell ref="FU1:FX1"/>
    <mergeCell ref="FA1:FE1"/>
    <mergeCell ref="FH1:FI1"/>
    <mergeCell ref="FJ1:FK1"/>
    <mergeCell ref="FL1:FM1"/>
    <mergeCell ref="AT1:AU1"/>
    <mergeCell ref="AV1:AW1"/>
    <mergeCell ref="AX1:BE1"/>
    <mergeCell ref="ET1:EU1"/>
    <mergeCell ref="EV1:EZ1"/>
    <mergeCell ref="CY1:DG1"/>
    <mergeCell ref="DH1:DP1"/>
    <mergeCell ref="DQ1:DY1"/>
    <mergeCell ref="DZ1:EH1"/>
    <mergeCell ref="EI1:EQ1"/>
    <mergeCell ref="ER1:ES1"/>
    <mergeCell ref="BF1:BM1"/>
    <mergeCell ref="BN1:BR1"/>
    <mergeCell ref="BS1:BW1"/>
    <mergeCell ref="BX1:CF1"/>
    <mergeCell ref="CG1:CO1"/>
    <mergeCell ref="CP1:CX1"/>
    <mergeCell ref="AH1:AK1"/>
    <mergeCell ref="AL1:AO1"/>
    <mergeCell ref="AP1:AS1"/>
    <mergeCell ref="U2:U3"/>
    <mergeCell ref="V2:V3"/>
    <mergeCell ref="W2:W3"/>
    <mergeCell ref="X2:X3"/>
    <mergeCell ref="Z2:Z3"/>
    <mergeCell ref="AA2:AA3"/>
    <mergeCell ref="AH2:AH3"/>
    <mergeCell ref="AI2:AI3"/>
    <mergeCell ref="AJ2:AJ3"/>
    <mergeCell ref="AK2:AK3"/>
    <mergeCell ref="AL2:AL3"/>
    <mergeCell ref="AM2:AM3"/>
    <mergeCell ref="AB2:AB3"/>
    <mergeCell ref="AC2:AC3"/>
    <mergeCell ref="AD2:AD3"/>
    <mergeCell ref="AE2:AE3"/>
    <mergeCell ref="AF2:AF3"/>
    <mergeCell ref="AG2:AG3"/>
    <mergeCell ref="A1:C1"/>
    <mergeCell ref="L1:L3"/>
    <mergeCell ref="M1:R1"/>
    <mergeCell ref="S1:X1"/>
    <mergeCell ref="AB1:AC1"/>
    <mergeCell ref="AD1:AG1"/>
    <mergeCell ref="Q2:Q3"/>
    <mergeCell ref="R2:R3"/>
    <mergeCell ref="S2:S3"/>
    <mergeCell ref="T2:T3"/>
    <mergeCell ref="A2:C3"/>
    <mergeCell ref="D2:E2"/>
    <mergeCell ref="F2:G2"/>
    <mergeCell ref="M2:M3"/>
    <mergeCell ref="N2:N3"/>
    <mergeCell ref="O2:O3"/>
    <mergeCell ref="P2:P3"/>
  </mergeCells>
  <conditionalFormatting sqref="C28">
    <cfRule type="containsText" dxfId="2" priority="5" operator="containsText" text="OR(Error,Multiply)">
      <formula>NOT(ISERROR(SEARCH("OR(Error,Multiply)",C28)))</formula>
    </cfRule>
  </conditionalFormatting>
  <conditionalFormatting sqref="C52">
    <cfRule type="containsText" dxfId="1" priority="1" operator="containsText" text="OR(Error,Multiply)">
      <formula>NOT(ISERROR(SEARCH("OR(Error,Multiply)",C52)))</formula>
    </cfRule>
  </conditionalFormatting>
  <conditionalFormatting sqref="M4:M67">
    <cfRule type="expression" dxfId="0" priority="2">
      <formula>M4&lt;&gt;S4</formula>
    </cfRule>
  </conditionalFormatting>
  <hyperlinks>
    <hyperlink ref="A64" r:id="rId1" xr:uid="{00000000-0004-0000-0E00-000000000000}"/>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 Data</vt:lpstr>
      <vt:lpstr>All Columns</vt:lpstr>
      <vt:lpstr>BNF-Nifty</vt:lpstr>
      <vt:lpstr>Ashok-AsianP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Parimal</dc:creator>
  <cp:lastModifiedBy>Vincent S. Pereira</cp:lastModifiedBy>
  <cp:lastPrinted>2018-11-21T20:43:35Z</cp:lastPrinted>
  <dcterms:created xsi:type="dcterms:W3CDTF">2016-04-14T06:24:46Z</dcterms:created>
  <dcterms:modified xsi:type="dcterms:W3CDTF">2025-04-22T17:33:19Z</dcterms:modified>
</cp:coreProperties>
</file>